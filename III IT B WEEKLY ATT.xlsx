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t - IT\Attendance Incharge\"/>
    </mc:Choice>
  </mc:AlternateContent>
  <xr:revisionPtr revIDLastSave="0" documentId="13_ncr:1_{BB6A9D8C-A898-4A3F-9732-CE9B91BA2841}" xr6:coauthVersionLast="47" xr6:coauthVersionMax="47" xr10:uidLastSave="{00000000-0000-0000-0000-000000000000}"/>
  <bookViews>
    <workbookView xWindow="-110" yWindow="-110" windowWidth="19420" windowHeight="10420" firstSheet="11" activeTab="16" xr2:uid="{00000000-000D-0000-FFFF-FFFF00000000}"/>
  </bookViews>
  <sheets>
    <sheet name="Master" sheetId="16" r:id="rId1"/>
    <sheet name="WEEK 1" sheetId="18" r:id="rId2"/>
    <sheet name="WEEK 2" sheetId="19" r:id="rId3"/>
    <sheet name="WEEK 3" sheetId="20" r:id="rId4"/>
    <sheet name="WEEK 4" sheetId="21" r:id="rId5"/>
    <sheet name="WEEK 5" sheetId="22" r:id="rId6"/>
    <sheet name="WEEK 6" sheetId="23" r:id="rId7"/>
    <sheet name="WEEK 7" sheetId="24" r:id="rId8"/>
    <sheet name="Week 8" sheetId="25" r:id="rId9"/>
    <sheet name="Week 9" sheetId="26" r:id="rId10"/>
    <sheet name="Week 10" sheetId="27" r:id="rId11"/>
    <sheet name="Week 11" sheetId="28" r:id="rId12"/>
    <sheet name="Week 12" sheetId="29" r:id="rId13"/>
    <sheet name="Week 13" sheetId="30" r:id="rId14"/>
    <sheet name="Week 14" sheetId="31" r:id="rId15"/>
    <sheet name="Week 15" sheetId="32" r:id="rId16"/>
    <sheet name="Week 16" sheetId="33" r:id="rId17"/>
    <sheet name="Week 17" sheetId="34" r:id="rId18"/>
  </sheets>
  <definedNames>
    <definedName name="_xlnm.Print_Area" localSheetId="0">Master!$A$1:$BC$80</definedName>
    <definedName name="_xlnm.Print_Area" localSheetId="1">'WEEK 1'!$A$1:$BC$79</definedName>
    <definedName name="_xlnm.Print_Area" localSheetId="10">'Week 10'!$A$1:$BC$80</definedName>
    <definedName name="_xlnm.Print_Area" localSheetId="11">'Week 11'!$A$1:$BC$80</definedName>
    <definedName name="_xlnm.Print_Area" localSheetId="12">'Week 12'!$A$1:$BC$80</definedName>
    <definedName name="_xlnm.Print_Area" localSheetId="13">'Week 13'!$A$1:$BC$80</definedName>
    <definedName name="_xlnm.Print_Area" localSheetId="14">'Week 14'!$A$1:$BC$80</definedName>
    <definedName name="_xlnm.Print_Area" localSheetId="15">'Week 15'!$A$1:$BC$80</definedName>
    <definedName name="_xlnm.Print_Area" localSheetId="16">'Week 16'!$A$1:$BC$80</definedName>
    <definedName name="_xlnm.Print_Area" localSheetId="17">'Week 17'!$A$1:$BC$80</definedName>
    <definedName name="_xlnm.Print_Area" localSheetId="2">'WEEK 2'!$A$1:$BC$80</definedName>
    <definedName name="_xlnm.Print_Area" localSheetId="3">'WEEK 3'!$A$1:$BC$80</definedName>
    <definedName name="_xlnm.Print_Area" localSheetId="4">'WEEK 4'!$A$1:$BC$80</definedName>
    <definedName name="_xlnm.Print_Area" localSheetId="5">'WEEK 5'!$A$1:$BC$80</definedName>
    <definedName name="_xlnm.Print_Area" localSheetId="6">'WEEK 6'!$A$1:$BC$80</definedName>
    <definedName name="_xlnm.Print_Area" localSheetId="7">'WEEK 7'!$A$1:$BC$80</definedName>
    <definedName name="_xlnm.Print_Area" localSheetId="8">'Week 8'!$A$1:$BC$80</definedName>
    <definedName name="_xlnm.Print_Area" localSheetId="9">'Week 9'!$A$1:$BC$80</definedName>
    <definedName name="_xlnm.Print_Titles" localSheetId="0">Master!$5:$9</definedName>
    <definedName name="_xlnm.Print_Titles" localSheetId="1">'WEEK 1'!$5:$9</definedName>
    <definedName name="_xlnm.Print_Titles" localSheetId="10">'Week 10'!$5:$9</definedName>
    <definedName name="_xlnm.Print_Titles" localSheetId="11">'Week 11'!$5:$9</definedName>
    <definedName name="_xlnm.Print_Titles" localSheetId="12">'Week 12'!$5:$9</definedName>
    <definedName name="_xlnm.Print_Titles" localSheetId="13">'Week 13'!$5:$9</definedName>
    <definedName name="_xlnm.Print_Titles" localSheetId="14">'Week 14'!$5:$9</definedName>
    <definedName name="_xlnm.Print_Titles" localSheetId="15">'Week 15'!$5:$9</definedName>
    <definedName name="_xlnm.Print_Titles" localSheetId="16">'Week 16'!$5:$9</definedName>
    <definedName name="_xlnm.Print_Titles" localSheetId="17">'Week 17'!$5:$9</definedName>
    <definedName name="_xlnm.Print_Titles" localSheetId="2">'WEEK 2'!$5:$9</definedName>
    <definedName name="_xlnm.Print_Titles" localSheetId="3">'WEEK 3'!$5:$9</definedName>
    <definedName name="_xlnm.Print_Titles" localSheetId="4">'WEEK 4'!$5:$9</definedName>
    <definedName name="_xlnm.Print_Titles" localSheetId="5">'WEEK 5'!$5:$9</definedName>
    <definedName name="_xlnm.Print_Titles" localSheetId="6">'WEEK 6'!$5:$9</definedName>
    <definedName name="_xlnm.Print_Titles" localSheetId="7">'WEEK 7'!$5:$9</definedName>
    <definedName name="_xlnm.Print_Titles" localSheetId="8">'Week 8'!$5:$9</definedName>
    <definedName name="_xlnm.Print_Titles" localSheetId="9">'Week 9'!$5:$9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75" i="34" l="1"/>
  <c r="AY75" i="34"/>
  <c r="AX75" i="34"/>
  <c r="AW75" i="34"/>
  <c r="AV75" i="34"/>
  <c r="AU75" i="34"/>
  <c r="AT75" i="34"/>
  <c r="AS75" i="34"/>
  <c r="AR75" i="34"/>
  <c r="AQ75" i="34"/>
  <c r="AP75" i="34"/>
  <c r="AO75" i="34"/>
  <c r="AN75" i="34"/>
  <c r="AM75" i="34"/>
  <c r="AL75" i="34"/>
  <c r="AK75" i="34"/>
  <c r="AG75" i="34"/>
  <c r="AF75" i="34"/>
  <c r="AE75" i="34"/>
  <c r="AD75" i="34"/>
  <c r="AC75" i="34"/>
  <c r="U75" i="34"/>
  <c r="M75" i="34"/>
  <c r="E75" i="34"/>
  <c r="AS74" i="34"/>
  <c r="AK74" i="34"/>
  <c r="AC74" i="34"/>
  <c r="U74" i="34"/>
  <c r="M74" i="34"/>
  <c r="E74" i="34"/>
  <c r="AE73" i="34"/>
  <c r="AF73" i="34" s="1"/>
  <c r="AD73" i="34"/>
  <c r="V73" i="34"/>
  <c r="W73" i="34" s="1"/>
  <c r="X73" i="34" s="1"/>
  <c r="N73" i="34"/>
  <c r="O73" i="34" s="1"/>
  <c r="P73" i="34" s="1"/>
  <c r="H73" i="34"/>
  <c r="G73" i="34"/>
  <c r="F73" i="34"/>
  <c r="AE72" i="34"/>
  <c r="AF72" i="34" s="1"/>
  <c r="AD72" i="34"/>
  <c r="V72" i="34"/>
  <c r="W72" i="34" s="1"/>
  <c r="X72" i="34" s="1"/>
  <c r="N72" i="34"/>
  <c r="O72" i="34" s="1"/>
  <c r="P72" i="34" s="1"/>
  <c r="F72" i="34"/>
  <c r="G72" i="34" s="1"/>
  <c r="H72" i="34" s="1"/>
  <c r="AF71" i="34"/>
  <c r="AE71" i="34"/>
  <c r="AD71" i="34"/>
  <c r="V71" i="34"/>
  <c r="W71" i="34" s="1"/>
  <c r="X71" i="34" s="1"/>
  <c r="O71" i="34"/>
  <c r="P71" i="34" s="1"/>
  <c r="N71" i="34"/>
  <c r="F71" i="34"/>
  <c r="AD70" i="34"/>
  <c r="AE70" i="34" s="1"/>
  <c r="AF70" i="34" s="1"/>
  <c r="V70" i="34"/>
  <c r="W70" i="34" s="1"/>
  <c r="X70" i="34" s="1"/>
  <c r="N70" i="34"/>
  <c r="O70" i="34" s="1"/>
  <c r="P70" i="34" s="1"/>
  <c r="F70" i="34"/>
  <c r="AD69" i="34"/>
  <c r="AE69" i="34" s="1"/>
  <c r="AF69" i="34" s="1"/>
  <c r="V69" i="34"/>
  <c r="W69" i="34" s="1"/>
  <c r="X69" i="34" s="1"/>
  <c r="P69" i="34"/>
  <c r="O69" i="34"/>
  <c r="N69" i="34"/>
  <c r="G69" i="34"/>
  <c r="F69" i="34"/>
  <c r="AF68" i="34"/>
  <c r="AE68" i="34"/>
  <c r="AD68" i="34"/>
  <c r="V68" i="34"/>
  <c r="W68" i="34" s="1"/>
  <c r="X68" i="34" s="1"/>
  <c r="N68" i="34"/>
  <c r="O68" i="34" s="1"/>
  <c r="P68" i="34" s="1"/>
  <c r="H68" i="34"/>
  <c r="G68" i="34"/>
  <c r="F68" i="34"/>
  <c r="AE67" i="34"/>
  <c r="AF67" i="34" s="1"/>
  <c r="AD67" i="34"/>
  <c r="V67" i="34"/>
  <c r="W67" i="34" s="1"/>
  <c r="X67" i="34" s="1"/>
  <c r="N67" i="34"/>
  <c r="O67" i="34" s="1"/>
  <c r="P67" i="34" s="1"/>
  <c r="F67" i="34"/>
  <c r="AE66" i="34"/>
  <c r="AF66" i="34" s="1"/>
  <c r="AD66" i="34"/>
  <c r="V66" i="34"/>
  <c r="W66" i="34" s="1"/>
  <c r="X66" i="34" s="1"/>
  <c r="N66" i="34"/>
  <c r="O66" i="34" s="1"/>
  <c r="P66" i="34" s="1"/>
  <c r="H66" i="34"/>
  <c r="G66" i="34"/>
  <c r="F66" i="34"/>
  <c r="AF65" i="34"/>
  <c r="AE65" i="34"/>
  <c r="AD65" i="34"/>
  <c r="V65" i="34"/>
  <c r="W65" i="34" s="1"/>
  <c r="X65" i="34" s="1"/>
  <c r="N65" i="34"/>
  <c r="O65" i="34" s="1"/>
  <c r="P65" i="34" s="1"/>
  <c r="H65" i="34"/>
  <c r="G65" i="34"/>
  <c r="F65" i="34"/>
  <c r="AF64" i="34"/>
  <c r="AE64" i="34"/>
  <c r="AD64" i="34"/>
  <c r="V64" i="34"/>
  <c r="W64" i="34" s="1"/>
  <c r="X64" i="34" s="1"/>
  <c r="N64" i="34"/>
  <c r="O64" i="34" s="1"/>
  <c r="P64" i="34" s="1"/>
  <c r="F64" i="34"/>
  <c r="AD63" i="34"/>
  <c r="AE63" i="34" s="1"/>
  <c r="AF63" i="34" s="1"/>
  <c r="X63" i="34"/>
  <c r="W63" i="34"/>
  <c r="V63" i="34"/>
  <c r="N63" i="34"/>
  <c r="O63" i="34" s="1"/>
  <c r="P63" i="34" s="1"/>
  <c r="F63" i="34"/>
  <c r="AE62" i="34"/>
  <c r="AF62" i="34" s="1"/>
  <c r="AD62" i="34"/>
  <c r="V62" i="34"/>
  <c r="W62" i="34" s="1"/>
  <c r="X62" i="34" s="1"/>
  <c r="P62" i="34"/>
  <c r="O62" i="34"/>
  <c r="N62" i="34"/>
  <c r="H62" i="34"/>
  <c r="G62" i="34"/>
  <c r="F62" i="34"/>
  <c r="AE61" i="34"/>
  <c r="AF61" i="34" s="1"/>
  <c r="AD61" i="34"/>
  <c r="V61" i="34"/>
  <c r="W61" i="34" s="1"/>
  <c r="X61" i="34" s="1"/>
  <c r="N61" i="34"/>
  <c r="O61" i="34" s="1"/>
  <c r="P61" i="34" s="1"/>
  <c r="H61" i="34"/>
  <c r="G61" i="34"/>
  <c r="F61" i="34"/>
  <c r="AF60" i="34"/>
  <c r="AE60" i="34"/>
  <c r="AD60" i="34"/>
  <c r="V60" i="34"/>
  <c r="W60" i="34" s="1"/>
  <c r="X60" i="34" s="1"/>
  <c r="N60" i="34"/>
  <c r="O60" i="34" s="1"/>
  <c r="P60" i="34" s="1"/>
  <c r="F60" i="34"/>
  <c r="AD59" i="34"/>
  <c r="AE59" i="34" s="1"/>
  <c r="AF59" i="34" s="1"/>
  <c r="V59" i="34"/>
  <c r="W59" i="34" s="1"/>
  <c r="X59" i="34" s="1"/>
  <c r="P59" i="34"/>
  <c r="N59" i="34"/>
  <c r="O59" i="34" s="1"/>
  <c r="F59" i="34"/>
  <c r="AD58" i="34"/>
  <c r="AE58" i="34" s="1"/>
  <c r="AF58" i="34" s="1"/>
  <c r="V58" i="34"/>
  <c r="W58" i="34" s="1"/>
  <c r="X58" i="34" s="1"/>
  <c r="O58" i="34"/>
  <c r="P58" i="34" s="1"/>
  <c r="N58" i="34"/>
  <c r="F58" i="34"/>
  <c r="AF57" i="34"/>
  <c r="AD57" i="34"/>
  <c r="AE57" i="34" s="1"/>
  <c r="V57" i="34"/>
  <c r="W57" i="34" s="1"/>
  <c r="X57" i="34" s="1"/>
  <c r="N57" i="34"/>
  <c r="O57" i="34" s="1"/>
  <c r="P57" i="34" s="1"/>
  <c r="H57" i="34"/>
  <c r="G57" i="34"/>
  <c r="F57" i="34"/>
  <c r="AD56" i="34"/>
  <c r="AE56" i="34" s="1"/>
  <c r="AF56" i="34" s="1"/>
  <c r="V56" i="34"/>
  <c r="W56" i="34" s="1"/>
  <c r="X56" i="34" s="1"/>
  <c r="N56" i="34"/>
  <c r="O56" i="34" s="1"/>
  <c r="P56" i="34" s="1"/>
  <c r="H56" i="34"/>
  <c r="F56" i="34"/>
  <c r="G56" i="34" s="1"/>
  <c r="AD55" i="34"/>
  <c r="AE55" i="34" s="1"/>
  <c r="AF55" i="34" s="1"/>
  <c r="V55" i="34"/>
  <c r="W55" i="34" s="1"/>
  <c r="X55" i="34" s="1"/>
  <c r="N55" i="34"/>
  <c r="O55" i="34" s="1"/>
  <c r="P55" i="34" s="1"/>
  <c r="G55" i="34"/>
  <c r="H55" i="34" s="1"/>
  <c r="F55" i="34"/>
  <c r="AD54" i="34"/>
  <c r="AE54" i="34" s="1"/>
  <c r="AF54" i="34" s="1"/>
  <c r="V54" i="34"/>
  <c r="W54" i="34" s="1"/>
  <c r="X54" i="34" s="1"/>
  <c r="N54" i="34"/>
  <c r="O54" i="34" s="1"/>
  <c r="P54" i="34" s="1"/>
  <c r="G54" i="34"/>
  <c r="F54" i="34"/>
  <c r="AE53" i="34"/>
  <c r="AF53" i="34" s="1"/>
  <c r="AD53" i="34"/>
  <c r="V53" i="34"/>
  <c r="W53" i="34" s="1"/>
  <c r="X53" i="34" s="1"/>
  <c r="N53" i="34"/>
  <c r="O53" i="34" s="1"/>
  <c r="P53" i="34" s="1"/>
  <c r="F53" i="34"/>
  <c r="G53" i="34" s="1"/>
  <c r="AF52" i="34"/>
  <c r="AD52" i="34"/>
  <c r="AE52" i="34" s="1"/>
  <c r="V52" i="34"/>
  <c r="W52" i="34" s="1"/>
  <c r="X52" i="34" s="1"/>
  <c r="N52" i="34"/>
  <c r="O52" i="34" s="1"/>
  <c r="P52" i="34" s="1"/>
  <c r="F52" i="34"/>
  <c r="AD51" i="34"/>
  <c r="AE51" i="34" s="1"/>
  <c r="AF51" i="34" s="1"/>
  <c r="V51" i="34"/>
  <c r="W51" i="34" s="1"/>
  <c r="X51" i="34" s="1"/>
  <c r="O51" i="34"/>
  <c r="P51" i="34" s="1"/>
  <c r="N51" i="34"/>
  <c r="G51" i="34"/>
  <c r="H51" i="34" s="1"/>
  <c r="F51" i="34"/>
  <c r="AE50" i="34"/>
  <c r="AF50" i="34" s="1"/>
  <c r="AD50" i="34"/>
  <c r="V50" i="34"/>
  <c r="W50" i="34" s="1"/>
  <c r="X50" i="34" s="1"/>
  <c r="P50" i="34"/>
  <c r="BA50" i="34" s="1"/>
  <c r="BB50" i="34" s="1"/>
  <c r="N50" i="34"/>
  <c r="O50" i="34" s="1"/>
  <c r="G50" i="34"/>
  <c r="H50" i="34" s="1"/>
  <c r="F50" i="34"/>
  <c r="AF49" i="34"/>
  <c r="AE49" i="34"/>
  <c r="AD49" i="34"/>
  <c r="V49" i="34"/>
  <c r="W49" i="34" s="1"/>
  <c r="X49" i="34" s="1"/>
  <c r="O49" i="34"/>
  <c r="P49" i="34" s="1"/>
  <c r="N49" i="34"/>
  <c r="F49" i="34"/>
  <c r="AD48" i="34"/>
  <c r="AE48" i="34" s="1"/>
  <c r="AF48" i="34" s="1"/>
  <c r="V48" i="34"/>
  <c r="W48" i="34" s="1"/>
  <c r="X48" i="34" s="1"/>
  <c r="N48" i="34"/>
  <c r="O48" i="34" s="1"/>
  <c r="P48" i="34" s="1"/>
  <c r="G48" i="34"/>
  <c r="H48" i="34" s="1"/>
  <c r="F48" i="34"/>
  <c r="AD47" i="34"/>
  <c r="AE47" i="34" s="1"/>
  <c r="AF47" i="34" s="1"/>
  <c r="V47" i="34"/>
  <c r="W47" i="34" s="1"/>
  <c r="X47" i="34" s="1"/>
  <c r="N47" i="34"/>
  <c r="O47" i="34" s="1"/>
  <c r="P47" i="34" s="1"/>
  <c r="G47" i="34"/>
  <c r="H47" i="34" s="1"/>
  <c r="F47" i="34"/>
  <c r="AD46" i="34"/>
  <c r="AE46" i="34" s="1"/>
  <c r="AF46" i="34" s="1"/>
  <c r="V46" i="34"/>
  <c r="W46" i="34" s="1"/>
  <c r="X46" i="34" s="1"/>
  <c r="N46" i="34"/>
  <c r="O46" i="34" s="1"/>
  <c r="P46" i="34" s="1"/>
  <c r="H46" i="34"/>
  <c r="G46" i="34"/>
  <c r="F46" i="34"/>
  <c r="AD45" i="34"/>
  <c r="AE45" i="34" s="1"/>
  <c r="AF45" i="34" s="1"/>
  <c r="V45" i="34"/>
  <c r="W45" i="34" s="1"/>
  <c r="X45" i="34" s="1"/>
  <c r="N45" i="34"/>
  <c r="O45" i="34" s="1"/>
  <c r="P45" i="34" s="1"/>
  <c r="F45" i="34"/>
  <c r="AD44" i="34"/>
  <c r="AE44" i="34" s="1"/>
  <c r="AF44" i="34" s="1"/>
  <c r="V44" i="34"/>
  <c r="W44" i="34" s="1"/>
  <c r="X44" i="34" s="1"/>
  <c r="N44" i="34"/>
  <c r="O44" i="34" s="1"/>
  <c r="P44" i="34" s="1"/>
  <c r="G44" i="34"/>
  <c r="H44" i="34" s="1"/>
  <c r="F44" i="34"/>
  <c r="AE43" i="34"/>
  <c r="AF43" i="34" s="1"/>
  <c r="AD43" i="34"/>
  <c r="V43" i="34"/>
  <c r="W43" i="34" s="1"/>
  <c r="X43" i="34" s="1"/>
  <c r="N43" i="34"/>
  <c r="O43" i="34" s="1"/>
  <c r="P43" i="34" s="1"/>
  <c r="H43" i="34"/>
  <c r="I43" i="34" s="1"/>
  <c r="G43" i="34"/>
  <c r="F43" i="34"/>
  <c r="AD42" i="34"/>
  <c r="AE42" i="34" s="1"/>
  <c r="AF42" i="34" s="1"/>
  <c r="V42" i="34"/>
  <c r="W42" i="34" s="1"/>
  <c r="X42" i="34" s="1"/>
  <c r="N42" i="34"/>
  <c r="O42" i="34" s="1"/>
  <c r="P42" i="34" s="1"/>
  <c r="F42" i="34"/>
  <c r="G42" i="34" s="1"/>
  <c r="AD41" i="34"/>
  <c r="AE41" i="34" s="1"/>
  <c r="AF41" i="34" s="1"/>
  <c r="X41" i="34"/>
  <c r="W41" i="34"/>
  <c r="V41" i="34"/>
  <c r="N41" i="34"/>
  <c r="O41" i="34" s="1"/>
  <c r="P41" i="34" s="1"/>
  <c r="F41" i="34"/>
  <c r="AD40" i="34"/>
  <c r="AE40" i="34" s="1"/>
  <c r="AF40" i="34" s="1"/>
  <c r="V40" i="34"/>
  <c r="W40" i="34" s="1"/>
  <c r="X40" i="34" s="1"/>
  <c r="N40" i="34"/>
  <c r="O40" i="34" s="1"/>
  <c r="P40" i="34" s="1"/>
  <c r="G40" i="34"/>
  <c r="H40" i="34" s="1"/>
  <c r="F40" i="34"/>
  <c r="AE39" i="34"/>
  <c r="AF39" i="34" s="1"/>
  <c r="AD39" i="34"/>
  <c r="V39" i="34"/>
  <c r="W39" i="34" s="1"/>
  <c r="X39" i="34" s="1"/>
  <c r="N39" i="34"/>
  <c r="O39" i="34" s="1"/>
  <c r="P39" i="34" s="1"/>
  <c r="H39" i="34"/>
  <c r="G39" i="34"/>
  <c r="F39" i="34"/>
  <c r="AE38" i="34"/>
  <c r="AF38" i="34" s="1"/>
  <c r="AD38" i="34"/>
  <c r="V38" i="34"/>
  <c r="W38" i="34" s="1"/>
  <c r="X38" i="34" s="1"/>
  <c r="N38" i="34"/>
  <c r="O38" i="34" s="1"/>
  <c r="P38" i="34" s="1"/>
  <c r="F38" i="34"/>
  <c r="G38" i="34" s="1"/>
  <c r="H38" i="34" s="1"/>
  <c r="AD37" i="34"/>
  <c r="AE37" i="34" s="1"/>
  <c r="AF37" i="34" s="1"/>
  <c r="W37" i="34"/>
  <c r="X37" i="34" s="1"/>
  <c r="V37" i="34"/>
  <c r="O37" i="34"/>
  <c r="P37" i="34" s="1"/>
  <c r="N37" i="34"/>
  <c r="F37" i="34"/>
  <c r="AE36" i="34"/>
  <c r="AF36" i="34" s="1"/>
  <c r="AD36" i="34"/>
  <c r="V36" i="34"/>
  <c r="W36" i="34" s="1"/>
  <c r="X36" i="34" s="1"/>
  <c r="O36" i="34"/>
  <c r="P36" i="34" s="1"/>
  <c r="N36" i="34"/>
  <c r="F36" i="34"/>
  <c r="AF35" i="34"/>
  <c r="AE35" i="34"/>
  <c r="AD35" i="34"/>
  <c r="V35" i="34"/>
  <c r="W35" i="34" s="1"/>
  <c r="X35" i="34" s="1"/>
  <c r="N35" i="34"/>
  <c r="O35" i="34" s="1"/>
  <c r="P35" i="34" s="1"/>
  <c r="H35" i="34"/>
  <c r="G35" i="34"/>
  <c r="F35" i="34"/>
  <c r="AE34" i="34"/>
  <c r="AF34" i="34" s="1"/>
  <c r="AD34" i="34"/>
  <c r="V34" i="34"/>
  <c r="W34" i="34" s="1"/>
  <c r="X34" i="34" s="1"/>
  <c r="N34" i="34"/>
  <c r="O34" i="34" s="1"/>
  <c r="P34" i="34" s="1"/>
  <c r="H34" i="34"/>
  <c r="F34" i="34"/>
  <c r="G34" i="34" s="1"/>
  <c r="AD33" i="34"/>
  <c r="AE33" i="34" s="1"/>
  <c r="AF33" i="34" s="1"/>
  <c r="W33" i="34"/>
  <c r="X33" i="34" s="1"/>
  <c r="V33" i="34"/>
  <c r="N33" i="34"/>
  <c r="O33" i="34" s="1"/>
  <c r="P33" i="34" s="1"/>
  <c r="F33" i="34"/>
  <c r="AD32" i="34"/>
  <c r="AE32" i="34" s="1"/>
  <c r="AF32" i="34" s="1"/>
  <c r="V32" i="34"/>
  <c r="W32" i="34" s="1"/>
  <c r="X32" i="34" s="1"/>
  <c r="N32" i="34"/>
  <c r="O32" i="34" s="1"/>
  <c r="P32" i="34" s="1"/>
  <c r="F32" i="34"/>
  <c r="AD31" i="34"/>
  <c r="AE31" i="34" s="1"/>
  <c r="AF31" i="34" s="1"/>
  <c r="V31" i="34"/>
  <c r="W31" i="34" s="1"/>
  <c r="X31" i="34" s="1"/>
  <c r="P31" i="34"/>
  <c r="N31" i="34"/>
  <c r="O31" i="34" s="1"/>
  <c r="H31" i="34"/>
  <c r="G31" i="34"/>
  <c r="F31" i="34"/>
  <c r="AF30" i="34"/>
  <c r="AE30" i="34"/>
  <c r="AD30" i="34"/>
  <c r="V30" i="34"/>
  <c r="W30" i="34" s="1"/>
  <c r="X30" i="34" s="1"/>
  <c r="N30" i="34"/>
  <c r="O30" i="34" s="1"/>
  <c r="P30" i="34" s="1"/>
  <c r="H30" i="34"/>
  <c r="F30" i="34"/>
  <c r="G30" i="34" s="1"/>
  <c r="AE29" i="34"/>
  <c r="AF29" i="34" s="1"/>
  <c r="AD29" i="34"/>
  <c r="V29" i="34"/>
  <c r="W29" i="34" s="1"/>
  <c r="X29" i="34" s="1"/>
  <c r="N29" i="34"/>
  <c r="O29" i="34" s="1"/>
  <c r="P29" i="34" s="1"/>
  <c r="H29" i="34"/>
  <c r="G29" i="34"/>
  <c r="F29" i="34"/>
  <c r="AF28" i="34"/>
  <c r="AE28" i="34"/>
  <c r="AD28" i="34"/>
  <c r="W28" i="34"/>
  <c r="X28" i="34" s="1"/>
  <c r="V28" i="34"/>
  <c r="N28" i="34"/>
  <c r="O28" i="34" s="1"/>
  <c r="P28" i="34" s="1"/>
  <c r="F28" i="34"/>
  <c r="AD27" i="34"/>
  <c r="AE27" i="34" s="1"/>
  <c r="AF27" i="34" s="1"/>
  <c r="V27" i="34"/>
  <c r="W27" i="34" s="1"/>
  <c r="X27" i="34" s="1"/>
  <c r="O27" i="34"/>
  <c r="P27" i="34" s="1"/>
  <c r="N27" i="34"/>
  <c r="F27" i="34"/>
  <c r="AD26" i="34"/>
  <c r="AE26" i="34" s="1"/>
  <c r="AF26" i="34" s="1"/>
  <c r="V26" i="34"/>
  <c r="W26" i="34" s="1"/>
  <c r="X26" i="34" s="1"/>
  <c r="O26" i="34"/>
  <c r="P26" i="34" s="1"/>
  <c r="N26" i="34"/>
  <c r="G26" i="34"/>
  <c r="F26" i="34"/>
  <c r="AE25" i="34"/>
  <c r="AF25" i="34" s="1"/>
  <c r="AD25" i="34"/>
  <c r="V25" i="34"/>
  <c r="W25" i="34" s="1"/>
  <c r="X25" i="34" s="1"/>
  <c r="N25" i="34"/>
  <c r="O25" i="34" s="1"/>
  <c r="P25" i="34" s="1"/>
  <c r="H25" i="34"/>
  <c r="G25" i="34"/>
  <c r="F25" i="34"/>
  <c r="AF24" i="34"/>
  <c r="AE24" i="34"/>
  <c r="AD24" i="34"/>
  <c r="W24" i="34"/>
  <c r="X24" i="34" s="1"/>
  <c r="V24" i="34"/>
  <c r="N24" i="34"/>
  <c r="O24" i="34" s="1"/>
  <c r="P24" i="34" s="1"/>
  <c r="F24" i="34"/>
  <c r="AD23" i="34"/>
  <c r="AE23" i="34" s="1"/>
  <c r="AF23" i="34" s="1"/>
  <c r="V23" i="34"/>
  <c r="W23" i="34" s="1"/>
  <c r="X23" i="34" s="1"/>
  <c r="O23" i="34"/>
  <c r="P23" i="34" s="1"/>
  <c r="N23" i="34"/>
  <c r="F23" i="34"/>
  <c r="AD22" i="34"/>
  <c r="AE22" i="34" s="1"/>
  <c r="AF22" i="34" s="1"/>
  <c r="V22" i="34"/>
  <c r="W22" i="34" s="1"/>
  <c r="X22" i="34" s="1"/>
  <c r="P22" i="34"/>
  <c r="O22" i="34"/>
  <c r="N22" i="34"/>
  <c r="G22" i="34"/>
  <c r="F22" i="34"/>
  <c r="AE21" i="34"/>
  <c r="AF21" i="34" s="1"/>
  <c r="AD21" i="34"/>
  <c r="V21" i="34"/>
  <c r="W21" i="34" s="1"/>
  <c r="X21" i="34" s="1"/>
  <c r="N21" i="34"/>
  <c r="O21" i="34" s="1"/>
  <c r="P21" i="34" s="1"/>
  <c r="H21" i="34"/>
  <c r="G21" i="34"/>
  <c r="F21" i="34"/>
  <c r="AF20" i="34"/>
  <c r="AE20" i="34"/>
  <c r="AD20" i="34"/>
  <c r="W20" i="34"/>
  <c r="X20" i="34" s="1"/>
  <c r="V20" i="34"/>
  <c r="N20" i="34"/>
  <c r="O20" i="34" s="1"/>
  <c r="P20" i="34" s="1"/>
  <c r="F20" i="34"/>
  <c r="AD19" i="34"/>
  <c r="AE19" i="34" s="1"/>
  <c r="AF19" i="34" s="1"/>
  <c r="V19" i="34"/>
  <c r="W19" i="34" s="1"/>
  <c r="X19" i="34" s="1"/>
  <c r="O19" i="34"/>
  <c r="P19" i="34" s="1"/>
  <c r="N19" i="34"/>
  <c r="F19" i="34"/>
  <c r="AE18" i="34"/>
  <c r="AF18" i="34" s="1"/>
  <c r="AD18" i="34"/>
  <c r="V18" i="34"/>
  <c r="W18" i="34" s="1"/>
  <c r="X18" i="34" s="1"/>
  <c r="P18" i="34"/>
  <c r="O18" i="34"/>
  <c r="N18" i="34"/>
  <c r="H18" i="34"/>
  <c r="G18" i="34"/>
  <c r="F18" i="34"/>
  <c r="AE17" i="34"/>
  <c r="AF17" i="34" s="1"/>
  <c r="AD17" i="34"/>
  <c r="V17" i="34"/>
  <c r="W17" i="34" s="1"/>
  <c r="X17" i="34" s="1"/>
  <c r="N17" i="34"/>
  <c r="O17" i="34" s="1"/>
  <c r="P17" i="34" s="1"/>
  <c r="G17" i="34"/>
  <c r="H17" i="34" s="1"/>
  <c r="F17" i="34"/>
  <c r="AE16" i="34"/>
  <c r="AF16" i="34" s="1"/>
  <c r="AD16" i="34"/>
  <c r="V16" i="34"/>
  <c r="W16" i="34" s="1"/>
  <c r="X16" i="34" s="1"/>
  <c r="N16" i="34"/>
  <c r="O16" i="34" s="1"/>
  <c r="P16" i="34" s="1"/>
  <c r="F16" i="34"/>
  <c r="G16" i="34" s="1"/>
  <c r="H16" i="34" s="1"/>
  <c r="AD15" i="34"/>
  <c r="AE15" i="34" s="1"/>
  <c r="AF15" i="34" s="1"/>
  <c r="V15" i="34"/>
  <c r="W15" i="34" s="1"/>
  <c r="X15" i="34" s="1"/>
  <c r="N15" i="34"/>
  <c r="O15" i="34" s="1"/>
  <c r="P15" i="34" s="1"/>
  <c r="F15" i="34"/>
  <c r="AD14" i="34"/>
  <c r="AE14" i="34" s="1"/>
  <c r="AF14" i="34" s="1"/>
  <c r="V14" i="34"/>
  <c r="W14" i="34" s="1"/>
  <c r="X14" i="34" s="1"/>
  <c r="N14" i="34"/>
  <c r="O14" i="34" s="1"/>
  <c r="P14" i="34" s="1"/>
  <c r="F14" i="34"/>
  <c r="AD13" i="34"/>
  <c r="AE13" i="34" s="1"/>
  <c r="AF13" i="34" s="1"/>
  <c r="V13" i="34"/>
  <c r="W13" i="34" s="1"/>
  <c r="X13" i="34" s="1"/>
  <c r="N13" i="34"/>
  <c r="O13" i="34" s="1"/>
  <c r="P13" i="34" s="1"/>
  <c r="H13" i="34"/>
  <c r="G13" i="34"/>
  <c r="F13" i="34"/>
  <c r="AE12" i="34"/>
  <c r="AF12" i="34" s="1"/>
  <c r="AD12" i="34"/>
  <c r="V12" i="34"/>
  <c r="W12" i="34" s="1"/>
  <c r="X12" i="34" s="1"/>
  <c r="N12" i="34"/>
  <c r="O12" i="34" s="1"/>
  <c r="P12" i="34" s="1"/>
  <c r="H12" i="34"/>
  <c r="F12" i="34"/>
  <c r="G12" i="34" s="1"/>
  <c r="AD11" i="34"/>
  <c r="AE11" i="34" s="1"/>
  <c r="AF11" i="34" s="1"/>
  <c r="W11" i="34"/>
  <c r="X11" i="34" s="1"/>
  <c r="V11" i="34"/>
  <c r="N11" i="34"/>
  <c r="O11" i="34" s="1"/>
  <c r="P11" i="34" s="1"/>
  <c r="F11" i="34"/>
  <c r="AT74" i="34"/>
  <c r="AD10" i="34"/>
  <c r="V10" i="34"/>
  <c r="W10" i="34" s="1"/>
  <c r="N10" i="34"/>
  <c r="F10" i="34"/>
  <c r="BB5" i="34"/>
  <c r="V73" i="33"/>
  <c r="W73" i="33" s="1"/>
  <c r="X73" i="33" s="1"/>
  <c r="Y73" i="33" s="1"/>
  <c r="Z73" i="33" s="1"/>
  <c r="AA73" i="33" s="1"/>
  <c r="AB73" i="33" s="1"/>
  <c r="P73" i="33"/>
  <c r="Q73" i="33" s="1"/>
  <c r="R73" i="33" s="1"/>
  <c r="S73" i="33" s="1"/>
  <c r="T73" i="33" s="1"/>
  <c r="N73" i="33"/>
  <c r="O73" i="33" s="1"/>
  <c r="W72" i="33"/>
  <c r="X72" i="33" s="1"/>
  <c r="Y72" i="33" s="1"/>
  <c r="Z72" i="33" s="1"/>
  <c r="AA72" i="33" s="1"/>
  <c r="AB72" i="33" s="1"/>
  <c r="V72" i="33"/>
  <c r="N72" i="33"/>
  <c r="O72" i="33" s="1"/>
  <c r="P72" i="33" s="1"/>
  <c r="Q72" i="33" s="1"/>
  <c r="R72" i="33" s="1"/>
  <c r="S72" i="33" s="1"/>
  <c r="T72" i="33" s="1"/>
  <c r="W71" i="33"/>
  <c r="X71" i="33" s="1"/>
  <c r="Y71" i="33" s="1"/>
  <c r="Z71" i="33" s="1"/>
  <c r="AA71" i="33" s="1"/>
  <c r="AB71" i="33" s="1"/>
  <c r="V71" i="33"/>
  <c r="N71" i="33"/>
  <c r="O71" i="33" s="1"/>
  <c r="P71" i="33" s="1"/>
  <c r="Q71" i="33" s="1"/>
  <c r="R71" i="33" s="1"/>
  <c r="S71" i="33" s="1"/>
  <c r="T71" i="33" s="1"/>
  <c r="W70" i="33"/>
  <c r="X70" i="33" s="1"/>
  <c r="Y70" i="33" s="1"/>
  <c r="Z70" i="33" s="1"/>
  <c r="AA70" i="33" s="1"/>
  <c r="AB70" i="33" s="1"/>
  <c r="V70" i="33"/>
  <c r="R70" i="33"/>
  <c r="S70" i="33" s="1"/>
  <c r="T70" i="33" s="1"/>
  <c r="N70" i="33"/>
  <c r="O70" i="33" s="1"/>
  <c r="P70" i="33" s="1"/>
  <c r="Q70" i="33" s="1"/>
  <c r="Y69" i="33"/>
  <c r="Z69" i="33" s="1"/>
  <c r="AA69" i="33" s="1"/>
  <c r="AB69" i="33" s="1"/>
  <c r="W69" i="33"/>
  <c r="X69" i="33" s="1"/>
  <c r="V69" i="33"/>
  <c r="P69" i="33"/>
  <c r="Q69" i="33" s="1"/>
  <c r="R69" i="33" s="1"/>
  <c r="S69" i="33" s="1"/>
  <c r="T69" i="33" s="1"/>
  <c r="N69" i="33"/>
  <c r="O69" i="33" s="1"/>
  <c r="AA68" i="33"/>
  <c r="AB68" i="33" s="1"/>
  <c r="W68" i="33"/>
  <c r="X68" i="33" s="1"/>
  <c r="Y68" i="33" s="1"/>
  <c r="Z68" i="33" s="1"/>
  <c r="V68" i="33"/>
  <c r="N68" i="33"/>
  <c r="O68" i="33" s="1"/>
  <c r="P68" i="33" s="1"/>
  <c r="Q68" i="33" s="1"/>
  <c r="R68" i="33" s="1"/>
  <c r="S68" i="33" s="1"/>
  <c r="T68" i="33" s="1"/>
  <c r="W67" i="33"/>
  <c r="X67" i="33" s="1"/>
  <c r="Y67" i="33" s="1"/>
  <c r="Z67" i="33" s="1"/>
  <c r="AA67" i="33" s="1"/>
  <c r="AB67" i="33" s="1"/>
  <c r="V67" i="33"/>
  <c r="N67" i="33"/>
  <c r="O67" i="33" s="1"/>
  <c r="P67" i="33" s="1"/>
  <c r="Q67" i="33" s="1"/>
  <c r="R67" i="33" s="1"/>
  <c r="S67" i="33" s="1"/>
  <c r="T67" i="33" s="1"/>
  <c r="W66" i="33"/>
  <c r="X66" i="33" s="1"/>
  <c r="Y66" i="33" s="1"/>
  <c r="Z66" i="33" s="1"/>
  <c r="AA66" i="33" s="1"/>
  <c r="AB66" i="33" s="1"/>
  <c r="V66" i="33"/>
  <c r="R66" i="33"/>
  <c r="S66" i="33" s="1"/>
  <c r="T66" i="33" s="1"/>
  <c r="N66" i="33"/>
  <c r="O66" i="33" s="1"/>
  <c r="P66" i="33" s="1"/>
  <c r="Q66" i="33" s="1"/>
  <c r="Y65" i="33"/>
  <c r="Z65" i="33" s="1"/>
  <c r="AA65" i="33" s="1"/>
  <c r="AB65" i="33" s="1"/>
  <c r="W65" i="33"/>
  <c r="X65" i="33" s="1"/>
  <c r="V65" i="33"/>
  <c r="P65" i="33"/>
  <c r="Q65" i="33" s="1"/>
  <c r="R65" i="33" s="1"/>
  <c r="S65" i="33" s="1"/>
  <c r="T65" i="33" s="1"/>
  <c r="N65" i="33"/>
  <c r="O65" i="33" s="1"/>
  <c r="AA64" i="33"/>
  <c r="AB64" i="33" s="1"/>
  <c r="W64" i="33"/>
  <c r="X64" i="33" s="1"/>
  <c r="Y64" i="33" s="1"/>
  <c r="Z64" i="33" s="1"/>
  <c r="V64" i="33"/>
  <c r="N64" i="33"/>
  <c r="O64" i="33" s="1"/>
  <c r="P64" i="33" s="1"/>
  <c r="Q64" i="33" s="1"/>
  <c r="R64" i="33" s="1"/>
  <c r="S64" i="33" s="1"/>
  <c r="T64" i="33" s="1"/>
  <c r="W63" i="33"/>
  <c r="X63" i="33" s="1"/>
  <c r="Y63" i="33" s="1"/>
  <c r="Z63" i="33" s="1"/>
  <c r="AA63" i="33" s="1"/>
  <c r="AB63" i="33" s="1"/>
  <c r="V63" i="33"/>
  <c r="N63" i="33"/>
  <c r="O63" i="33" s="1"/>
  <c r="P63" i="33" s="1"/>
  <c r="Q63" i="33" s="1"/>
  <c r="R63" i="33" s="1"/>
  <c r="S63" i="33" s="1"/>
  <c r="T63" i="33" s="1"/>
  <c r="W62" i="33"/>
  <c r="X62" i="33" s="1"/>
  <c r="Y62" i="33" s="1"/>
  <c r="Z62" i="33" s="1"/>
  <c r="AA62" i="33" s="1"/>
  <c r="AB62" i="33" s="1"/>
  <c r="V62" i="33"/>
  <c r="R62" i="33"/>
  <c r="S62" i="33" s="1"/>
  <c r="T62" i="33" s="1"/>
  <c r="N62" i="33"/>
  <c r="O62" i="33" s="1"/>
  <c r="P62" i="33" s="1"/>
  <c r="Q62" i="33" s="1"/>
  <c r="Y61" i="33"/>
  <c r="Z61" i="33" s="1"/>
  <c r="AA61" i="33" s="1"/>
  <c r="AB61" i="33" s="1"/>
  <c r="W61" i="33"/>
  <c r="X61" i="33" s="1"/>
  <c r="V61" i="33"/>
  <c r="P61" i="33"/>
  <c r="Q61" i="33" s="1"/>
  <c r="R61" i="33" s="1"/>
  <c r="S61" i="33" s="1"/>
  <c r="T61" i="33" s="1"/>
  <c r="N61" i="33"/>
  <c r="O61" i="33" s="1"/>
  <c r="AA60" i="33"/>
  <c r="AB60" i="33" s="1"/>
  <c r="W60" i="33"/>
  <c r="X60" i="33" s="1"/>
  <c r="Y60" i="33" s="1"/>
  <c r="Z60" i="33" s="1"/>
  <c r="V60" i="33"/>
  <c r="N60" i="33"/>
  <c r="O60" i="33" s="1"/>
  <c r="P60" i="33" s="1"/>
  <c r="Q60" i="33" s="1"/>
  <c r="R60" i="33" s="1"/>
  <c r="S60" i="33" s="1"/>
  <c r="T60" i="33" s="1"/>
  <c r="W59" i="33"/>
  <c r="X59" i="33" s="1"/>
  <c r="Y59" i="33" s="1"/>
  <c r="Z59" i="33" s="1"/>
  <c r="AA59" i="33" s="1"/>
  <c r="AB59" i="33" s="1"/>
  <c r="V59" i="33"/>
  <c r="N59" i="33"/>
  <c r="O59" i="33" s="1"/>
  <c r="P59" i="33" s="1"/>
  <c r="Q59" i="33" s="1"/>
  <c r="R59" i="33" s="1"/>
  <c r="S59" i="33" s="1"/>
  <c r="T59" i="33" s="1"/>
  <c r="AA58" i="33"/>
  <c r="AB58" i="33" s="1"/>
  <c r="W58" i="33"/>
  <c r="X58" i="33" s="1"/>
  <c r="Y58" i="33" s="1"/>
  <c r="Z58" i="33" s="1"/>
  <c r="V58" i="33"/>
  <c r="N58" i="33"/>
  <c r="O58" i="33" s="1"/>
  <c r="P58" i="33" s="1"/>
  <c r="Q58" i="33" s="1"/>
  <c r="R58" i="33" s="1"/>
  <c r="S58" i="33" s="1"/>
  <c r="T58" i="33" s="1"/>
  <c r="Y57" i="33"/>
  <c r="Z57" i="33" s="1"/>
  <c r="AA57" i="33" s="1"/>
  <c r="AB57" i="33" s="1"/>
  <c r="W57" i="33"/>
  <c r="X57" i="33" s="1"/>
  <c r="V57" i="33"/>
  <c r="P57" i="33"/>
  <c r="Q57" i="33" s="1"/>
  <c r="R57" i="33" s="1"/>
  <c r="S57" i="33" s="1"/>
  <c r="T57" i="33" s="1"/>
  <c r="N57" i="33"/>
  <c r="O57" i="33" s="1"/>
  <c r="W56" i="33"/>
  <c r="X56" i="33" s="1"/>
  <c r="Y56" i="33" s="1"/>
  <c r="Z56" i="33" s="1"/>
  <c r="AA56" i="33" s="1"/>
  <c r="AB56" i="33" s="1"/>
  <c r="V56" i="33"/>
  <c r="N56" i="33"/>
  <c r="O56" i="33" s="1"/>
  <c r="P56" i="33" s="1"/>
  <c r="Q56" i="33" s="1"/>
  <c r="R56" i="33" s="1"/>
  <c r="S56" i="33" s="1"/>
  <c r="T56" i="33" s="1"/>
  <c r="W55" i="33"/>
  <c r="X55" i="33" s="1"/>
  <c r="Y55" i="33" s="1"/>
  <c r="Z55" i="33" s="1"/>
  <c r="AA55" i="33" s="1"/>
  <c r="AB55" i="33" s="1"/>
  <c r="V55" i="33"/>
  <c r="R55" i="33"/>
  <c r="S55" i="33" s="1"/>
  <c r="T55" i="33" s="1"/>
  <c r="P55" i="33"/>
  <c r="Q55" i="33" s="1"/>
  <c r="N55" i="33"/>
  <c r="O55" i="33" s="1"/>
  <c r="W54" i="33"/>
  <c r="X54" i="33" s="1"/>
  <c r="Y54" i="33" s="1"/>
  <c r="Z54" i="33" s="1"/>
  <c r="AA54" i="33" s="1"/>
  <c r="AB54" i="33" s="1"/>
  <c r="V54" i="33"/>
  <c r="P54" i="33"/>
  <c r="Q54" i="33" s="1"/>
  <c r="R54" i="33" s="1"/>
  <c r="S54" i="33" s="1"/>
  <c r="T54" i="33" s="1"/>
  <c r="N54" i="33"/>
  <c r="O54" i="33" s="1"/>
  <c r="W53" i="33"/>
  <c r="X53" i="33" s="1"/>
  <c r="Y53" i="33" s="1"/>
  <c r="Z53" i="33" s="1"/>
  <c r="AA53" i="33" s="1"/>
  <c r="AB53" i="33" s="1"/>
  <c r="V53" i="33"/>
  <c r="R53" i="33"/>
  <c r="S53" i="33" s="1"/>
  <c r="T53" i="33" s="1"/>
  <c r="P53" i="33"/>
  <c r="Q53" i="33" s="1"/>
  <c r="N53" i="33"/>
  <c r="O53" i="33" s="1"/>
  <c r="W52" i="33"/>
  <c r="X52" i="33" s="1"/>
  <c r="Y52" i="33" s="1"/>
  <c r="Z52" i="33" s="1"/>
  <c r="AA52" i="33" s="1"/>
  <c r="AB52" i="33" s="1"/>
  <c r="V52" i="33"/>
  <c r="P52" i="33"/>
  <c r="Q52" i="33" s="1"/>
  <c r="R52" i="33" s="1"/>
  <c r="S52" i="33" s="1"/>
  <c r="T52" i="33" s="1"/>
  <c r="N52" i="33"/>
  <c r="O52" i="33" s="1"/>
  <c r="W51" i="33"/>
  <c r="X51" i="33" s="1"/>
  <c r="Y51" i="33" s="1"/>
  <c r="Z51" i="33" s="1"/>
  <c r="AA51" i="33" s="1"/>
  <c r="AB51" i="33" s="1"/>
  <c r="V51" i="33"/>
  <c r="R51" i="33"/>
  <c r="S51" i="33" s="1"/>
  <c r="T51" i="33" s="1"/>
  <c r="P51" i="33"/>
  <c r="Q51" i="33" s="1"/>
  <c r="N51" i="33"/>
  <c r="O51" i="33" s="1"/>
  <c r="W50" i="33"/>
  <c r="X50" i="33" s="1"/>
  <c r="Y50" i="33" s="1"/>
  <c r="Z50" i="33" s="1"/>
  <c r="AA50" i="33" s="1"/>
  <c r="AB50" i="33" s="1"/>
  <c r="V50" i="33"/>
  <c r="P50" i="33"/>
  <c r="Q50" i="33" s="1"/>
  <c r="R50" i="33" s="1"/>
  <c r="S50" i="33" s="1"/>
  <c r="T50" i="33" s="1"/>
  <c r="N50" i="33"/>
  <c r="O50" i="33" s="1"/>
  <c r="W49" i="33"/>
  <c r="X49" i="33" s="1"/>
  <c r="Y49" i="33" s="1"/>
  <c r="Z49" i="33" s="1"/>
  <c r="AA49" i="33" s="1"/>
  <c r="AB49" i="33" s="1"/>
  <c r="V49" i="33"/>
  <c r="R49" i="33"/>
  <c r="S49" i="33" s="1"/>
  <c r="T49" i="33" s="1"/>
  <c r="P49" i="33"/>
  <c r="Q49" i="33" s="1"/>
  <c r="N49" i="33"/>
  <c r="O49" i="33" s="1"/>
  <c r="W48" i="33"/>
  <c r="X48" i="33" s="1"/>
  <c r="Y48" i="33" s="1"/>
  <c r="Z48" i="33" s="1"/>
  <c r="AA48" i="33" s="1"/>
  <c r="AB48" i="33" s="1"/>
  <c r="V48" i="33"/>
  <c r="P48" i="33"/>
  <c r="Q48" i="33" s="1"/>
  <c r="R48" i="33" s="1"/>
  <c r="S48" i="33" s="1"/>
  <c r="T48" i="33" s="1"/>
  <c r="N48" i="33"/>
  <c r="O48" i="33" s="1"/>
  <c r="Y47" i="33"/>
  <c r="Z47" i="33" s="1"/>
  <c r="AA47" i="33" s="1"/>
  <c r="AB47" i="33" s="1"/>
  <c r="W47" i="33"/>
  <c r="X47" i="33" s="1"/>
  <c r="V47" i="33"/>
  <c r="R47" i="33"/>
  <c r="S47" i="33" s="1"/>
  <c r="T47" i="33" s="1"/>
  <c r="P47" i="33"/>
  <c r="Q47" i="33" s="1"/>
  <c r="N47" i="33"/>
  <c r="O47" i="33" s="1"/>
  <c r="W46" i="33"/>
  <c r="X46" i="33" s="1"/>
  <c r="Y46" i="33" s="1"/>
  <c r="Z46" i="33" s="1"/>
  <c r="AA46" i="33" s="1"/>
  <c r="AB46" i="33" s="1"/>
  <c r="V46" i="33"/>
  <c r="P46" i="33"/>
  <c r="Q46" i="33" s="1"/>
  <c r="R46" i="33" s="1"/>
  <c r="S46" i="33" s="1"/>
  <c r="T46" i="33" s="1"/>
  <c r="N46" i="33"/>
  <c r="O46" i="33" s="1"/>
  <c r="Y45" i="33"/>
  <c r="Z45" i="33" s="1"/>
  <c r="AA45" i="33" s="1"/>
  <c r="AB45" i="33" s="1"/>
  <c r="X45" i="33"/>
  <c r="W45" i="33"/>
  <c r="V45" i="33"/>
  <c r="O45" i="33"/>
  <c r="P45" i="33" s="1"/>
  <c r="Q45" i="33" s="1"/>
  <c r="R45" i="33" s="1"/>
  <c r="S45" i="33" s="1"/>
  <c r="T45" i="33" s="1"/>
  <c r="N45" i="33"/>
  <c r="W44" i="33"/>
  <c r="X44" i="33" s="1"/>
  <c r="Y44" i="33" s="1"/>
  <c r="Z44" i="33" s="1"/>
  <c r="AA44" i="33" s="1"/>
  <c r="AB44" i="33" s="1"/>
  <c r="V44" i="33"/>
  <c r="N44" i="33"/>
  <c r="O44" i="33" s="1"/>
  <c r="P44" i="33" s="1"/>
  <c r="Q44" i="33" s="1"/>
  <c r="R44" i="33" s="1"/>
  <c r="S44" i="33" s="1"/>
  <c r="T44" i="33" s="1"/>
  <c r="X43" i="33"/>
  <c r="Y43" i="33" s="1"/>
  <c r="Z43" i="33" s="1"/>
  <c r="AA43" i="33" s="1"/>
  <c r="AB43" i="33" s="1"/>
  <c r="W43" i="33"/>
  <c r="V43" i="33"/>
  <c r="P43" i="33"/>
  <c r="Q43" i="33" s="1"/>
  <c r="R43" i="33" s="1"/>
  <c r="S43" i="33" s="1"/>
  <c r="T43" i="33" s="1"/>
  <c r="O43" i="33"/>
  <c r="N43" i="33"/>
  <c r="Z42" i="33"/>
  <c r="AA42" i="33" s="1"/>
  <c r="AB42" i="33" s="1"/>
  <c r="W42" i="33"/>
  <c r="X42" i="33" s="1"/>
  <c r="Y42" i="33" s="1"/>
  <c r="V42" i="33"/>
  <c r="Q42" i="33"/>
  <c r="R42" i="33" s="1"/>
  <c r="S42" i="33" s="1"/>
  <c r="T42" i="33" s="1"/>
  <c r="N42" i="33"/>
  <c r="O42" i="33" s="1"/>
  <c r="P42" i="33" s="1"/>
  <c r="X41" i="33"/>
  <c r="Y41" i="33" s="1"/>
  <c r="Z41" i="33" s="1"/>
  <c r="AA41" i="33" s="1"/>
  <c r="AB41" i="33" s="1"/>
  <c r="W41" i="33"/>
  <c r="V41" i="33"/>
  <c r="S41" i="33"/>
  <c r="T41" i="33" s="1"/>
  <c r="P41" i="33"/>
  <c r="Q41" i="33" s="1"/>
  <c r="R41" i="33" s="1"/>
  <c r="O41" i="33"/>
  <c r="N41" i="33"/>
  <c r="V40" i="33"/>
  <c r="W40" i="33" s="1"/>
  <c r="X40" i="33" s="1"/>
  <c r="Y40" i="33" s="1"/>
  <c r="Z40" i="33" s="1"/>
  <c r="AA40" i="33" s="1"/>
  <c r="AB40" i="33" s="1"/>
  <c r="R40" i="33"/>
  <c r="S40" i="33" s="1"/>
  <c r="T40" i="33" s="1"/>
  <c r="Q40" i="33"/>
  <c r="N40" i="33"/>
  <c r="O40" i="33" s="1"/>
  <c r="P40" i="33" s="1"/>
  <c r="Y39" i="33"/>
  <c r="Z39" i="33" s="1"/>
  <c r="AA39" i="33" s="1"/>
  <c r="AB39" i="33" s="1"/>
  <c r="X39" i="33"/>
  <c r="W39" i="33"/>
  <c r="V39" i="33"/>
  <c r="O39" i="33"/>
  <c r="P39" i="33" s="1"/>
  <c r="Q39" i="33" s="1"/>
  <c r="R39" i="33" s="1"/>
  <c r="S39" i="33" s="1"/>
  <c r="T39" i="33" s="1"/>
  <c r="N39" i="33"/>
  <c r="V38" i="33"/>
  <c r="W38" i="33" s="1"/>
  <c r="X38" i="33" s="1"/>
  <c r="Y38" i="33" s="1"/>
  <c r="Z38" i="33" s="1"/>
  <c r="AA38" i="33" s="1"/>
  <c r="AB38" i="33" s="1"/>
  <c r="N38" i="33"/>
  <c r="O38" i="33" s="1"/>
  <c r="P38" i="33" s="1"/>
  <c r="Q38" i="33" s="1"/>
  <c r="R38" i="33" s="1"/>
  <c r="S38" i="33" s="1"/>
  <c r="T38" i="33" s="1"/>
  <c r="AB37" i="33"/>
  <c r="Y37" i="33"/>
  <c r="Z37" i="33" s="1"/>
  <c r="AA37" i="33" s="1"/>
  <c r="X37" i="33"/>
  <c r="W37" i="33"/>
  <c r="V37" i="33"/>
  <c r="O37" i="33"/>
  <c r="P37" i="33" s="1"/>
  <c r="Q37" i="33" s="1"/>
  <c r="R37" i="33" s="1"/>
  <c r="S37" i="33" s="1"/>
  <c r="T37" i="33" s="1"/>
  <c r="N37" i="33"/>
  <c r="W36" i="33"/>
  <c r="X36" i="33" s="1"/>
  <c r="Y36" i="33" s="1"/>
  <c r="Z36" i="33" s="1"/>
  <c r="AA36" i="33" s="1"/>
  <c r="AB36" i="33" s="1"/>
  <c r="V36" i="33"/>
  <c r="N36" i="33"/>
  <c r="O36" i="33" s="1"/>
  <c r="P36" i="33" s="1"/>
  <c r="Q36" i="33" s="1"/>
  <c r="R36" i="33" s="1"/>
  <c r="S36" i="33" s="1"/>
  <c r="T36" i="33" s="1"/>
  <c r="X35" i="33"/>
  <c r="Y35" i="33" s="1"/>
  <c r="Z35" i="33" s="1"/>
  <c r="AA35" i="33" s="1"/>
  <c r="AB35" i="33" s="1"/>
  <c r="W35" i="33"/>
  <c r="V35" i="33"/>
  <c r="P35" i="33"/>
  <c r="Q35" i="33" s="1"/>
  <c r="R35" i="33" s="1"/>
  <c r="S35" i="33" s="1"/>
  <c r="T35" i="33" s="1"/>
  <c r="O35" i="33"/>
  <c r="N35" i="33"/>
  <c r="Z34" i="33"/>
  <c r="AA34" i="33" s="1"/>
  <c r="AB34" i="33" s="1"/>
  <c r="W34" i="33"/>
  <c r="X34" i="33" s="1"/>
  <c r="Y34" i="33" s="1"/>
  <c r="V34" i="33"/>
  <c r="Q34" i="33"/>
  <c r="R34" i="33" s="1"/>
  <c r="S34" i="33" s="1"/>
  <c r="T34" i="33" s="1"/>
  <c r="N34" i="33"/>
  <c r="O34" i="33" s="1"/>
  <c r="P34" i="33" s="1"/>
  <c r="X33" i="33"/>
  <c r="Y33" i="33" s="1"/>
  <c r="Z33" i="33" s="1"/>
  <c r="AA33" i="33" s="1"/>
  <c r="AB33" i="33" s="1"/>
  <c r="W33" i="33"/>
  <c r="V33" i="33"/>
  <c r="N33" i="33"/>
  <c r="O33" i="33" s="1"/>
  <c r="P33" i="33" s="1"/>
  <c r="Q33" i="33" s="1"/>
  <c r="R33" i="33" s="1"/>
  <c r="S33" i="33" s="1"/>
  <c r="T33" i="33" s="1"/>
  <c r="V32" i="33"/>
  <c r="W32" i="33" s="1"/>
  <c r="X32" i="33" s="1"/>
  <c r="Y32" i="33" s="1"/>
  <c r="Z32" i="33" s="1"/>
  <c r="AA32" i="33" s="1"/>
  <c r="AB32" i="33" s="1"/>
  <c r="P32" i="33"/>
  <c r="Q32" i="33" s="1"/>
  <c r="R32" i="33" s="1"/>
  <c r="S32" i="33" s="1"/>
  <c r="T32" i="33" s="1"/>
  <c r="N32" i="33"/>
  <c r="O32" i="33" s="1"/>
  <c r="Y31" i="33"/>
  <c r="Z31" i="33" s="1"/>
  <c r="AA31" i="33" s="1"/>
  <c r="AB31" i="33" s="1"/>
  <c r="X31" i="33"/>
  <c r="W31" i="33"/>
  <c r="V31" i="33"/>
  <c r="O31" i="33"/>
  <c r="P31" i="33" s="1"/>
  <c r="Q31" i="33" s="1"/>
  <c r="R31" i="33" s="1"/>
  <c r="S31" i="33" s="1"/>
  <c r="T31" i="33" s="1"/>
  <c r="N31" i="33"/>
  <c r="Y30" i="33"/>
  <c r="Z30" i="33" s="1"/>
  <c r="AA30" i="33" s="1"/>
  <c r="AB30" i="33" s="1"/>
  <c r="W30" i="33"/>
  <c r="X30" i="33" s="1"/>
  <c r="V30" i="33"/>
  <c r="N30" i="33"/>
  <c r="O30" i="33" s="1"/>
  <c r="P30" i="33" s="1"/>
  <c r="Q30" i="33" s="1"/>
  <c r="R30" i="33" s="1"/>
  <c r="S30" i="33" s="1"/>
  <c r="T30" i="33" s="1"/>
  <c r="W29" i="33"/>
  <c r="X29" i="33" s="1"/>
  <c r="Y29" i="33" s="1"/>
  <c r="Z29" i="33" s="1"/>
  <c r="AA29" i="33" s="1"/>
  <c r="AB29" i="33" s="1"/>
  <c r="V29" i="33"/>
  <c r="N29" i="33"/>
  <c r="O29" i="33" s="1"/>
  <c r="P29" i="33" s="1"/>
  <c r="Q29" i="33" s="1"/>
  <c r="R29" i="33" s="1"/>
  <c r="S29" i="33" s="1"/>
  <c r="T29" i="33" s="1"/>
  <c r="V28" i="33"/>
  <c r="W28" i="33" s="1"/>
  <c r="X28" i="33" s="1"/>
  <c r="Y28" i="33" s="1"/>
  <c r="Z28" i="33" s="1"/>
  <c r="AA28" i="33" s="1"/>
  <c r="AB28" i="33" s="1"/>
  <c r="P28" i="33"/>
  <c r="Q28" i="33" s="1"/>
  <c r="R28" i="33" s="1"/>
  <c r="S28" i="33" s="1"/>
  <c r="T28" i="33" s="1"/>
  <c r="N28" i="33"/>
  <c r="O28" i="33" s="1"/>
  <c r="Y27" i="33"/>
  <c r="Z27" i="33" s="1"/>
  <c r="AA27" i="33" s="1"/>
  <c r="AB27" i="33" s="1"/>
  <c r="X27" i="33"/>
  <c r="W27" i="33"/>
  <c r="V27" i="33"/>
  <c r="O27" i="33"/>
  <c r="P27" i="33" s="1"/>
  <c r="Q27" i="33" s="1"/>
  <c r="R27" i="33" s="1"/>
  <c r="S27" i="33" s="1"/>
  <c r="T27" i="33" s="1"/>
  <c r="N27" i="33"/>
  <c r="Y26" i="33"/>
  <c r="Z26" i="33" s="1"/>
  <c r="AA26" i="33" s="1"/>
  <c r="AB26" i="33" s="1"/>
  <c r="W26" i="33"/>
  <c r="X26" i="33" s="1"/>
  <c r="V26" i="33"/>
  <c r="N26" i="33"/>
  <c r="O26" i="33" s="1"/>
  <c r="P26" i="33" s="1"/>
  <c r="Q26" i="33" s="1"/>
  <c r="R26" i="33" s="1"/>
  <c r="S26" i="33" s="1"/>
  <c r="T26" i="33" s="1"/>
  <c r="W25" i="33"/>
  <c r="X25" i="33" s="1"/>
  <c r="Y25" i="33" s="1"/>
  <c r="Z25" i="33" s="1"/>
  <c r="AA25" i="33" s="1"/>
  <c r="AB25" i="33" s="1"/>
  <c r="V25" i="33"/>
  <c r="N25" i="33"/>
  <c r="O25" i="33" s="1"/>
  <c r="P25" i="33" s="1"/>
  <c r="Q25" i="33" s="1"/>
  <c r="R25" i="33" s="1"/>
  <c r="S25" i="33" s="1"/>
  <c r="T25" i="33" s="1"/>
  <c r="V24" i="33"/>
  <c r="W24" i="33" s="1"/>
  <c r="X24" i="33" s="1"/>
  <c r="Y24" i="33" s="1"/>
  <c r="Z24" i="33" s="1"/>
  <c r="AA24" i="33" s="1"/>
  <c r="AB24" i="33" s="1"/>
  <c r="P24" i="33"/>
  <c r="Q24" i="33" s="1"/>
  <c r="R24" i="33" s="1"/>
  <c r="S24" i="33" s="1"/>
  <c r="T24" i="33" s="1"/>
  <c r="O24" i="33"/>
  <c r="N24" i="33"/>
  <c r="W23" i="33"/>
  <c r="X23" i="33" s="1"/>
  <c r="Y23" i="33" s="1"/>
  <c r="Z23" i="33" s="1"/>
  <c r="AA23" i="33" s="1"/>
  <c r="AB23" i="33" s="1"/>
  <c r="V23" i="33"/>
  <c r="N23" i="33"/>
  <c r="O23" i="33" s="1"/>
  <c r="P23" i="33" s="1"/>
  <c r="Q23" i="33" s="1"/>
  <c r="R23" i="33" s="1"/>
  <c r="S23" i="33" s="1"/>
  <c r="T23" i="33" s="1"/>
  <c r="V22" i="33"/>
  <c r="W22" i="33" s="1"/>
  <c r="X22" i="33" s="1"/>
  <c r="Y22" i="33" s="1"/>
  <c r="Z22" i="33" s="1"/>
  <c r="AA22" i="33" s="1"/>
  <c r="AB22" i="33" s="1"/>
  <c r="P22" i="33"/>
  <c r="Q22" i="33" s="1"/>
  <c r="R22" i="33" s="1"/>
  <c r="S22" i="33" s="1"/>
  <c r="T22" i="33" s="1"/>
  <c r="O22" i="33"/>
  <c r="N22" i="33"/>
  <c r="W21" i="33"/>
  <c r="X21" i="33" s="1"/>
  <c r="Y21" i="33" s="1"/>
  <c r="Z21" i="33" s="1"/>
  <c r="AA21" i="33" s="1"/>
  <c r="AB21" i="33" s="1"/>
  <c r="V21" i="33"/>
  <c r="N21" i="33"/>
  <c r="O21" i="33" s="1"/>
  <c r="P21" i="33" s="1"/>
  <c r="Q21" i="33" s="1"/>
  <c r="R21" i="33" s="1"/>
  <c r="S21" i="33" s="1"/>
  <c r="T21" i="33" s="1"/>
  <c r="V20" i="33"/>
  <c r="W20" i="33" s="1"/>
  <c r="X20" i="33" s="1"/>
  <c r="Y20" i="33" s="1"/>
  <c r="Z20" i="33" s="1"/>
  <c r="AA20" i="33" s="1"/>
  <c r="AB20" i="33" s="1"/>
  <c r="P20" i="33"/>
  <c r="Q20" i="33" s="1"/>
  <c r="R20" i="33" s="1"/>
  <c r="S20" i="33" s="1"/>
  <c r="T20" i="33" s="1"/>
  <c r="O20" i="33"/>
  <c r="N20" i="33"/>
  <c r="W19" i="33"/>
  <c r="X19" i="33" s="1"/>
  <c r="Y19" i="33" s="1"/>
  <c r="Z19" i="33" s="1"/>
  <c r="AA19" i="33" s="1"/>
  <c r="AB19" i="33" s="1"/>
  <c r="V19" i="33"/>
  <c r="N19" i="33"/>
  <c r="O19" i="33" s="1"/>
  <c r="P19" i="33" s="1"/>
  <c r="Q19" i="33" s="1"/>
  <c r="R19" i="33" s="1"/>
  <c r="S19" i="33" s="1"/>
  <c r="T19" i="33" s="1"/>
  <c r="V18" i="33"/>
  <c r="W18" i="33" s="1"/>
  <c r="X18" i="33" s="1"/>
  <c r="Y18" i="33" s="1"/>
  <c r="Z18" i="33" s="1"/>
  <c r="AA18" i="33" s="1"/>
  <c r="AB18" i="33" s="1"/>
  <c r="P18" i="33"/>
  <c r="Q18" i="33" s="1"/>
  <c r="R18" i="33" s="1"/>
  <c r="S18" i="33" s="1"/>
  <c r="T18" i="33" s="1"/>
  <c r="O18" i="33"/>
  <c r="N18" i="33"/>
  <c r="W17" i="33"/>
  <c r="X17" i="33" s="1"/>
  <c r="Y17" i="33" s="1"/>
  <c r="Z17" i="33" s="1"/>
  <c r="AA17" i="33" s="1"/>
  <c r="AB17" i="33" s="1"/>
  <c r="V17" i="33"/>
  <c r="N17" i="33"/>
  <c r="O17" i="33" s="1"/>
  <c r="P17" i="33" s="1"/>
  <c r="Q17" i="33" s="1"/>
  <c r="R17" i="33" s="1"/>
  <c r="S17" i="33" s="1"/>
  <c r="T17" i="33" s="1"/>
  <c r="V16" i="33"/>
  <c r="W16" i="33" s="1"/>
  <c r="X16" i="33" s="1"/>
  <c r="Y16" i="33" s="1"/>
  <c r="Z16" i="33" s="1"/>
  <c r="AA16" i="33" s="1"/>
  <c r="AB16" i="33" s="1"/>
  <c r="P16" i="33"/>
  <c r="Q16" i="33" s="1"/>
  <c r="R16" i="33" s="1"/>
  <c r="S16" i="33" s="1"/>
  <c r="T16" i="33" s="1"/>
  <c r="O16" i="33"/>
  <c r="N16" i="33"/>
  <c r="W15" i="33"/>
  <c r="X15" i="33" s="1"/>
  <c r="Y15" i="33" s="1"/>
  <c r="Z15" i="33" s="1"/>
  <c r="AA15" i="33" s="1"/>
  <c r="AB15" i="33" s="1"/>
  <c r="V15" i="33"/>
  <c r="N15" i="33"/>
  <c r="O15" i="33" s="1"/>
  <c r="P15" i="33" s="1"/>
  <c r="Q15" i="33" s="1"/>
  <c r="R15" i="33" s="1"/>
  <c r="S15" i="33" s="1"/>
  <c r="T15" i="33" s="1"/>
  <c r="V14" i="33"/>
  <c r="W14" i="33" s="1"/>
  <c r="X14" i="33" s="1"/>
  <c r="Y14" i="33" s="1"/>
  <c r="Z14" i="33" s="1"/>
  <c r="AA14" i="33" s="1"/>
  <c r="AB14" i="33" s="1"/>
  <c r="P14" i="33"/>
  <c r="Q14" i="33" s="1"/>
  <c r="R14" i="33" s="1"/>
  <c r="S14" i="33" s="1"/>
  <c r="T14" i="33" s="1"/>
  <c r="O14" i="33"/>
  <c r="N14" i="33"/>
  <c r="W13" i="33"/>
  <c r="X13" i="33" s="1"/>
  <c r="Y13" i="33" s="1"/>
  <c r="Z13" i="33" s="1"/>
  <c r="AA13" i="33" s="1"/>
  <c r="AB13" i="33" s="1"/>
  <c r="V13" i="33"/>
  <c r="N13" i="33"/>
  <c r="O13" i="33" s="1"/>
  <c r="P13" i="33" s="1"/>
  <c r="Q13" i="33" s="1"/>
  <c r="R13" i="33" s="1"/>
  <c r="S13" i="33" s="1"/>
  <c r="T13" i="33" s="1"/>
  <c r="V12" i="33"/>
  <c r="W12" i="33" s="1"/>
  <c r="X12" i="33" s="1"/>
  <c r="Y12" i="33" s="1"/>
  <c r="Z12" i="33" s="1"/>
  <c r="AA12" i="33" s="1"/>
  <c r="AB12" i="33" s="1"/>
  <c r="P12" i="33"/>
  <c r="Q12" i="33" s="1"/>
  <c r="R12" i="33" s="1"/>
  <c r="S12" i="33" s="1"/>
  <c r="T12" i="33" s="1"/>
  <c r="O12" i="33"/>
  <c r="N12" i="33"/>
  <c r="W11" i="33"/>
  <c r="X11" i="33" s="1"/>
  <c r="Y11" i="33" s="1"/>
  <c r="Z11" i="33" s="1"/>
  <c r="AA11" i="33" s="1"/>
  <c r="AB11" i="33" s="1"/>
  <c r="V11" i="33"/>
  <c r="N11" i="33"/>
  <c r="O11" i="33" s="1"/>
  <c r="P11" i="33" s="1"/>
  <c r="Q11" i="33" s="1"/>
  <c r="R11" i="33" s="1"/>
  <c r="S11" i="33" s="1"/>
  <c r="T11" i="33" s="1"/>
  <c r="V10" i="33"/>
  <c r="W10" i="33" s="1"/>
  <c r="X10" i="33" s="1"/>
  <c r="Y10" i="33" s="1"/>
  <c r="Z10" i="33" s="1"/>
  <c r="AA10" i="33" s="1"/>
  <c r="AB10" i="33" s="1"/>
  <c r="P10" i="33"/>
  <c r="Q10" i="33" s="1"/>
  <c r="R10" i="33" s="1"/>
  <c r="S10" i="33" s="1"/>
  <c r="T10" i="33" s="1"/>
  <c r="O10" i="33"/>
  <c r="N10" i="33"/>
  <c r="M75" i="33"/>
  <c r="E75" i="33"/>
  <c r="U74" i="33"/>
  <c r="M74" i="33"/>
  <c r="E74" i="33"/>
  <c r="G73" i="33"/>
  <c r="F73" i="33"/>
  <c r="L72" i="33"/>
  <c r="I72" i="33"/>
  <c r="J72" i="33" s="1"/>
  <c r="K72" i="33" s="1"/>
  <c r="H72" i="33"/>
  <c r="F72" i="33"/>
  <c r="G72" i="33" s="1"/>
  <c r="F71" i="33"/>
  <c r="F70" i="33"/>
  <c r="H69" i="33"/>
  <c r="I69" i="33" s="1"/>
  <c r="J69" i="33" s="1"/>
  <c r="K69" i="33" s="1"/>
  <c r="L69" i="33" s="1"/>
  <c r="G69" i="33"/>
  <c r="F69" i="33"/>
  <c r="I68" i="33"/>
  <c r="J68" i="33" s="1"/>
  <c r="K68" i="33" s="1"/>
  <c r="L68" i="33" s="1"/>
  <c r="H68" i="33"/>
  <c r="G68" i="33"/>
  <c r="F68" i="33"/>
  <c r="F67" i="33"/>
  <c r="F66" i="33"/>
  <c r="G65" i="33"/>
  <c r="H65" i="33" s="1"/>
  <c r="I65" i="33" s="1"/>
  <c r="J65" i="33" s="1"/>
  <c r="K65" i="33" s="1"/>
  <c r="L65" i="33" s="1"/>
  <c r="F65" i="33"/>
  <c r="F64" i="33"/>
  <c r="G64" i="33" s="1"/>
  <c r="H64" i="33" s="1"/>
  <c r="I64" i="33" s="1"/>
  <c r="J64" i="33" s="1"/>
  <c r="K64" i="33" s="1"/>
  <c r="L64" i="33" s="1"/>
  <c r="F63" i="33"/>
  <c r="G63" i="33" s="1"/>
  <c r="F62" i="33"/>
  <c r="G62" i="33" s="1"/>
  <c r="H62" i="33" s="1"/>
  <c r="I62" i="33" s="1"/>
  <c r="J62" i="33" s="1"/>
  <c r="K62" i="33" s="1"/>
  <c r="L62" i="33" s="1"/>
  <c r="F61" i="33"/>
  <c r="G61" i="33" s="1"/>
  <c r="H61" i="33" s="1"/>
  <c r="I61" i="33" s="1"/>
  <c r="J61" i="33" s="1"/>
  <c r="K61" i="33" s="1"/>
  <c r="L61" i="33" s="1"/>
  <c r="F60" i="33"/>
  <c r="F59" i="33"/>
  <c r="J58" i="33"/>
  <c r="K58" i="33" s="1"/>
  <c r="L58" i="33" s="1"/>
  <c r="G58" i="33"/>
  <c r="H58" i="33" s="1"/>
  <c r="I58" i="33" s="1"/>
  <c r="F58" i="33"/>
  <c r="G57" i="33"/>
  <c r="H57" i="33" s="1"/>
  <c r="I57" i="33" s="1"/>
  <c r="J57" i="33" s="1"/>
  <c r="K57" i="33" s="1"/>
  <c r="L57" i="33" s="1"/>
  <c r="F57" i="33"/>
  <c r="F56" i="33"/>
  <c r="F55" i="33"/>
  <c r="G55" i="33" s="1"/>
  <c r="H55" i="33" s="1"/>
  <c r="I55" i="33" s="1"/>
  <c r="J55" i="33" s="1"/>
  <c r="K55" i="33" s="1"/>
  <c r="L55" i="33" s="1"/>
  <c r="F54" i="33"/>
  <c r="G54" i="33" s="1"/>
  <c r="F53" i="33"/>
  <c r="G53" i="33" s="1"/>
  <c r="H53" i="33" s="1"/>
  <c r="I53" i="33" s="1"/>
  <c r="J53" i="33" s="1"/>
  <c r="K53" i="33" s="1"/>
  <c r="L53" i="33" s="1"/>
  <c r="F52" i="33"/>
  <c r="F51" i="33"/>
  <c r="G51" i="33" s="1"/>
  <c r="H51" i="33" s="1"/>
  <c r="I51" i="33" s="1"/>
  <c r="J51" i="33" s="1"/>
  <c r="K51" i="33" s="1"/>
  <c r="L51" i="33" s="1"/>
  <c r="F50" i="33"/>
  <c r="G50" i="33" s="1"/>
  <c r="F49" i="33"/>
  <c r="G49" i="33" s="1"/>
  <c r="H49" i="33" s="1"/>
  <c r="I49" i="33" s="1"/>
  <c r="J49" i="33" s="1"/>
  <c r="K49" i="33" s="1"/>
  <c r="L49" i="33" s="1"/>
  <c r="F48" i="33"/>
  <c r="F47" i="33"/>
  <c r="G47" i="33" s="1"/>
  <c r="H47" i="33" s="1"/>
  <c r="I47" i="33" s="1"/>
  <c r="J47" i="33" s="1"/>
  <c r="K47" i="33" s="1"/>
  <c r="L47" i="33" s="1"/>
  <c r="F46" i="33"/>
  <c r="G46" i="33" s="1"/>
  <c r="H46" i="33" s="1"/>
  <c r="I46" i="33" s="1"/>
  <c r="J46" i="33" s="1"/>
  <c r="K46" i="33" s="1"/>
  <c r="L46" i="33" s="1"/>
  <c r="F45" i="33"/>
  <c r="G45" i="33" s="1"/>
  <c r="H45" i="33" s="1"/>
  <c r="I45" i="33" s="1"/>
  <c r="J45" i="33" s="1"/>
  <c r="K45" i="33" s="1"/>
  <c r="L45" i="33" s="1"/>
  <c r="F44" i="33"/>
  <c r="G43" i="33"/>
  <c r="H43" i="33" s="1"/>
  <c r="I43" i="33" s="1"/>
  <c r="J43" i="33" s="1"/>
  <c r="K43" i="33" s="1"/>
  <c r="L43" i="33" s="1"/>
  <c r="F43" i="33"/>
  <c r="I42" i="33"/>
  <c r="J42" i="33" s="1"/>
  <c r="K42" i="33" s="1"/>
  <c r="L42" i="33" s="1"/>
  <c r="F42" i="33"/>
  <c r="G42" i="33" s="1"/>
  <c r="H42" i="33" s="1"/>
  <c r="F41" i="33"/>
  <c r="F40" i="33"/>
  <c r="F39" i="33"/>
  <c r="G38" i="33"/>
  <c r="F38" i="33"/>
  <c r="F37" i="33"/>
  <c r="G37" i="33" s="1"/>
  <c r="F36" i="33"/>
  <c r="F35" i="33"/>
  <c r="F34" i="33"/>
  <c r="G34" i="33" s="1"/>
  <c r="H33" i="33"/>
  <c r="I33" i="33" s="1"/>
  <c r="J33" i="33" s="1"/>
  <c r="K33" i="33" s="1"/>
  <c r="L33" i="33" s="1"/>
  <c r="F33" i="33"/>
  <c r="G33" i="33" s="1"/>
  <c r="F32" i="33"/>
  <c r="F31" i="33"/>
  <c r="G31" i="33" s="1"/>
  <c r="H31" i="33" s="1"/>
  <c r="I31" i="33" s="1"/>
  <c r="J31" i="33" s="1"/>
  <c r="K31" i="33" s="1"/>
  <c r="L31" i="33" s="1"/>
  <c r="F30" i="33"/>
  <c r="G30" i="33" s="1"/>
  <c r="H30" i="33" s="1"/>
  <c r="I30" i="33" s="1"/>
  <c r="J30" i="33" s="1"/>
  <c r="K30" i="33" s="1"/>
  <c r="L30" i="33" s="1"/>
  <c r="F29" i="33"/>
  <c r="G29" i="33" s="1"/>
  <c r="F28" i="33"/>
  <c r="F27" i="33"/>
  <c r="F26" i="33"/>
  <c r="F25" i="33"/>
  <c r="G24" i="33"/>
  <c r="F24" i="33"/>
  <c r="H23" i="33"/>
  <c r="I23" i="33" s="1"/>
  <c r="J23" i="33" s="1"/>
  <c r="K23" i="33" s="1"/>
  <c r="L23" i="33" s="1"/>
  <c r="G23" i="33"/>
  <c r="F23" i="33"/>
  <c r="F22" i="33"/>
  <c r="F21" i="33"/>
  <c r="G20" i="33"/>
  <c r="F20" i="33"/>
  <c r="H19" i="33"/>
  <c r="I19" i="33" s="1"/>
  <c r="J19" i="33" s="1"/>
  <c r="K19" i="33" s="1"/>
  <c r="L19" i="33" s="1"/>
  <c r="G19" i="33"/>
  <c r="F19" i="33"/>
  <c r="F18" i="33"/>
  <c r="F17" i="33"/>
  <c r="G16" i="33"/>
  <c r="F16" i="33"/>
  <c r="F15" i="33"/>
  <c r="G15" i="33" s="1"/>
  <c r="H15" i="33" s="1"/>
  <c r="I15" i="33" s="1"/>
  <c r="J15" i="33" s="1"/>
  <c r="K15" i="33" s="1"/>
  <c r="L15" i="33" s="1"/>
  <c r="F14" i="33"/>
  <c r="F13" i="33"/>
  <c r="F12" i="33"/>
  <c r="G12" i="33" s="1"/>
  <c r="L11" i="33"/>
  <c r="J11" i="33"/>
  <c r="K11" i="33" s="1"/>
  <c r="G11" i="33"/>
  <c r="H11" i="33" s="1"/>
  <c r="F11" i="33"/>
  <c r="F10" i="33"/>
  <c r="BB5" i="33"/>
  <c r="AD75" i="32"/>
  <c r="AE75" i="32"/>
  <c r="AF75" i="32"/>
  <c r="AG75" i="32"/>
  <c r="AH75" i="32"/>
  <c r="AI75" i="32"/>
  <c r="AJ75" i="32"/>
  <c r="AQ75" i="32"/>
  <c r="AP75" i="32"/>
  <c r="AO75" i="32"/>
  <c r="AN75" i="32"/>
  <c r="AM75" i="32"/>
  <c r="AL75" i="32"/>
  <c r="AK75" i="32"/>
  <c r="AC75" i="32"/>
  <c r="U75" i="32"/>
  <c r="E75" i="32"/>
  <c r="AK74" i="32"/>
  <c r="AC74" i="32"/>
  <c r="U74" i="32"/>
  <c r="E74" i="32"/>
  <c r="AO73" i="32"/>
  <c r="AP73" i="32" s="1"/>
  <c r="AQ73" i="32" s="1"/>
  <c r="AM73" i="32"/>
  <c r="AN73" i="32" s="1"/>
  <c r="AL73" i="32"/>
  <c r="AH73" i="32"/>
  <c r="AI73" i="32" s="1"/>
  <c r="AJ73" i="32" s="1"/>
  <c r="AF73" i="32"/>
  <c r="AG73" i="32" s="1"/>
  <c r="AD73" i="32"/>
  <c r="AE73" i="32" s="1"/>
  <c r="Y73" i="32"/>
  <c r="Z73" i="32" s="1"/>
  <c r="AA73" i="32" s="1"/>
  <c r="AB73" i="32" s="1"/>
  <c r="W73" i="32"/>
  <c r="X73" i="32" s="1"/>
  <c r="V73" i="32"/>
  <c r="G73" i="32"/>
  <c r="F73" i="32"/>
  <c r="AL72" i="32"/>
  <c r="AM72" i="32" s="1"/>
  <c r="AN72" i="32" s="1"/>
  <c r="AO72" i="32" s="1"/>
  <c r="AP72" i="32" s="1"/>
  <c r="AQ72" i="32" s="1"/>
  <c r="AD72" i="32"/>
  <c r="V72" i="32"/>
  <c r="W72" i="32" s="1"/>
  <c r="X72" i="32" s="1"/>
  <c r="Y72" i="32" s="1"/>
  <c r="Z72" i="32" s="1"/>
  <c r="AA72" i="32" s="1"/>
  <c r="AB72" i="32" s="1"/>
  <c r="F72" i="32"/>
  <c r="G72" i="32" s="1"/>
  <c r="H72" i="32" s="1"/>
  <c r="I72" i="32" s="1"/>
  <c r="J72" i="32" s="1"/>
  <c r="K72" i="32" s="1"/>
  <c r="L72" i="32" s="1"/>
  <c r="AM71" i="32"/>
  <c r="AN71" i="32" s="1"/>
  <c r="AO71" i="32" s="1"/>
  <c r="AP71" i="32" s="1"/>
  <c r="AQ71" i="32" s="1"/>
  <c r="AL71" i="32"/>
  <c r="AF71" i="32"/>
  <c r="AG71" i="32" s="1"/>
  <c r="AH71" i="32" s="1"/>
  <c r="AI71" i="32" s="1"/>
  <c r="AJ71" i="32" s="1"/>
  <c r="AD71" i="32"/>
  <c r="AE71" i="32" s="1"/>
  <c r="W71" i="32"/>
  <c r="X71" i="32" s="1"/>
  <c r="Y71" i="32" s="1"/>
  <c r="Z71" i="32" s="1"/>
  <c r="AA71" i="32" s="1"/>
  <c r="AB71" i="32" s="1"/>
  <c r="V71" i="32"/>
  <c r="G71" i="32"/>
  <c r="H71" i="32" s="1"/>
  <c r="I71" i="32" s="1"/>
  <c r="J71" i="32" s="1"/>
  <c r="K71" i="32" s="1"/>
  <c r="L71" i="32" s="1"/>
  <c r="F71" i="32"/>
  <c r="AL70" i="32"/>
  <c r="AM70" i="32" s="1"/>
  <c r="AN70" i="32" s="1"/>
  <c r="AO70" i="32" s="1"/>
  <c r="AP70" i="32" s="1"/>
  <c r="AQ70" i="32" s="1"/>
  <c r="AE70" i="32"/>
  <c r="AF70" i="32" s="1"/>
  <c r="AG70" i="32" s="1"/>
  <c r="AH70" i="32" s="1"/>
  <c r="AI70" i="32" s="1"/>
  <c r="AJ70" i="32" s="1"/>
  <c r="AD70" i="32"/>
  <c r="Z70" i="32"/>
  <c r="AA70" i="32" s="1"/>
  <c r="AB70" i="32" s="1"/>
  <c r="V70" i="32"/>
  <c r="W70" i="32" s="1"/>
  <c r="X70" i="32" s="1"/>
  <c r="Y70" i="32" s="1"/>
  <c r="L70" i="32"/>
  <c r="J70" i="32"/>
  <c r="K70" i="32" s="1"/>
  <c r="H70" i="32"/>
  <c r="I70" i="32" s="1"/>
  <c r="F70" i="32"/>
  <c r="G70" i="32" s="1"/>
  <c r="AL69" i="32"/>
  <c r="AM69" i="32" s="1"/>
  <c r="AN69" i="32" s="1"/>
  <c r="AO69" i="32" s="1"/>
  <c r="AP69" i="32" s="1"/>
  <c r="AQ69" i="32" s="1"/>
  <c r="AD69" i="32"/>
  <c r="AE69" i="32" s="1"/>
  <c r="AF69" i="32" s="1"/>
  <c r="AG69" i="32" s="1"/>
  <c r="AH69" i="32" s="1"/>
  <c r="AI69" i="32" s="1"/>
  <c r="AJ69" i="32" s="1"/>
  <c r="AA69" i="32"/>
  <c r="AB69" i="32" s="1"/>
  <c r="Y69" i="32"/>
  <c r="Z69" i="32" s="1"/>
  <c r="W69" i="32"/>
  <c r="X69" i="32" s="1"/>
  <c r="V69" i="32"/>
  <c r="I69" i="32"/>
  <c r="J69" i="32" s="1"/>
  <c r="K69" i="32" s="1"/>
  <c r="L69" i="32" s="1"/>
  <c r="H69" i="32"/>
  <c r="G69" i="32"/>
  <c r="F69" i="32"/>
  <c r="AL68" i="32"/>
  <c r="AM68" i="32" s="1"/>
  <c r="AN68" i="32" s="1"/>
  <c r="AO68" i="32" s="1"/>
  <c r="AP68" i="32" s="1"/>
  <c r="AQ68" i="32" s="1"/>
  <c r="AD68" i="32"/>
  <c r="AE68" i="32" s="1"/>
  <c r="AF68" i="32" s="1"/>
  <c r="AG68" i="32" s="1"/>
  <c r="AH68" i="32" s="1"/>
  <c r="AI68" i="32" s="1"/>
  <c r="AJ68" i="32" s="1"/>
  <c r="Z68" i="32"/>
  <c r="AA68" i="32" s="1"/>
  <c r="AB68" i="32" s="1"/>
  <c r="V68" i="32"/>
  <c r="W68" i="32" s="1"/>
  <c r="X68" i="32" s="1"/>
  <c r="Y68" i="32" s="1"/>
  <c r="H68" i="32"/>
  <c r="I68" i="32" s="1"/>
  <c r="J68" i="32" s="1"/>
  <c r="K68" i="32" s="1"/>
  <c r="L68" i="32" s="1"/>
  <c r="F68" i="32"/>
  <c r="G68" i="32" s="1"/>
  <c r="AL67" i="32"/>
  <c r="AM67" i="32" s="1"/>
  <c r="AN67" i="32" s="1"/>
  <c r="AO67" i="32" s="1"/>
  <c r="AP67" i="32" s="1"/>
  <c r="AQ67" i="32" s="1"/>
  <c r="AH67" i="32"/>
  <c r="AI67" i="32" s="1"/>
  <c r="AJ67" i="32" s="1"/>
  <c r="AD67" i="32"/>
  <c r="AE67" i="32" s="1"/>
  <c r="AF67" i="32" s="1"/>
  <c r="AG67" i="32" s="1"/>
  <c r="AB67" i="32"/>
  <c r="W67" i="32"/>
  <c r="X67" i="32" s="1"/>
  <c r="Y67" i="32" s="1"/>
  <c r="Z67" i="32" s="1"/>
  <c r="AA67" i="32" s="1"/>
  <c r="V67" i="32"/>
  <c r="G67" i="32"/>
  <c r="H67" i="32" s="1"/>
  <c r="I67" i="32" s="1"/>
  <c r="J67" i="32" s="1"/>
  <c r="K67" i="32" s="1"/>
  <c r="L67" i="32" s="1"/>
  <c r="F67" i="32"/>
  <c r="AM66" i="32"/>
  <c r="AN66" i="32" s="1"/>
  <c r="AO66" i="32" s="1"/>
  <c r="AP66" i="32" s="1"/>
  <c r="AQ66" i="32" s="1"/>
  <c r="AL66" i="32"/>
  <c r="AE66" i="32"/>
  <c r="AF66" i="32" s="1"/>
  <c r="AG66" i="32" s="1"/>
  <c r="AH66" i="32" s="1"/>
  <c r="AI66" i="32" s="1"/>
  <c r="AJ66" i="32" s="1"/>
  <c r="AD66" i="32"/>
  <c r="V66" i="32"/>
  <c r="W66" i="32" s="1"/>
  <c r="X66" i="32" s="1"/>
  <c r="Y66" i="32" s="1"/>
  <c r="Z66" i="32" s="1"/>
  <c r="AA66" i="32" s="1"/>
  <c r="AB66" i="32" s="1"/>
  <c r="H66" i="32"/>
  <c r="I66" i="32" s="1"/>
  <c r="J66" i="32" s="1"/>
  <c r="K66" i="32" s="1"/>
  <c r="L66" i="32" s="1"/>
  <c r="G66" i="32"/>
  <c r="F66" i="32"/>
  <c r="AN65" i="32"/>
  <c r="AO65" i="32" s="1"/>
  <c r="AP65" i="32" s="1"/>
  <c r="AQ65" i="32" s="1"/>
  <c r="AM65" i="32"/>
  <c r="AL65" i="32"/>
  <c r="AE65" i="32"/>
  <c r="AF65" i="32" s="1"/>
  <c r="AG65" i="32" s="1"/>
  <c r="AH65" i="32" s="1"/>
  <c r="AI65" i="32" s="1"/>
  <c r="AJ65" i="32" s="1"/>
  <c r="AD65" i="32"/>
  <c r="W65" i="32"/>
  <c r="X65" i="32" s="1"/>
  <c r="Y65" i="32" s="1"/>
  <c r="Z65" i="32" s="1"/>
  <c r="AA65" i="32" s="1"/>
  <c r="AB65" i="32" s="1"/>
  <c r="V65" i="32"/>
  <c r="I65" i="32"/>
  <c r="J65" i="32" s="1"/>
  <c r="K65" i="32" s="1"/>
  <c r="L65" i="32" s="1"/>
  <c r="BA65" i="32" s="1"/>
  <c r="BB65" i="32" s="1"/>
  <c r="H65" i="32"/>
  <c r="G65" i="32"/>
  <c r="F65" i="32"/>
  <c r="AL64" i="32"/>
  <c r="AM64" i="32" s="1"/>
  <c r="AN64" i="32" s="1"/>
  <c r="AO64" i="32" s="1"/>
  <c r="AP64" i="32" s="1"/>
  <c r="AQ64" i="32" s="1"/>
  <c r="AG64" i="32"/>
  <c r="AH64" i="32" s="1"/>
  <c r="AI64" i="32" s="1"/>
  <c r="AJ64" i="32" s="1"/>
  <c r="AF64" i="32"/>
  <c r="AE64" i="32"/>
  <c r="AD64" i="32"/>
  <c r="AB64" i="32"/>
  <c r="X64" i="32"/>
  <c r="Y64" i="32" s="1"/>
  <c r="Z64" i="32" s="1"/>
  <c r="AA64" i="32" s="1"/>
  <c r="W64" i="32"/>
  <c r="V64" i="32"/>
  <c r="F64" i="32"/>
  <c r="AL63" i="32"/>
  <c r="AM63" i="32" s="1"/>
  <c r="AN63" i="32" s="1"/>
  <c r="AO63" i="32" s="1"/>
  <c r="AP63" i="32" s="1"/>
  <c r="AQ63" i="32" s="1"/>
  <c r="AD63" i="32"/>
  <c r="AE63" i="32" s="1"/>
  <c r="AF63" i="32" s="1"/>
  <c r="AG63" i="32" s="1"/>
  <c r="AH63" i="32" s="1"/>
  <c r="AI63" i="32" s="1"/>
  <c r="AJ63" i="32" s="1"/>
  <c r="W63" i="32"/>
  <c r="X63" i="32" s="1"/>
  <c r="Y63" i="32" s="1"/>
  <c r="Z63" i="32" s="1"/>
  <c r="AA63" i="32" s="1"/>
  <c r="AB63" i="32" s="1"/>
  <c r="V63" i="32"/>
  <c r="F63" i="32"/>
  <c r="AL62" i="32"/>
  <c r="AM62" i="32" s="1"/>
  <c r="AN62" i="32" s="1"/>
  <c r="AO62" i="32" s="1"/>
  <c r="AP62" i="32" s="1"/>
  <c r="AQ62" i="32" s="1"/>
  <c r="AD62" i="32"/>
  <c r="AE62" i="32" s="1"/>
  <c r="AF62" i="32" s="1"/>
  <c r="AG62" i="32" s="1"/>
  <c r="AH62" i="32" s="1"/>
  <c r="AI62" i="32" s="1"/>
  <c r="AJ62" i="32" s="1"/>
  <c r="W62" i="32"/>
  <c r="X62" i="32" s="1"/>
  <c r="Y62" i="32" s="1"/>
  <c r="Z62" i="32" s="1"/>
  <c r="AA62" i="32" s="1"/>
  <c r="AB62" i="32" s="1"/>
  <c r="V62" i="32"/>
  <c r="G62" i="32"/>
  <c r="F62" i="32"/>
  <c r="AL61" i="32"/>
  <c r="AM61" i="32" s="1"/>
  <c r="AN61" i="32" s="1"/>
  <c r="AO61" i="32" s="1"/>
  <c r="AP61" i="32" s="1"/>
  <c r="AQ61" i="32" s="1"/>
  <c r="AE61" i="32"/>
  <c r="AF61" i="32" s="1"/>
  <c r="AG61" i="32" s="1"/>
  <c r="AH61" i="32" s="1"/>
  <c r="AI61" i="32" s="1"/>
  <c r="AJ61" i="32" s="1"/>
  <c r="AD61" i="32"/>
  <c r="V61" i="32"/>
  <c r="W61" i="32" s="1"/>
  <c r="X61" i="32" s="1"/>
  <c r="Y61" i="32" s="1"/>
  <c r="Z61" i="32" s="1"/>
  <c r="AA61" i="32" s="1"/>
  <c r="AB61" i="32" s="1"/>
  <c r="L61" i="32"/>
  <c r="F61" i="32"/>
  <c r="G61" i="32" s="1"/>
  <c r="H61" i="32" s="1"/>
  <c r="I61" i="32" s="1"/>
  <c r="J61" i="32" s="1"/>
  <c r="K61" i="32" s="1"/>
  <c r="AM60" i="32"/>
  <c r="AN60" i="32" s="1"/>
  <c r="AO60" i="32" s="1"/>
  <c r="AP60" i="32" s="1"/>
  <c r="AQ60" i="32" s="1"/>
  <c r="AL60" i="32"/>
  <c r="AD60" i="32"/>
  <c r="AE60" i="32" s="1"/>
  <c r="AF60" i="32" s="1"/>
  <c r="AG60" i="32" s="1"/>
  <c r="AH60" i="32" s="1"/>
  <c r="AI60" i="32" s="1"/>
  <c r="AJ60" i="32" s="1"/>
  <c r="W60" i="32"/>
  <c r="X60" i="32" s="1"/>
  <c r="Y60" i="32" s="1"/>
  <c r="Z60" i="32" s="1"/>
  <c r="AA60" i="32" s="1"/>
  <c r="AB60" i="32" s="1"/>
  <c r="V60" i="32"/>
  <c r="G60" i="32"/>
  <c r="H60" i="32" s="1"/>
  <c r="I60" i="32" s="1"/>
  <c r="J60" i="32" s="1"/>
  <c r="K60" i="32" s="1"/>
  <c r="L60" i="32" s="1"/>
  <c r="F60" i="32"/>
  <c r="AL59" i="32"/>
  <c r="AM59" i="32" s="1"/>
  <c r="AN59" i="32" s="1"/>
  <c r="AO59" i="32" s="1"/>
  <c r="AP59" i="32" s="1"/>
  <c r="AQ59" i="32" s="1"/>
  <c r="AG59" i="32"/>
  <c r="AH59" i="32" s="1"/>
  <c r="AI59" i="32" s="1"/>
  <c r="AJ59" i="32" s="1"/>
  <c r="AE59" i="32"/>
  <c r="AF59" i="32" s="1"/>
  <c r="AD59" i="32"/>
  <c r="Z59" i="32"/>
  <c r="AA59" i="32" s="1"/>
  <c r="AB59" i="32" s="1"/>
  <c r="V59" i="32"/>
  <c r="W59" i="32" s="1"/>
  <c r="X59" i="32" s="1"/>
  <c r="Y59" i="32" s="1"/>
  <c r="F59" i="32"/>
  <c r="G59" i="32" s="1"/>
  <c r="H59" i="32" s="1"/>
  <c r="I59" i="32" s="1"/>
  <c r="J59" i="32" s="1"/>
  <c r="K59" i="32" s="1"/>
  <c r="L59" i="32" s="1"/>
  <c r="AM58" i="32"/>
  <c r="AN58" i="32" s="1"/>
  <c r="AO58" i="32" s="1"/>
  <c r="AP58" i="32" s="1"/>
  <c r="AQ58" i="32" s="1"/>
  <c r="AL58" i="32"/>
  <c r="AJ58" i="32"/>
  <c r="AD58" i="32"/>
  <c r="AE58" i="32" s="1"/>
  <c r="AF58" i="32" s="1"/>
  <c r="AG58" i="32" s="1"/>
  <c r="AH58" i="32" s="1"/>
  <c r="AI58" i="32" s="1"/>
  <c r="AA58" i="32"/>
  <c r="AB58" i="32" s="1"/>
  <c r="W58" i="32"/>
  <c r="X58" i="32" s="1"/>
  <c r="Y58" i="32" s="1"/>
  <c r="Z58" i="32" s="1"/>
  <c r="V58" i="32"/>
  <c r="G58" i="32"/>
  <c r="H58" i="32" s="1"/>
  <c r="I58" i="32" s="1"/>
  <c r="J58" i="32" s="1"/>
  <c r="K58" i="32" s="1"/>
  <c r="L58" i="32" s="1"/>
  <c r="F58" i="32"/>
  <c r="AN57" i="32"/>
  <c r="AO57" i="32" s="1"/>
  <c r="AP57" i="32" s="1"/>
  <c r="AQ57" i="32" s="1"/>
  <c r="AL57" i="32"/>
  <c r="AM57" i="32" s="1"/>
  <c r="AE57" i="32"/>
  <c r="AF57" i="32" s="1"/>
  <c r="AG57" i="32" s="1"/>
  <c r="AH57" i="32" s="1"/>
  <c r="AI57" i="32" s="1"/>
  <c r="AJ57" i="32" s="1"/>
  <c r="AD57" i="32"/>
  <c r="X57" i="32"/>
  <c r="Y57" i="32" s="1"/>
  <c r="Z57" i="32" s="1"/>
  <c r="AA57" i="32" s="1"/>
  <c r="AB57" i="32" s="1"/>
  <c r="V57" i="32"/>
  <c r="W57" i="32" s="1"/>
  <c r="H57" i="32"/>
  <c r="I57" i="32" s="1"/>
  <c r="J57" i="32" s="1"/>
  <c r="K57" i="32" s="1"/>
  <c r="L57" i="32" s="1"/>
  <c r="F57" i="32"/>
  <c r="G57" i="32" s="1"/>
  <c r="AM56" i="32"/>
  <c r="AN56" i="32" s="1"/>
  <c r="AO56" i="32" s="1"/>
  <c r="AP56" i="32" s="1"/>
  <c r="AQ56" i="32" s="1"/>
  <c r="AL56" i="32"/>
  <c r="AD56" i="32"/>
  <c r="AE56" i="32" s="1"/>
  <c r="AF56" i="32" s="1"/>
  <c r="AG56" i="32" s="1"/>
  <c r="AH56" i="32" s="1"/>
  <c r="AI56" i="32" s="1"/>
  <c r="AJ56" i="32" s="1"/>
  <c r="Y56" i="32"/>
  <c r="Z56" i="32" s="1"/>
  <c r="AA56" i="32" s="1"/>
  <c r="AB56" i="32" s="1"/>
  <c r="W56" i="32"/>
  <c r="X56" i="32" s="1"/>
  <c r="V56" i="32"/>
  <c r="I56" i="32"/>
  <c r="J56" i="32" s="1"/>
  <c r="K56" i="32" s="1"/>
  <c r="L56" i="32" s="1"/>
  <c r="G56" i="32"/>
  <c r="H56" i="32" s="1"/>
  <c r="F56" i="32"/>
  <c r="AL55" i="32"/>
  <c r="AM55" i="32" s="1"/>
  <c r="AN55" i="32" s="1"/>
  <c r="AO55" i="32" s="1"/>
  <c r="AP55" i="32" s="1"/>
  <c r="AQ55" i="32" s="1"/>
  <c r="AE55" i="32"/>
  <c r="AF55" i="32" s="1"/>
  <c r="AG55" i="32" s="1"/>
  <c r="AH55" i="32" s="1"/>
  <c r="AI55" i="32" s="1"/>
  <c r="AJ55" i="32" s="1"/>
  <c r="AD55" i="32"/>
  <c r="V55" i="32"/>
  <c r="W55" i="32" s="1"/>
  <c r="X55" i="32" s="1"/>
  <c r="Y55" i="32" s="1"/>
  <c r="Z55" i="32" s="1"/>
  <c r="AA55" i="32" s="1"/>
  <c r="AB55" i="32" s="1"/>
  <c r="F55" i="32"/>
  <c r="G55" i="32" s="1"/>
  <c r="H55" i="32" s="1"/>
  <c r="I55" i="32" s="1"/>
  <c r="J55" i="32" s="1"/>
  <c r="K55" i="32" s="1"/>
  <c r="L55" i="32" s="1"/>
  <c r="AM54" i="32"/>
  <c r="AN54" i="32" s="1"/>
  <c r="AO54" i="32" s="1"/>
  <c r="AP54" i="32" s="1"/>
  <c r="AQ54" i="32" s="1"/>
  <c r="AL54" i="32"/>
  <c r="AF54" i="32"/>
  <c r="AG54" i="32" s="1"/>
  <c r="AH54" i="32" s="1"/>
  <c r="AI54" i="32" s="1"/>
  <c r="AJ54" i="32" s="1"/>
  <c r="AD54" i="32"/>
  <c r="AE54" i="32" s="1"/>
  <c r="W54" i="32"/>
  <c r="X54" i="32" s="1"/>
  <c r="Y54" i="32" s="1"/>
  <c r="Z54" i="32" s="1"/>
  <c r="AA54" i="32" s="1"/>
  <c r="AB54" i="32" s="1"/>
  <c r="V54" i="32"/>
  <c r="G54" i="32"/>
  <c r="H54" i="32" s="1"/>
  <c r="I54" i="32" s="1"/>
  <c r="J54" i="32" s="1"/>
  <c r="K54" i="32" s="1"/>
  <c r="L54" i="32" s="1"/>
  <c r="F54" i="32"/>
  <c r="AL53" i="32"/>
  <c r="AM53" i="32" s="1"/>
  <c r="AN53" i="32" s="1"/>
  <c r="AO53" i="32" s="1"/>
  <c r="AP53" i="32" s="1"/>
  <c r="AQ53" i="32" s="1"/>
  <c r="AE53" i="32"/>
  <c r="AF53" i="32" s="1"/>
  <c r="AG53" i="32" s="1"/>
  <c r="AH53" i="32" s="1"/>
  <c r="AI53" i="32" s="1"/>
  <c r="AJ53" i="32" s="1"/>
  <c r="AD53" i="32"/>
  <c r="AB53" i="32"/>
  <c r="V53" i="32"/>
  <c r="W53" i="32" s="1"/>
  <c r="X53" i="32" s="1"/>
  <c r="Y53" i="32" s="1"/>
  <c r="Z53" i="32" s="1"/>
  <c r="AA53" i="32" s="1"/>
  <c r="F53" i="32"/>
  <c r="G53" i="32" s="1"/>
  <c r="H53" i="32" s="1"/>
  <c r="I53" i="32" s="1"/>
  <c r="J53" i="32" s="1"/>
  <c r="K53" i="32" s="1"/>
  <c r="L53" i="32" s="1"/>
  <c r="AM52" i="32"/>
  <c r="AN52" i="32" s="1"/>
  <c r="AO52" i="32" s="1"/>
  <c r="AP52" i="32" s="1"/>
  <c r="AQ52" i="32" s="1"/>
  <c r="AL52" i="32"/>
  <c r="AD52" i="32"/>
  <c r="AE52" i="32" s="1"/>
  <c r="AF52" i="32" s="1"/>
  <c r="AG52" i="32" s="1"/>
  <c r="AH52" i="32" s="1"/>
  <c r="AI52" i="32" s="1"/>
  <c r="AJ52" i="32" s="1"/>
  <c r="W52" i="32"/>
  <c r="X52" i="32" s="1"/>
  <c r="Y52" i="32" s="1"/>
  <c r="Z52" i="32" s="1"/>
  <c r="AA52" i="32" s="1"/>
  <c r="AB52" i="32" s="1"/>
  <c r="V52" i="32"/>
  <c r="F52" i="32"/>
  <c r="G52" i="32" s="1"/>
  <c r="H52" i="32" s="1"/>
  <c r="I52" i="32" s="1"/>
  <c r="J52" i="32" s="1"/>
  <c r="K52" i="32" s="1"/>
  <c r="L52" i="32" s="1"/>
  <c r="AP51" i="32"/>
  <c r="AQ51" i="32" s="1"/>
  <c r="AL51" i="32"/>
  <c r="AM51" i="32" s="1"/>
  <c r="AN51" i="32" s="1"/>
  <c r="AO51" i="32" s="1"/>
  <c r="AG51" i="32"/>
  <c r="AH51" i="32" s="1"/>
  <c r="AI51" i="32" s="1"/>
  <c r="AJ51" i="32" s="1"/>
  <c r="AE51" i="32"/>
  <c r="AF51" i="32" s="1"/>
  <c r="AD51" i="32"/>
  <c r="V51" i="32"/>
  <c r="W51" i="32" s="1"/>
  <c r="X51" i="32" s="1"/>
  <c r="Y51" i="32" s="1"/>
  <c r="Z51" i="32" s="1"/>
  <c r="AA51" i="32" s="1"/>
  <c r="AB51" i="32" s="1"/>
  <c r="J51" i="32"/>
  <c r="K51" i="32" s="1"/>
  <c r="L51" i="32" s="1"/>
  <c r="F51" i="32"/>
  <c r="G51" i="32" s="1"/>
  <c r="H51" i="32" s="1"/>
  <c r="I51" i="32" s="1"/>
  <c r="AQ50" i="32"/>
  <c r="AM50" i="32"/>
  <c r="AN50" i="32" s="1"/>
  <c r="AO50" i="32" s="1"/>
  <c r="AP50" i="32" s="1"/>
  <c r="AL50" i="32"/>
  <c r="AF50" i="32"/>
  <c r="AG50" i="32" s="1"/>
  <c r="AH50" i="32" s="1"/>
  <c r="AI50" i="32" s="1"/>
  <c r="AJ50" i="32" s="1"/>
  <c r="AD50" i="32"/>
  <c r="AE50" i="32" s="1"/>
  <c r="AA50" i="32"/>
  <c r="AB50" i="32" s="1"/>
  <c r="W50" i="32"/>
  <c r="X50" i="32" s="1"/>
  <c r="Y50" i="32" s="1"/>
  <c r="Z50" i="32" s="1"/>
  <c r="V50" i="32"/>
  <c r="K50" i="32"/>
  <c r="L50" i="32" s="1"/>
  <c r="G50" i="32"/>
  <c r="H50" i="32" s="1"/>
  <c r="I50" i="32" s="1"/>
  <c r="J50" i="32" s="1"/>
  <c r="F50" i="32"/>
  <c r="AL49" i="32"/>
  <c r="AM49" i="32" s="1"/>
  <c r="AN49" i="32" s="1"/>
  <c r="AO49" i="32" s="1"/>
  <c r="AP49" i="32" s="1"/>
  <c r="AQ49" i="32" s="1"/>
  <c r="AE49" i="32"/>
  <c r="AF49" i="32" s="1"/>
  <c r="AG49" i="32" s="1"/>
  <c r="AH49" i="32" s="1"/>
  <c r="AI49" i="32" s="1"/>
  <c r="AJ49" i="32" s="1"/>
  <c r="AD49" i="32"/>
  <c r="X49" i="32"/>
  <c r="Y49" i="32" s="1"/>
  <c r="Z49" i="32" s="1"/>
  <c r="AA49" i="32" s="1"/>
  <c r="AB49" i="32" s="1"/>
  <c r="V49" i="32"/>
  <c r="W49" i="32" s="1"/>
  <c r="H49" i="32"/>
  <c r="I49" i="32" s="1"/>
  <c r="J49" i="32" s="1"/>
  <c r="K49" i="32" s="1"/>
  <c r="L49" i="32" s="1"/>
  <c r="F49" i="32"/>
  <c r="G49" i="32" s="1"/>
  <c r="AM48" i="32"/>
  <c r="AN48" i="32" s="1"/>
  <c r="AO48" i="32" s="1"/>
  <c r="AP48" i="32" s="1"/>
  <c r="AQ48" i="32" s="1"/>
  <c r="AL48" i="32"/>
  <c r="AD48" i="32"/>
  <c r="AE48" i="32" s="1"/>
  <c r="AF48" i="32" s="1"/>
  <c r="AG48" i="32" s="1"/>
  <c r="AH48" i="32" s="1"/>
  <c r="AI48" i="32" s="1"/>
  <c r="AJ48" i="32" s="1"/>
  <c r="Y48" i="32"/>
  <c r="Z48" i="32" s="1"/>
  <c r="AA48" i="32" s="1"/>
  <c r="AB48" i="32" s="1"/>
  <c r="W48" i="32"/>
  <c r="X48" i="32" s="1"/>
  <c r="V48" i="32"/>
  <c r="I48" i="32"/>
  <c r="J48" i="32" s="1"/>
  <c r="K48" i="32" s="1"/>
  <c r="L48" i="32" s="1"/>
  <c r="G48" i="32"/>
  <c r="H48" i="32" s="1"/>
  <c r="F48" i="32"/>
  <c r="AL47" i="32"/>
  <c r="AM47" i="32" s="1"/>
  <c r="AN47" i="32" s="1"/>
  <c r="AO47" i="32" s="1"/>
  <c r="AP47" i="32" s="1"/>
  <c r="AQ47" i="32" s="1"/>
  <c r="AD47" i="32"/>
  <c r="AE47" i="32" s="1"/>
  <c r="AF47" i="32" s="1"/>
  <c r="AG47" i="32" s="1"/>
  <c r="AH47" i="32" s="1"/>
  <c r="AI47" i="32" s="1"/>
  <c r="AJ47" i="32" s="1"/>
  <c r="AB47" i="32"/>
  <c r="V47" i="32"/>
  <c r="W47" i="32" s="1"/>
  <c r="X47" i="32" s="1"/>
  <c r="Y47" i="32" s="1"/>
  <c r="Z47" i="32" s="1"/>
  <c r="AA47" i="32" s="1"/>
  <c r="F47" i="32"/>
  <c r="AM46" i="32"/>
  <c r="AN46" i="32" s="1"/>
  <c r="AO46" i="32" s="1"/>
  <c r="AP46" i="32" s="1"/>
  <c r="AQ46" i="32" s="1"/>
  <c r="AL46" i="32"/>
  <c r="AD46" i="32"/>
  <c r="AE46" i="32" s="1"/>
  <c r="AF46" i="32" s="1"/>
  <c r="AG46" i="32" s="1"/>
  <c r="AH46" i="32" s="1"/>
  <c r="AI46" i="32" s="1"/>
  <c r="AJ46" i="32" s="1"/>
  <c r="Y46" i="32"/>
  <c r="Z46" i="32" s="1"/>
  <c r="AA46" i="32" s="1"/>
  <c r="AB46" i="32" s="1"/>
  <c r="W46" i="32"/>
  <c r="X46" i="32" s="1"/>
  <c r="V46" i="32"/>
  <c r="G46" i="32"/>
  <c r="F46" i="32"/>
  <c r="AN45" i="32"/>
  <c r="AO45" i="32" s="1"/>
  <c r="AP45" i="32" s="1"/>
  <c r="AQ45" i="32" s="1"/>
  <c r="AL45" i="32"/>
  <c r="AM45" i="32" s="1"/>
  <c r="AI45" i="32"/>
  <c r="AJ45" i="32" s="1"/>
  <c r="AE45" i="32"/>
  <c r="AF45" i="32" s="1"/>
  <c r="AG45" i="32" s="1"/>
  <c r="AH45" i="32" s="1"/>
  <c r="AD45" i="32"/>
  <c r="V45" i="32"/>
  <c r="W45" i="32" s="1"/>
  <c r="X45" i="32" s="1"/>
  <c r="Y45" i="32" s="1"/>
  <c r="Z45" i="32" s="1"/>
  <c r="AA45" i="32" s="1"/>
  <c r="AB45" i="32" s="1"/>
  <c r="F45" i="32"/>
  <c r="AL44" i="32"/>
  <c r="AM44" i="32" s="1"/>
  <c r="AN44" i="32" s="1"/>
  <c r="AO44" i="32" s="1"/>
  <c r="AP44" i="32" s="1"/>
  <c r="AQ44" i="32" s="1"/>
  <c r="AF44" i="32"/>
  <c r="AG44" i="32" s="1"/>
  <c r="AH44" i="32" s="1"/>
  <c r="AI44" i="32" s="1"/>
  <c r="AJ44" i="32" s="1"/>
  <c r="AD44" i="32"/>
  <c r="AE44" i="32" s="1"/>
  <c r="W44" i="32"/>
  <c r="X44" i="32" s="1"/>
  <c r="Y44" i="32" s="1"/>
  <c r="Z44" i="32" s="1"/>
  <c r="AA44" i="32" s="1"/>
  <c r="AB44" i="32" s="1"/>
  <c r="V44" i="32"/>
  <c r="G44" i="32"/>
  <c r="H44" i="32" s="1"/>
  <c r="I44" i="32" s="1"/>
  <c r="J44" i="32" s="1"/>
  <c r="K44" i="32" s="1"/>
  <c r="L44" i="32" s="1"/>
  <c r="F44" i="32"/>
  <c r="AN43" i="32"/>
  <c r="AO43" i="32" s="1"/>
  <c r="AP43" i="32" s="1"/>
  <c r="AQ43" i="32" s="1"/>
  <c r="AL43" i="32"/>
  <c r="AM43" i="32" s="1"/>
  <c r="AD43" i="32"/>
  <c r="AE43" i="32" s="1"/>
  <c r="AF43" i="32" s="1"/>
  <c r="AG43" i="32" s="1"/>
  <c r="AH43" i="32" s="1"/>
  <c r="AI43" i="32" s="1"/>
  <c r="AJ43" i="32" s="1"/>
  <c r="AB43" i="32"/>
  <c r="X43" i="32"/>
  <c r="Y43" i="32" s="1"/>
  <c r="Z43" i="32" s="1"/>
  <c r="AA43" i="32" s="1"/>
  <c r="V43" i="32"/>
  <c r="W43" i="32" s="1"/>
  <c r="G43" i="32"/>
  <c r="F43" i="32"/>
  <c r="AL42" i="32"/>
  <c r="AM42" i="32" s="1"/>
  <c r="AN42" i="32" s="1"/>
  <c r="AO42" i="32" s="1"/>
  <c r="AP42" i="32" s="1"/>
  <c r="AQ42" i="32" s="1"/>
  <c r="AI42" i="32"/>
  <c r="AJ42" i="32" s="1"/>
  <c r="AD42" i="32"/>
  <c r="AE42" i="32" s="1"/>
  <c r="AF42" i="32" s="1"/>
  <c r="AG42" i="32" s="1"/>
  <c r="AH42" i="32" s="1"/>
  <c r="W42" i="32"/>
  <c r="X42" i="32" s="1"/>
  <c r="Y42" i="32" s="1"/>
  <c r="Z42" i="32" s="1"/>
  <c r="AA42" i="32" s="1"/>
  <c r="AB42" i="32" s="1"/>
  <c r="V42" i="32"/>
  <c r="K42" i="32"/>
  <c r="L42" i="32" s="1"/>
  <c r="H42" i="32"/>
  <c r="I42" i="32" s="1"/>
  <c r="J42" i="32" s="1"/>
  <c r="G42" i="32"/>
  <c r="F42" i="32"/>
  <c r="AL41" i="32"/>
  <c r="AM41" i="32" s="1"/>
  <c r="AN41" i="32" s="1"/>
  <c r="AO41" i="32" s="1"/>
  <c r="AP41" i="32" s="1"/>
  <c r="AQ41" i="32" s="1"/>
  <c r="AG41" i="32"/>
  <c r="AH41" i="32" s="1"/>
  <c r="AI41" i="32" s="1"/>
  <c r="AJ41" i="32" s="1"/>
  <c r="AE41" i="32"/>
  <c r="AF41" i="32" s="1"/>
  <c r="AD41" i="32"/>
  <c r="W41" i="32"/>
  <c r="X41" i="32" s="1"/>
  <c r="Y41" i="32" s="1"/>
  <c r="Z41" i="32" s="1"/>
  <c r="AA41" i="32" s="1"/>
  <c r="AB41" i="32" s="1"/>
  <c r="V41" i="32"/>
  <c r="J41" i="32"/>
  <c r="K41" i="32" s="1"/>
  <c r="L41" i="32" s="1"/>
  <c r="H41" i="32"/>
  <c r="I41" i="32" s="1"/>
  <c r="F41" i="32"/>
  <c r="G41" i="32" s="1"/>
  <c r="AL40" i="32"/>
  <c r="AM40" i="32" s="1"/>
  <c r="AN40" i="32" s="1"/>
  <c r="AO40" i="32" s="1"/>
  <c r="AP40" i="32" s="1"/>
  <c r="AQ40" i="32" s="1"/>
  <c r="AF40" i="32"/>
  <c r="AG40" i="32" s="1"/>
  <c r="AH40" i="32" s="1"/>
  <c r="AI40" i="32" s="1"/>
  <c r="AJ40" i="32" s="1"/>
  <c r="AD40" i="32"/>
  <c r="AE40" i="32" s="1"/>
  <c r="W40" i="32"/>
  <c r="X40" i="32" s="1"/>
  <c r="Y40" i="32" s="1"/>
  <c r="Z40" i="32" s="1"/>
  <c r="AA40" i="32" s="1"/>
  <c r="AB40" i="32" s="1"/>
  <c r="V40" i="32"/>
  <c r="F40" i="32"/>
  <c r="AL39" i="32"/>
  <c r="AM39" i="32" s="1"/>
  <c r="AN39" i="32" s="1"/>
  <c r="AO39" i="32" s="1"/>
  <c r="AP39" i="32" s="1"/>
  <c r="AQ39" i="32" s="1"/>
  <c r="AE39" i="32"/>
  <c r="AF39" i="32" s="1"/>
  <c r="AG39" i="32" s="1"/>
  <c r="AH39" i="32" s="1"/>
  <c r="AI39" i="32" s="1"/>
  <c r="AJ39" i="32" s="1"/>
  <c r="AD39" i="32"/>
  <c r="V39" i="32"/>
  <c r="W39" i="32" s="1"/>
  <c r="X39" i="32" s="1"/>
  <c r="Y39" i="32" s="1"/>
  <c r="Z39" i="32" s="1"/>
  <c r="AA39" i="32" s="1"/>
  <c r="AB39" i="32" s="1"/>
  <c r="F39" i="32"/>
  <c r="G39" i="32" s="1"/>
  <c r="AL38" i="32"/>
  <c r="AM38" i="32" s="1"/>
  <c r="AN38" i="32" s="1"/>
  <c r="AO38" i="32" s="1"/>
  <c r="AP38" i="32" s="1"/>
  <c r="AQ38" i="32" s="1"/>
  <c r="AE38" i="32"/>
  <c r="AF38" i="32" s="1"/>
  <c r="AG38" i="32" s="1"/>
  <c r="AH38" i="32" s="1"/>
  <c r="AI38" i="32" s="1"/>
  <c r="AJ38" i="32" s="1"/>
  <c r="AD38" i="32"/>
  <c r="Y38" i="32"/>
  <c r="Z38" i="32" s="1"/>
  <c r="AA38" i="32" s="1"/>
  <c r="AB38" i="32" s="1"/>
  <c r="V38" i="32"/>
  <c r="W38" i="32" s="1"/>
  <c r="X38" i="32" s="1"/>
  <c r="G38" i="32"/>
  <c r="H38" i="32" s="1"/>
  <c r="I38" i="32" s="1"/>
  <c r="J38" i="32" s="1"/>
  <c r="K38" i="32" s="1"/>
  <c r="L38" i="32" s="1"/>
  <c r="F38" i="32"/>
  <c r="AL37" i="32"/>
  <c r="AM37" i="32" s="1"/>
  <c r="AN37" i="32" s="1"/>
  <c r="AO37" i="32" s="1"/>
  <c r="AP37" i="32" s="1"/>
  <c r="AQ37" i="32" s="1"/>
  <c r="AF37" i="32"/>
  <c r="AG37" i="32" s="1"/>
  <c r="AH37" i="32" s="1"/>
  <c r="AI37" i="32" s="1"/>
  <c r="AJ37" i="32" s="1"/>
  <c r="AE37" i="32"/>
  <c r="AD37" i="32"/>
  <c r="V37" i="32"/>
  <c r="W37" i="32" s="1"/>
  <c r="X37" i="32" s="1"/>
  <c r="Y37" i="32" s="1"/>
  <c r="Z37" i="32" s="1"/>
  <c r="AA37" i="32" s="1"/>
  <c r="AB37" i="32" s="1"/>
  <c r="L37" i="32"/>
  <c r="BA37" i="32" s="1"/>
  <c r="BB37" i="32" s="1"/>
  <c r="BC37" i="32" s="1"/>
  <c r="F37" i="32"/>
  <c r="G37" i="32" s="1"/>
  <c r="H37" i="32" s="1"/>
  <c r="I37" i="32" s="1"/>
  <c r="J37" i="32" s="1"/>
  <c r="K37" i="32" s="1"/>
  <c r="AM36" i="32"/>
  <c r="AN36" i="32" s="1"/>
  <c r="AO36" i="32" s="1"/>
  <c r="AP36" i="32" s="1"/>
  <c r="AQ36" i="32" s="1"/>
  <c r="AL36" i="32"/>
  <c r="AD36" i="32"/>
  <c r="AE36" i="32" s="1"/>
  <c r="AF36" i="32" s="1"/>
  <c r="AG36" i="32" s="1"/>
  <c r="AH36" i="32" s="1"/>
  <c r="AI36" i="32" s="1"/>
  <c r="AJ36" i="32" s="1"/>
  <c r="AA36" i="32"/>
  <c r="AB36" i="32" s="1"/>
  <c r="X36" i="32"/>
  <c r="Y36" i="32" s="1"/>
  <c r="Z36" i="32" s="1"/>
  <c r="W36" i="32"/>
  <c r="V36" i="32"/>
  <c r="J36" i="32"/>
  <c r="K36" i="32" s="1"/>
  <c r="L36" i="32" s="1"/>
  <c r="G36" i="32"/>
  <c r="H36" i="32" s="1"/>
  <c r="I36" i="32" s="1"/>
  <c r="F36" i="32"/>
  <c r="AM35" i="32"/>
  <c r="AN35" i="32" s="1"/>
  <c r="AO35" i="32" s="1"/>
  <c r="AP35" i="32" s="1"/>
  <c r="AQ35" i="32" s="1"/>
  <c r="AL35" i="32"/>
  <c r="AG35" i="32"/>
  <c r="AH35" i="32" s="1"/>
  <c r="AI35" i="32" s="1"/>
  <c r="AJ35" i="32" s="1"/>
  <c r="AD35" i="32"/>
  <c r="AE35" i="32" s="1"/>
  <c r="AF35" i="32" s="1"/>
  <c r="Z35" i="32"/>
  <c r="AA35" i="32" s="1"/>
  <c r="AB35" i="32" s="1"/>
  <c r="X35" i="32"/>
  <c r="Y35" i="32" s="1"/>
  <c r="V35" i="32"/>
  <c r="W35" i="32" s="1"/>
  <c r="K35" i="32"/>
  <c r="L35" i="32" s="1"/>
  <c r="G35" i="32"/>
  <c r="H35" i="32" s="1"/>
  <c r="I35" i="32" s="1"/>
  <c r="J35" i="32" s="1"/>
  <c r="F35" i="32"/>
  <c r="AN34" i="32"/>
  <c r="AO34" i="32" s="1"/>
  <c r="AP34" i="32" s="1"/>
  <c r="AQ34" i="32" s="1"/>
  <c r="AL34" i="32"/>
  <c r="AM34" i="32" s="1"/>
  <c r="AD34" i="32"/>
  <c r="AE34" i="32" s="1"/>
  <c r="AF34" i="32" s="1"/>
  <c r="AG34" i="32" s="1"/>
  <c r="AH34" i="32" s="1"/>
  <c r="AI34" i="32" s="1"/>
  <c r="AJ34" i="32" s="1"/>
  <c r="V34" i="32"/>
  <c r="W34" i="32" s="1"/>
  <c r="X34" i="32" s="1"/>
  <c r="Y34" i="32" s="1"/>
  <c r="Z34" i="32" s="1"/>
  <c r="AA34" i="32" s="1"/>
  <c r="AB34" i="32" s="1"/>
  <c r="F34" i="32"/>
  <c r="G34" i="32" s="1"/>
  <c r="AO33" i="32"/>
  <c r="AP33" i="32" s="1"/>
  <c r="AQ33" i="32" s="1"/>
  <c r="AM33" i="32"/>
  <c r="AN33" i="32" s="1"/>
  <c r="AL33" i="32"/>
  <c r="AF33" i="32"/>
  <c r="AG33" i="32" s="1"/>
  <c r="AH33" i="32" s="1"/>
  <c r="AI33" i="32" s="1"/>
  <c r="AJ33" i="32" s="1"/>
  <c r="AD33" i="32"/>
  <c r="AE33" i="32" s="1"/>
  <c r="AA33" i="32"/>
  <c r="AB33" i="32" s="1"/>
  <c r="W33" i="32"/>
  <c r="X33" i="32" s="1"/>
  <c r="Y33" i="32" s="1"/>
  <c r="Z33" i="32" s="1"/>
  <c r="V33" i="32"/>
  <c r="G33" i="32"/>
  <c r="H33" i="32" s="1"/>
  <c r="I33" i="32" s="1"/>
  <c r="J33" i="32" s="1"/>
  <c r="K33" i="32" s="1"/>
  <c r="L33" i="32" s="1"/>
  <c r="F33" i="32"/>
  <c r="AP32" i="32"/>
  <c r="AQ32" i="32" s="1"/>
  <c r="AL32" i="32"/>
  <c r="AM32" i="32" s="1"/>
  <c r="AN32" i="32" s="1"/>
  <c r="AO32" i="32" s="1"/>
  <c r="AD32" i="32"/>
  <c r="AE32" i="32" s="1"/>
  <c r="AF32" i="32" s="1"/>
  <c r="AG32" i="32" s="1"/>
  <c r="AH32" i="32" s="1"/>
  <c r="AI32" i="32" s="1"/>
  <c r="AJ32" i="32" s="1"/>
  <c r="X32" i="32"/>
  <c r="Y32" i="32" s="1"/>
  <c r="Z32" i="32" s="1"/>
  <c r="AA32" i="32" s="1"/>
  <c r="AB32" i="32" s="1"/>
  <c r="V32" i="32"/>
  <c r="W32" i="32" s="1"/>
  <c r="F32" i="32"/>
  <c r="AQ31" i="32"/>
  <c r="AM31" i="32"/>
  <c r="AN31" i="32" s="1"/>
  <c r="AO31" i="32" s="1"/>
  <c r="AP31" i="32" s="1"/>
  <c r="AL31" i="32"/>
  <c r="AD31" i="32"/>
  <c r="AE31" i="32" s="1"/>
  <c r="AF31" i="32" s="1"/>
  <c r="AG31" i="32" s="1"/>
  <c r="AH31" i="32" s="1"/>
  <c r="AI31" i="32" s="1"/>
  <c r="AJ31" i="32" s="1"/>
  <c r="W31" i="32"/>
  <c r="X31" i="32" s="1"/>
  <c r="Y31" i="32" s="1"/>
  <c r="Z31" i="32" s="1"/>
  <c r="AA31" i="32" s="1"/>
  <c r="AB31" i="32" s="1"/>
  <c r="V31" i="32"/>
  <c r="G31" i="32"/>
  <c r="H31" i="32" s="1"/>
  <c r="I31" i="32" s="1"/>
  <c r="J31" i="32" s="1"/>
  <c r="K31" i="32" s="1"/>
  <c r="L31" i="32" s="1"/>
  <c r="F31" i="32"/>
  <c r="AL30" i="32"/>
  <c r="AM30" i="32" s="1"/>
  <c r="AN30" i="32" s="1"/>
  <c r="AO30" i="32" s="1"/>
  <c r="AP30" i="32" s="1"/>
  <c r="AQ30" i="32" s="1"/>
  <c r="AE30" i="32"/>
  <c r="AF30" i="32" s="1"/>
  <c r="AG30" i="32" s="1"/>
  <c r="AH30" i="32" s="1"/>
  <c r="AI30" i="32" s="1"/>
  <c r="AJ30" i="32" s="1"/>
  <c r="AD30" i="32"/>
  <c r="Z30" i="32"/>
  <c r="AA30" i="32" s="1"/>
  <c r="AB30" i="32" s="1"/>
  <c r="V30" i="32"/>
  <c r="W30" i="32" s="1"/>
  <c r="X30" i="32" s="1"/>
  <c r="Y30" i="32" s="1"/>
  <c r="F30" i="32"/>
  <c r="G30" i="32" s="1"/>
  <c r="H30" i="32" s="1"/>
  <c r="I30" i="32" s="1"/>
  <c r="J30" i="32" s="1"/>
  <c r="K30" i="32" s="1"/>
  <c r="L30" i="32" s="1"/>
  <c r="AL29" i="32"/>
  <c r="AM29" i="32" s="1"/>
  <c r="AN29" i="32" s="1"/>
  <c r="AO29" i="32" s="1"/>
  <c r="AP29" i="32" s="1"/>
  <c r="AQ29" i="32" s="1"/>
  <c r="AD29" i="32"/>
  <c r="AE29" i="32" s="1"/>
  <c r="AF29" i="32" s="1"/>
  <c r="AG29" i="32" s="1"/>
  <c r="AH29" i="32" s="1"/>
  <c r="AI29" i="32" s="1"/>
  <c r="AJ29" i="32" s="1"/>
  <c r="W29" i="32"/>
  <c r="X29" i="32" s="1"/>
  <c r="Y29" i="32" s="1"/>
  <c r="Z29" i="32" s="1"/>
  <c r="AA29" i="32" s="1"/>
  <c r="AB29" i="32" s="1"/>
  <c r="V29" i="32"/>
  <c r="I29" i="32"/>
  <c r="J29" i="32" s="1"/>
  <c r="K29" i="32" s="1"/>
  <c r="L29" i="32" s="1"/>
  <c r="G29" i="32"/>
  <c r="H29" i="32" s="1"/>
  <c r="F29" i="32"/>
  <c r="AL28" i="32"/>
  <c r="AM28" i="32" s="1"/>
  <c r="AN28" i="32" s="1"/>
  <c r="AO28" i="32" s="1"/>
  <c r="AP28" i="32" s="1"/>
  <c r="AQ28" i="32" s="1"/>
  <c r="AE28" i="32"/>
  <c r="AF28" i="32" s="1"/>
  <c r="AG28" i="32" s="1"/>
  <c r="AH28" i="32" s="1"/>
  <c r="AI28" i="32" s="1"/>
  <c r="AJ28" i="32" s="1"/>
  <c r="AD28" i="32"/>
  <c r="V28" i="32"/>
  <c r="W28" i="32" s="1"/>
  <c r="X28" i="32" s="1"/>
  <c r="Y28" i="32" s="1"/>
  <c r="Z28" i="32" s="1"/>
  <c r="AA28" i="32" s="1"/>
  <c r="AB28" i="32" s="1"/>
  <c r="F28" i="32"/>
  <c r="AM27" i="32"/>
  <c r="AN27" i="32" s="1"/>
  <c r="AO27" i="32" s="1"/>
  <c r="AP27" i="32" s="1"/>
  <c r="AQ27" i="32" s="1"/>
  <c r="AL27" i="32"/>
  <c r="AH27" i="32"/>
  <c r="AI27" i="32" s="1"/>
  <c r="AJ27" i="32" s="1"/>
  <c r="AD27" i="32"/>
  <c r="AE27" i="32" s="1"/>
  <c r="AF27" i="32" s="1"/>
  <c r="AG27" i="32" s="1"/>
  <c r="Y27" i="32"/>
  <c r="Z27" i="32" s="1"/>
  <c r="AA27" i="32" s="1"/>
  <c r="AB27" i="32" s="1"/>
  <c r="W27" i="32"/>
  <c r="X27" i="32" s="1"/>
  <c r="V27" i="32"/>
  <c r="K27" i="32"/>
  <c r="L27" i="32" s="1"/>
  <c r="G27" i="32"/>
  <c r="H27" i="32" s="1"/>
  <c r="I27" i="32" s="1"/>
  <c r="J27" i="32" s="1"/>
  <c r="F27" i="32"/>
  <c r="AN26" i="32"/>
  <c r="AO26" i="32" s="1"/>
  <c r="AP26" i="32" s="1"/>
  <c r="AQ26" i="32" s="1"/>
  <c r="AL26" i="32"/>
  <c r="AM26" i="32" s="1"/>
  <c r="AD26" i="32"/>
  <c r="AE26" i="32" s="1"/>
  <c r="AF26" i="32" s="1"/>
  <c r="AG26" i="32" s="1"/>
  <c r="AH26" i="32" s="1"/>
  <c r="AI26" i="32" s="1"/>
  <c r="AJ26" i="32" s="1"/>
  <c r="V26" i="32"/>
  <c r="W26" i="32" s="1"/>
  <c r="X26" i="32" s="1"/>
  <c r="Y26" i="32" s="1"/>
  <c r="Z26" i="32" s="1"/>
  <c r="AA26" i="32" s="1"/>
  <c r="AB26" i="32" s="1"/>
  <c r="F26" i="32"/>
  <c r="G26" i="32" s="1"/>
  <c r="AM25" i="32"/>
  <c r="AN25" i="32" s="1"/>
  <c r="AO25" i="32" s="1"/>
  <c r="AP25" i="32" s="1"/>
  <c r="AQ25" i="32" s="1"/>
  <c r="AL25" i="32"/>
  <c r="AD25" i="32"/>
  <c r="AE25" i="32" s="1"/>
  <c r="AF25" i="32" s="1"/>
  <c r="AG25" i="32" s="1"/>
  <c r="AH25" i="32" s="1"/>
  <c r="AI25" i="32" s="1"/>
  <c r="AJ25" i="32" s="1"/>
  <c r="AA25" i="32"/>
  <c r="AB25" i="32" s="1"/>
  <c r="W25" i="32"/>
  <c r="X25" i="32" s="1"/>
  <c r="Y25" i="32" s="1"/>
  <c r="Z25" i="32" s="1"/>
  <c r="V25" i="32"/>
  <c r="G25" i="32"/>
  <c r="H25" i="32" s="1"/>
  <c r="I25" i="32" s="1"/>
  <c r="J25" i="32" s="1"/>
  <c r="K25" i="32" s="1"/>
  <c r="L25" i="32" s="1"/>
  <c r="F25" i="32"/>
  <c r="AP24" i="32"/>
  <c r="AQ24" i="32" s="1"/>
  <c r="AL24" i="32"/>
  <c r="AM24" i="32" s="1"/>
  <c r="AN24" i="32" s="1"/>
  <c r="AO24" i="32" s="1"/>
  <c r="AE24" i="32"/>
  <c r="AF24" i="32" s="1"/>
  <c r="AG24" i="32" s="1"/>
  <c r="AH24" i="32" s="1"/>
  <c r="AI24" i="32" s="1"/>
  <c r="AJ24" i="32" s="1"/>
  <c r="AD24" i="32"/>
  <c r="X24" i="32"/>
  <c r="Y24" i="32" s="1"/>
  <c r="Z24" i="32" s="1"/>
  <c r="AA24" i="32" s="1"/>
  <c r="AB24" i="32" s="1"/>
  <c r="V24" i="32"/>
  <c r="W24" i="32" s="1"/>
  <c r="F24" i="32"/>
  <c r="AL23" i="32"/>
  <c r="AM23" i="32" s="1"/>
  <c r="AN23" i="32" s="1"/>
  <c r="AO23" i="32" s="1"/>
  <c r="AP23" i="32" s="1"/>
  <c r="AQ23" i="32" s="1"/>
  <c r="AD23" i="32"/>
  <c r="AE23" i="32" s="1"/>
  <c r="AF23" i="32" s="1"/>
  <c r="AG23" i="32" s="1"/>
  <c r="AH23" i="32" s="1"/>
  <c r="AI23" i="32" s="1"/>
  <c r="AJ23" i="32" s="1"/>
  <c r="W23" i="32"/>
  <c r="X23" i="32" s="1"/>
  <c r="Y23" i="32" s="1"/>
  <c r="Z23" i="32" s="1"/>
  <c r="AA23" i="32" s="1"/>
  <c r="AB23" i="32" s="1"/>
  <c r="V23" i="32"/>
  <c r="G23" i="32"/>
  <c r="F23" i="32"/>
  <c r="AL22" i="32"/>
  <c r="AM22" i="32" s="1"/>
  <c r="AN22" i="32" s="1"/>
  <c r="AO22" i="32" s="1"/>
  <c r="AP22" i="32" s="1"/>
  <c r="AQ22" i="32" s="1"/>
  <c r="AD22" i="32"/>
  <c r="AE22" i="32" s="1"/>
  <c r="AF22" i="32" s="1"/>
  <c r="AG22" i="32" s="1"/>
  <c r="AH22" i="32" s="1"/>
  <c r="AI22" i="32" s="1"/>
  <c r="AJ22" i="32" s="1"/>
  <c r="Z22" i="32"/>
  <c r="AA22" i="32" s="1"/>
  <c r="AB22" i="32" s="1"/>
  <c r="V22" i="32"/>
  <c r="W22" i="32" s="1"/>
  <c r="X22" i="32" s="1"/>
  <c r="Y22" i="32" s="1"/>
  <c r="H22" i="32"/>
  <c r="I22" i="32" s="1"/>
  <c r="J22" i="32" s="1"/>
  <c r="K22" i="32" s="1"/>
  <c r="L22" i="32" s="1"/>
  <c r="F22" i="32"/>
  <c r="G22" i="32" s="1"/>
  <c r="AM21" i="32"/>
  <c r="AN21" i="32" s="1"/>
  <c r="AO21" i="32" s="1"/>
  <c r="AP21" i="32" s="1"/>
  <c r="AQ21" i="32" s="1"/>
  <c r="AL21" i="32"/>
  <c r="AD21" i="32"/>
  <c r="AE21" i="32" s="1"/>
  <c r="AF21" i="32" s="1"/>
  <c r="AG21" i="32" s="1"/>
  <c r="AH21" i="32" s="1"/>
  <c r="AI21" i="32" s="1"/>
  <c r="AJ21" i="32" s="1"/>
  <c r="W21" i="32"/>
  <c r="X21" i="32" s="1"/>
  <c r="Y21" i="32" s="1"/>
  <c r="Z21" i="32" s="1"/>
  <c r="AA21" i="32" s="1"/>
  <c r="AB21" i="32" s="1"/>
  <c r="V21" i="32"/>
  <c r="G21" i="32"/>
  <c r="H21" i="32" s="1"/>
  <c r="I21" i="32" s="1"/>
  <c r="J21" i="32" s="1"/>
  <c r="K21" i="32" s="1"/>
  <c r="L21" i="32" s="1"/>
  <c r="F21" i="32"/>
  <c r="AN20" i="32"/>
  <c r="AO20" i="32" s="1"/>
  <c r="AP20" i="32" s="1"/>
  <c r="AQ20" i="32" s="1"/>
  <c r="AL20" i="32"/>
  <c r="AM20" i="32" s="1"/>
  <c r="AE20" i="32"/>
  <c r="AF20" i="32" s="1"/>
  <c r="AG20" i="32" s="1"/>
  <c r="AH20" i="32" s="1"/>
  <c r="AI20" i="32" s="1"/>
  <c r="AJ20" i="32" s="1"/>
  <c r="AD20" i="32"/>
  <c r="X20" i="32"/>
  <c r="Y20" i="32" s="1"/>
  <c r="Z20" i="32" s="1"/>
  <c r="AA20" i="32" s="1"/>
  <c r="AB20" i="32" s="1"/>
  <c r="V20" i="32"/>
  <c r="W20" i="32" s="1"/>
  <c r="F20" i="32"/>
  <c r="G20" i="32" s="1"/>
  <c r="H20" i="32" s="1"/>
  <c r="I20" i="32" s="1"/>
  <c r="J20" i="32" s="1"/>
  <c r="K20" i="32" s="1"/>
  <c r="L20" i="32" s="1"/>
  <c r="AO19" i="32"/>
  <c r="AP19" i="32" s="1"/>
  <c r="AQ19" i="32" s="1"/>
  <c r="AM19" i="32"/>
  <c r="AN19" i="32" s="1"/>
  <c r="AL19" i="32"/>
  <c r="AD19" i="32"/>
  <c r="AE19" i="32" s="1"/>
  <c r="AF19" i="32" s="1"/>
  <c r="AG19" i="32" s="1"/>
  <c r="AH19" i="32" s="1"/>
  <c r="AI19" i="32" s="1"/>
  <c r="AJ19" i="32" s="1"/>
  <c r="Y19" i="32"/>
  <c r="Z19" i="32" s="1"/>
  <c r="AA19" i="32" s="1"/>
  <c r="AB19" i="32" s="1"/>
  <c r="W19" i="32"/>
  <c r="X19" i="32" s="1"/>
  <c r="V19" i="32"/>
  <c r="I19" i="32"/>
  <c r="J19" i="32" s="1"/>
  <c r="K19" i="32" s="1"/>
  <c r="L19" i="32" s="1"/>
  <c r="G19" i="32"/>
  <c r="H19" i="32" s="1"/>
  <c r="F19" i="32"/>
  <c r="AL18" i="32"/>
  <c r="AM18" i="32" s="1"/>
  <c r="AN18" i="32" s="1"/>
  <c r="AO18" i="32" s="1"/>
  <c r="AP18" i="32" s="1"/>
  <c r="AQ18" i="32" s="1"/>
  <c r="AD18" i="32"/>
  <c r="AE18" i="32" s="1"/>
  <c r="AF18" i="32" s="1"/>
  <c r="AG18" i="32" s="1"/>
  <c r="AH18" i="32" s="1"/>
  <c r="AI18" i="32" s="1"/>
  <c r="AJ18" i="32" s="1"/>
  <c r="V18" i="32"/>
  <c r="W18" i="32" s="1"/>
  <c r="X18" i="32" s="1"/>
  <c r="Y18" i="32" s="1"/>
  <c r="Z18" i="32" s="1"/>
  <c r="AA18" i="32" s="1"/>
  <c r="AB18" i="32" s="1"/>
  <c r="F18" i="32"/>
  <c r="G18" i="32" s="1"/>
  <c r="H18" i="32" s="1"/>
  <c r="I18" i="32" s="1"/>
  <c r="J18" i="32" s="1"/>
  <c r="K18" i="32" s="1"/>
  <c r="L18" i="32" s="1"/>
  <c r="AL17" i="32"/>
  <c r="AM17" i="32" s="1"/>
  <c r="AN17" i="32" s="1"/>
  <c r="AO17" i="32" s="1"/>
  <c r="AP17" i="32" s="1"/>
  <c r="AQ17" i="32" s="1"/>
  <c r="AF17" i="32"/>
  <c r="AG17" i="32" s="1"/>
  <c r="AH17" i="32" s="1"/>
  <c r="AI17" i="32" s="1"/>
  <c r="AJ17" i="32" s="1"/>
  <c r="AD17" i="32"/>
  <c r="AE17" i="32" s="1"/>
  <c r="W17" i="32"/>
  <c r="X17" i="32" s="1"/>
  <c r="Y17" i="32" s="1"/>
  <c r="Z17" i="32" s="1"/>
  <c r="AA17" i="32" s="1"/>
  <c r="AB17" i="32" s="1"/>
  <c r="V17" i="32"/>
  <c r="G17" i="32"/>
  <c r="H17" i="32" s="1"/>
  <c r="I17" i="32" s="1"/>
  <c r="J17" i="32" s="1"/>
  <c r="K17" i="32" s="1"/>
  <c r="L17" i="32" s="1"/>
  <c r="F17" i="32"/>
  <c r="AN16" i="32"/>
  <c r="AO16" i="32" s="1"/>
  <c r="AP16" i="32" s="1"/>
  <c r="AQ16" i="32" s="1"/>
  <c r="AL16" i="32"/>
  <c r="AM16" i="32" s="1"/>
  <c r="AE16" i="32"/>
  <c r="AF16" i="32" s="1"/>
  <c r="AG16" i="32" s="1"/>
  <c r="AH16" i="32" s="1"/>
  <c r="AI16" i="32" s="1"/>
  <c r="AJ16" i="32" s="1"/>
  <c r="AD16" i="32"/>
  <c r="X16" i="32"/>
  <c r="Y16" i="32" s="1"/>
  <c r="Z16" i="32" s="1"/>
  <c r="AA16" i="32" s="1"/>
  <c r="AB16" i="32" s="1"/>
  <c r="V16" i="32"/>
  <c r="W16" i="32" s="1"/>
  <c r="H16" i="32"/>
  <c r="I16" i="32" s="1"/>
  <c r="J16" i="32" s="1"/>
  <c r="K16" i="32" s="1"/>
  <c r="L16" i="32" s="1"/>
  <c r="F16" i="32"/>
  <c r="G16" i="32" s="1"/>
  <c r="AL15" i="32"/>
  <c r="AM15" i="32" s="1"/>
  <c r="AN15" i="32" s="1"/>
  <c r="AO15" i="32" s="1"/>
  <c r="AP15" i="32" s="1"/>
  <c r="AQ15" i="32" s="1"/>
  <c r="AD15" i="32"/>
  <c r="AE15" i="32" s="1"/>
  <c r="AF15" i="32" s="1"/>
  <c r="AG15" i="32" s="1"/>
  <c r="AH15" i="32" s="1"/>
  <c r="AI15" i="32" s="1"/>
  <c r="AJ15" i="32" s="1"/>
  <c r="Y15" i="32"/>
  <c r="Z15" i="32" s="1"/>
  <c r="AA15" i="32" s="1"/>
  <c r="AB15" i="32" s="1"/>
  <c r="W15" i="32"/>
  <c r="X15" i="32" s="1"/>
  <c r="V15" i="32"/>
  <c r="I15" i="32"/>
  <c r="J15" i="32" s="1"/>
  <c r="K15" i="32" s="1"/>
  <c r="L15" i="32" s="1"/>
  <c r="G15" i="32"/>
  <c r="H15" i="32" s="1"/>
  <c r="F15" i="32"/>
  <c r="AL14" i="32"/>
  <c r="AM14" i="32" s="1"/>
  <c r="AN14" i="32" s="1"/>
  <c r="AO14" i="32" s="1"/>
  <c r="AP14" i="32" s="1"/>
  <c r="AQ14" i="32" s="1"/>
  <c r="AG14" i="32"/>
  <c r="AH14" i="32" s="1"/>
  <c r="AI14" i="32" s="1"/>
  <c r="AJ14" i="32" s="1"/>
  <c r="AE14" i="32"/>
  <c r="AF14" i="32" s="1"/>
  <c r="AD14" i="32"/>
  <c r="V14" i="32"/>
  <c r="W14" i="32" s="1"/>
  <c r="X14" i="32" s="1"/>
  <c r="Y14" i="32" s="1"/>
  <c r="Z14" i="32" s="1"/>
  <c r="AA14" i="32" s="1"/>
  <c r="AB14" i="32" s="1"/>
  <c r="F14" i="32"/>
  <c r="G14" i="32" s="1"/>
  <c r="H14" i="32" s="1"/>
  <c r="I14" i="32" s="1"/>
  <c r="J14" i="32" s="1"/>
  <c r="K14" i="32" s="1"/>
  <c r="L14" i="32" s="1"/>
  <c r="AL13" i="32"/>
  <c r="AM13" i="32" s="1"/>
  <c r="AN13" i="32" s="1"/>
  <c r="AO13" i="32" s="1"/>
  <c r="AP13" i="32" s="1"/>
  <c r="AQ13" i="32" s="1"/>
  <c r="AF13" i="32"/>
  <c r="AG13" i="32" s="1"/>
  <c r="AH13" i="32" s="1"/>
  <c r="AI13" i="32" s="1"/>
  <c r="AJ13" i="32" s="1"/>
  <c r="AD13" i="32"/>
  <c r="AE13" i="32" s="1"/>
  <c r="V13" i="32"/>
  <c r="W13" i="32" s="1"/>
  <c r="X13" i="32" s="1"/>
  <c r="Y13" i="32" s="1"/>
  <c r="Z13" i="32" s="1"/>
  <c r="AA13" i="32" s="1"/>
  <c r="AB13" i="32" s="1"/>
  <c r="F13" i="32"/>
  <c r="AM12" i="32"/>
  <c r="AN12" i="32" s="1"/>
  <c r="AO12" i="32" s="1"/>
  <c r="AP12" i="32" s="1"/>
  <c r="AQ12" i="32" s="1"/>
  <c r="AL12" i="32"/>
  <c r="AD12" i="32"/>
  <c r="AE12" i="32" s="1"/>
  <c r="AF12" i="32" s="1"/>
  <c r="AG12" i="32" s="1"/>
  <c r="AH12" i="32" s="1"/>
  <c r="AI12" i="32" s="1"/>
  <c r="AJ12" i="32" s="1"/>
  <c r="W12" i="32"/>
  <c r="X12" i="32" s="1"/>
  <c r="Y12" i="32" s="1"/>
  <c r="Z12" i="32" s="1"/>
  <c r="AA12" i="32" s="1"/>
  <c r="AB12" i="32" s="1"/>
  <c r="V12" i="32"/>
  <c r="G12" i="32"/>
  <c r="H12" i="32" s="1"/>
  <c r="I12" i="32" s="1"/>
  <c r="J12" i="32" s="1"/>
  <c r="K12" i="32" s="1"/>
  <c r="L12" i="32" s="1"/>
  <c r="F12" i="32"/>
  <c r="AL11" i="32"/>
  <c r="AM11" i="32" s="1"/>
  <c r="AN11" i="32" s="1"/>
  <c r="AO11" i="32" s="1"/>
  <c r="AP11" i="32" s="1"/>
  <c r="AQ11" i="32" s="1"/>
  <c r="AE11" i="32"/>
  <c r="AF11" i="32" s="1"/>
  <c r="AG11" i="32" s="1"/>
  <c r="AH11" i="32" s="1"/>
  <c r="AI11" i="32" s="1"/>
  <c r="AJ11" i="32" s="1"/>
  <c r="AD11" i="32"/>
  <c r="V11" i="32"/>
  <c r="W11" i="32" s="1"/>
  <c r="X11" i="32" s="1"/>
  <c r="Y11" i="32" s="1"/>
  <c r="Z11" i="32" s="1"/>
  <c r="AA11" i="32" s="1"/>
  <c r="AB11" i="32" s="1"/>
  <c r="J11" i="32"/>
  <c r="K11" i="32" s="1"/>
  <c r="L11" i="32" s="1"/>
  <c r="G11" i="32"/>
  <c r="H11" i="32" s="1"/>
  <c r="F11" i="32"/>
  <c r="AL10" i="32"/>
  <c r="AD10" i="32"/>
  <c r="AE10" i="32" s="1"/>
  <c r="V10" i="32"/>
  <c r="F10" i="32"/>
  <c r="BB5" i="32"/>
  <c r="AS75" i="31"/>
  <c r="AK75" i="31"/>
  <c r="AB75" i="31"/>
  <c r="AA75" i="31"/>
  <c r="Z75" i="31"/>
  <c r="Y75" i="31"/>
  <c r="Q75" i="31"/>
  <c r="P75" i="31"/>
  <c r="O75" i="31"/>
  <c r="N75" i="31"/>
  <c r="I75" i="31"/>
  <c r="H75" i="31"/>
  <c r="G75" i="31"/>
  <c r="F75" i="31"/>
  <c r="E75" i="31"/>
  <c r="AS74" i="31"/>
  <c r="AK74" i="31"/>
  <c r="AC74" i="31"/>
  <c r="U74" i="31"/>
  <c r="M74" i="31"/>
  <c r="E74" i="31"/>
  <c r="AU73" i="31"/>
  <c r="AV73" i="31" s="1"/>
  <c r="AW73" i="31" s="1"/>
  <c r="AX73" i="31" s="1"/>
  <c r="AY73" i="31" s="1"/>
  <c r="AZ73" i="31" s="1"/>
  <c r="AT73" i="31"/>
  <c r="AL73" i="31"/>
  <c r="AM73" i="31" s="1"/>
  <c r="AN73" i="31" s="1"/>
  <c r="AO73" i="31" s="1"/>
  <c r="AP73" i="31" s="1"/>
  <c r="AQ73" i="31" s="1"/>
  <c r="AR73" i="31" s="1"/>
  <c r="AD73" i="31"/>
  <c r="AE73" i="31" s="1"/>
  <c r="AF73" i="31" s="1"/>
  <c r="AG73" i="31" s="1"/>
  <c r="AH73" i="31" s="1"/>
  <c r="AI73" i="31" s="1"/>
  <c r="AJ73" i="31" s="1"/>
  <c r="X73" i="31"/>
  <c r="Y73" i="31" s="1"/>
  <c r="Z73" i="31" s="1"/>
  <c r="AA73" i="31" s="1"/>
  <c r="AB73" i="31" s="1"/>
  <c r="V73" i="31"/>
  <c r="W73" i="31" s="1"/>
  <c r="T73" i="31"/>
  <c r="O73" i="31"/>
  <c r="P73" i="31" s="1"/>
  <c r="Q73" i="31" s="1"/>
  <c r="R73" i="31" s="1"/>
  <c r="S73" i="31" s="1"/>
  <c r="N73" i="31"/>
  <c r="F73" i="31"/>
  <c r="AV72" i="31"/>
  <c r="AW72" i="31" s="1"/>
  <c r="AX72" i="31" s="1"/>
  <c r="AY72" i="31" s="1"/>
  <c r="AZ72" i="31" s="1"/>
  <c r="AT72" i="31"/>
  <c r="AU72" i="31" s="1"/>
  <c r="AN72" i="31"/>
  <c r="AO72" i="31" s="1"/>
  <c r="AP72" i="31" s="1"/>
  <c r="AQ72" i="31" s="1"/>
  <c r="AR72" i="31" s="1"/>
  <c r="AM72" i="31"/>
  <c r="AL72" i="31"/>
  <c r="AD72" i="31"/>
  <c r="AE72" i="31" s="1"/>
  <c r="AF72" i="31" s="1"/>
  <c r="AG72" i="31" s="1"/>
  <c r="AH72" i="31" s="1"/>
  <c r="AI72" i="31" s="1"/>
  <c r="AJ72" i="31" s="1"/>
  <c r="Y72" i="31"/>
  <c r="Z72" i="31" s="1"/>
  <c r="AA72" i="31" s="1"/>
  <c r="AB72" i="31" s="1"/>
  <c r="V72" i="31"/>
  <c r="W72" i="31" s="1"/>
  <c r="X72" i="31" s="1"/>
  <c r="P72" i="31"/>
  <c r="Q72" i="31" s="1"/>
  <c r="R72" i="31" s="1"/>
  <c r="S72" i="31" s="1"/>
  <c r="T72" i="31" s="1"/>
  <c r="N72" i="31"/>
  <c r="O72" i="31" s="1"/>
  <c r="G72" i="31"/>
  <c r="H72" i="31" s="1"/>
  <c r="I72" i="31" s="1"/>
  <c r="J72" i="31" s="1"/>
  <c r="K72" i="31" s="1"/>
  <c r="L72" i="31" s="1"/>
  <c r="F72" i="31"/>
  <c r="AT71" i="31"/>
  <c r="AU71" i="31" s="1"/>
  <c r="AV71" i="31" s="1"/>
  <c r="AW71" i="31" s="1"/>
  <c r="AX71" i="31" s="1"/>
  <c r="AY71" i="31" s="1"/>
  <c r="AZ71" i="31" s="1"/>
  <c r="AL71" i="31"/>
  <c r="AM71" i="31" s="1"/>
  <c r="AN71" i="31" s="1"/>
  <c r="AO71" i="31" s="1"/>
  <c r="AP71" i="31" s="1"/>
  <c r="AQ71" i="31" s="1"/>
  <c r="AR71" i="31" s="1"/>
  <c r="AJ71" i="31"/>
  <c r="AE71" i="31"/>
  <c r="AF71" i="31" s="1"/>
  <c r="AG71" i="31" s="1"/>
  <c r="AH71" i="31" s="1"/>
  <c r="AI71" i="31" s="1"/>
  <c r="AD71" i="31"/>
  <c r="V71" i="31"/>
  <c r="W71" i="31" s="1"/>
  <c r="X71" i="31" s="1"/>
  <c r="Y71" i="31" s="1"/>
  <c r="Z71" i="31" s="1"/>
  <c r="AA71" i="31" s="1"/>
  <c r="AB71" i="31" s="1"/>
  <c r="Q71" i="31"/>
  <c r="R71" i="31" s="1"/>
  <c r="S71" i="31" s="1"/>
  <c r="T71" i="31" s="1"/>
  <c r="N71" i="31"/>
  <c r="O71" i="31" s="1"/>
  <c r="P71" i="31" s="1"/>
  <c r="F71" i="31"/>
  <c r="G71" i="31" s="1"/>
  <c r="AU70" i="31"/>
  <c r="AV70" i="31" s="1"/>
  <c r="AW70" i="31" s="1"/>
  <c r="AX70" i="31" s="1"/>
  <c r="AY70" i="31" s="1"/>
  <c r="AZ70" i="31" s="1"/>
  <c r="AT70" i="31"/>
  <c r="AO70" i="31"/>
  <c r="AP70" i="31" s="1"/>
  <c r="AQ70" i="31" s="1"/>
  <c r="AR70" i="31" s="1"/>
  <c r="AL70" i="31"/>
  <c r="AM70" i="31" s="1"/>
  <c r="AN70" i="31" s="1"/>
  <c r="AD70" i="31"/>
  <c r="AE70" i="31" s="1"/>
  <c r="AF70" i="31" s="1"/>
  <c r="AG70" i="31" s="1"/>
  <c r="AH70" i="31" s="1"/>
  <c r="AI70" i="31" s="1"/>
  <c r="AJ70" i="31" s="1"/>
  <c r="V70" i="31"/>
  <c r="W70" i="31" s="1"/>
  <c r="X70" i="31" s="1"/>
  <c r="Y70" i="31" s="1"/>
  <c r="Z70" i="31" s="1"/>
  <c r="AA70" i="31" s="1"/>
  <c r="AB70" i="31" s="1"/>
  <c r="S70" i="31"/>
  <c r="T70" i="31" s="1"/>
  <c r="R70" i="31"/>
  <c r="O70" i="31"/>
  <c r="P70" i="31" s="1"/>
  <c r="Q70" i="31" s="1"/>
  <c r="N70" i="31"/>
  <c r="F70" i="31"/>
  <c r="AY69" i="31"/>
  <c r="AZ69" i="31" s="1"/>
  <c r="AV69" i="31"/>
  <c r="AW69" i="31" s="1"/>
  <c r="AX69" i="31" s="1"/>
  <c r="AU69" i="31"/>
  <c r="AT69" i="31"/>
  <c r="AR69" i="31"/>
  <c r="AL69" i="31"/>
  <c r="AM69" i="31" s="1"/>
  <c r="AN69" i="31" s="1"/>
  <c r="AO69" i="31" s="1"/>
  <c r="AP69" i="31" s="1"/>
  <c r="AQ69" i="31" s="1"/>
  <c r="AH69" i="31"/>
  <c r="AI69" i="31" s="1"/>
  <c r="AJ69" i="31" s="1"/>
  <c r="AE69" i="31"/>
  <c r="AF69" i="31" s="1"/>
  <c r="AG69" i="31" s="1"/>
  <c r="AD69" i="31"/>
  <c r="Y69" i="31"/>
  <c r="Z69" i="31" s="1"/>
  <c r="AA69" i="31" s="1"/>
  <c r="AB69" i="31" s="1"/>
  <c r="V69" i="31"/>
  <c r="W69" i="31" s="1"/>
  <c r="X69" i="31" s="1"/>
  <c r="P69" i="31"/>
  <c r="Q69" i="31" s="1"/>
  <c r="R69" i="31" s="1"/>
  <c r="S69" i="31" s="1"/>
  <c r="T69" i="31" s="1"/>
  <c r="O69" i="31"/>
  <c r="N69" i="31"/>
  <c r="F69" i="31"/>
  <c r="AW68" i="31"/>
  <c r="AX68" i="31" s="1"/>
  <c r="AY68" i="31" s="1"/>
  <c r="AZ68" i="31" s="1"/>
  <c r="AV68" i="31"/>
  <c r="AT68" i="31"/>
  <c r="AU68" i="31" s="1"/>
  <c r="AQ68" i="31"/>
  <c r="AR68" i="31" s="1"/>
  <c r="AM68" i="31"/>
  <c r="AN68" i="31" s="1"/>
  <c r="AO68" i="31" s="1"/>
  <c r="AP68" i="31" s="1"/>
  <c r="AL68" i="31"/>
  <c r="AE68" i="31"/>
  <c r="AF68" i="31" s="1"/>
  <c r="AG68" i="31" s="1"/>
  <c r="AH68" i="31" s="1"/>
  <c r="AI68" i="31" s="1"/>
  <c r="AJ68" i="31" s="1"/>
  <c r="AD68" i="31"/>
  <c r="V68" i="31"/>
  <c r="W68" i="31" s="1"/>
  <c r="X68" i="31" s="1"/>
  <c r="Y68" i="31" s="1"/>
  <c r="Z68" i="31" s="1"/>
  <c r="AA68" i="31" s="1"/>
  <c r="AB68" i="31" s="1"/>
  <c r="N68" i="31"/>
  <c r="O68" i="31" s="1"/>
  <c r="P68" i="31" s="1"/>
  <c r="Q68" i="31" s="1"/>
  <c r="R68" i="31" s="1"/>
  <c r="S68" i="31" s="1"/>
  <c r="T68" i="31" s="1"/>
  <c r="G68" i="31"/>
  <c r="F68" i="31"/>
  <c r="AU67" i="31"/>
  <c r="AV67" i="31" s="1"/>
  <c r="AW67" i="31" s="1"/>
  <c r="AX67" i="31" s="1"/>
  <c r="AY67" i="31" s="1"/>
  <c r="AZ67" i="31" s="1"/>
  <c r="AT67" i="31"/>
  <c r="AO67" i="31"/>
  <c r="AP67" i="31" s="1"/>
  <c r="AQ67" i="31" s="1"/>
  <c r="AR67" i="31" s="1"/>
  <c r="AL67" i="31"/>
  <c r="AM67" i="31" s="1"/>
  <c r="AN67" i="31" s="1"/>
  <c r="AE67" i="31"/>
  <c r="AF67" i="31" s="1"/>
  <c r="AG67" i="31" s="1"/>
  <c r="AH67" i="31" s="1"/>
  <c r="AI67" i="31" s="1"/>
  <c r="AJ67" i="31" s="1"/>
  <c r="AD67" i="31"/>
  <c r="V67" i="31"/>
  <c r="W67" i="31" s="1"/>
  <c r="X67" i="31" s="1"/>
  <c r="Y67" i="31" s="1"/>
  <c r="Z67" i="31" s="1"/>
  <c r="AA67" i="31" s="1"/>
  <c r="AB67" i="31" s="1"/>
  <c r="O67" i="31"/>
  <c r="P67" i="31" s="1"/>
  <c r="Q67" i="31" s="1"/>
  <c r="R67" i="31" s="1"/>
  <c r="S67" i="31" s="1"/>
  <c r="T67" i="31" s="1"/>
  <c r="N67" i="31"/>
  <c r="H67" i="31"/>
  <c r="F67" i="31"/>
  <c r="G67" i="31" s="1"/>
  <c r="AU66" i="31"/>
  <c r="AV66" i="31" s="1"/>
  <c r="AW66" i="31" s="1"/>
  <c r="AX66" i="31" s="1"/>
  <c r="AY66" i="31" s="1"/>
  <c r="AZ66" i="31" s="1"/>
  <c r="AT66" i="31"/>
  <c r="AM66" i="31"/>
  <c r="AN66" i="31" s="1"/>
  <c r="AO66" i="31" s="1"/>
  <c r="AP66" i="31" s="1"/>
  <c r="AQ66" i="31" s="1"/>
  <c r="AR66" i="31" s="1"/>
  <c r="AL66" i="31"/>
  <c r="AD66" i="31"/>
  <c r="AE66" i="31" s="1"/>
  <c r="AF66" i="31" s="1"/>
  <c r="AG66" i="31" s="1"/>
  <c r="AH66" i="31" s="1"/>
  <c r="AI66" i="31" s="1"/>
  <c r="AJ66" i="31" s="1"/>
  <c r="X66" i="31"/>
  <c r="Y66" i="31" s="1"/>
  <c r="Z66" i="31" s="1"/>
  <c r="AA66" i="31" s="1"/>
  <c r="AB66" i="31" s="1"/>
  <c r="V66" i="31"/>
  <c r="W66" i="31" s="1"/>
  <c r="O66" i="31"/>
  <c r="P66" i="31" s="1"/>
  <c r="Q66" i="31" s="1"/>
  <c r="R66" i="31" s="1"/>
  <c r="S66" i="31" s="1"/>
  <c r="T66" i="31" s="1"/>
  <c r="N66" i="31"/>
  <c r="H66" i="31"/>
  <c r="I66" i="31" s="1"/>
  <c r="J66" i="31" s="1"/>
  <c r="K66" i="31" s="1"/>
  <c r="L66" i="31" s="1"/>
  <c r="G66" i="31"/>
  <c r="F66" i="31"/>
  <c r="AV65" i="31"/>
  <c r="AW65" i="31" s="1"/>
  <c r="AX65" i="31" s="1"/>
  <c r="AY65" i="31" s="1"/>
  <c r="AZ65" i="31" s="1"/>
  <c r="AT65" i="31"/>
  <c r="AU65" i="31" s="1"/>
  <c r="AN65" i="31"/>
  <c r="AO65" i="31" s="1"/>
  <c r="AP65" i="31" s="1"/>
  <c r="AQ65" i="31" s="1"/>
  <c r="AR65" i="31" s="1"/>
  <c r="AM65" i="31"/>
  <c r="AL65" i="31"/>
  <c r="AD65" i="31"/>
  <c r="AE65" i="31" s="1"/>
  <c r="AF65" i="31" s="1"/>
  <c r="AG65" i="31" s="1"/>
  <c r="AH65" i="31" s="1"/>
  <c r="AI65" i="31" s="1"/>
  <c r="AJ65" i="31" s="1"/>
  <c r="Z65" i="31"/>
  <c r="AA65" i="31" s="1"/>
  <c r="AB65" i="31" s="1"/>
  <c r="Y65" i="31"/>
  <c r="W65" i="31"/>
  <c r="X65" i="31" s="1"/>
  <c r="V65" i="31"/>
  <c r="T65" i="31"/>
  <c r="N65" i="31"/>
  <c r="O65" i="31" s="1"/>
  <c r="P65" i="31" s="1"/>
  <c r="Q65" i="31" s="1"/>
  <c r="R65" i="31" s="1"/>
  <c r="S65" i="31" s="1"/>
  <c r="F65" i="31"/>
  <c r="G65" i="31" s="1"/>
  <c r="H65" i="31" s="1"/>
  <c r="I65" i="31" s="1"/>
  <c r="J65" i="31" s="1"/>
  <c r="K65" i="31" s="1"/>
  <c r="AW64" i="31"/>
  <c r="AX64" i="31" s="1"/>
  <c r="AY64" i="31" s="1"/>
  <c r="AZ64" i="31" s="1"/>
  <c r="AU64" i="31"/>
  <c r="AV64" i="31" s="1"/>
  <c r="AT64" i="31"/>
  <c r="AN64" i="31"/>
  <c r="AO64" i="31" s="1"/>
  <c r="AP64" i="31" s="1"/>
  <c r="AQ64" i="31" s="1"/>
  <c r="AR64" i="31" s="1"/>
  <c r="AL64" i="31"/>
  <c r="AM64" i="31" s="1"/>
  <c r="AG64" i="31"/>
  <c r="AH64" i="31" s="1"/>
  <c r="AI64" i="31" s="1"/>
  <c r="AJ64" i="31" s="1"/>
  <c r="AE64" i="31"/>
  <c r="AF64" i="31" s="1"/>
  <c r="AD64" i="31"/>
  <c r="W64" i="31"/>
  <c r="X64" i="31" s="1"/>
  <c r="Y64" i="31" s="1"/>
  <c r="Z64" i="31" s="1"/>
  <c r="AA64" i="31" s="1"/>
  <c r="AB64" i="31" s="1"/>
  <c r="V64" i="31"/>
  <c r="N64" i="31"/>
  <c r="O64" i="31" s="1"/>
  <c r="P64" i="31" s="1"/>
  <c r="Q64" i="31" s="1"/>
  <c r="R64" i="31" s="1"/>
  <c r="S64" i="31" s="1"/>
  <c r="T64" i="31" s="1"/>
  <c r="F64" i="31"/>
  <c r="AU63" i="31"/>
  <c r="AV63" i="31" s="1"/>
  <c r="AW63" i="31" s="1"/>
  <c r="AX63" i="31" s="1"/>
  <c r="AY63" i="31" s="1"/>
  <c r="AZ63" i="31" s="1"/>
  <c r="AT63" i="31"/>
  <c r="AM63" i="31"/>
  <c r="AN63" i="31" s="1"/>
  <c r="AO63" i="31" s="1"/>
  <c r="AP63" i="31" s="1"/>
  <c r="AQ63" i="31" s="1"/>
  <c r="AR63" i="31" s="1"/>
  <c r="AL63" i="31"/>
  <c r="AF63" i="31"/>
  <c r="AG63" i="31" s="1"/>
  <c r="AH63" i="31" s="1"/>
  <c r="AI63" i="31" s="1"/>
  <c r="AJ63" i="31" s="1"/>
  <c r="AD63" i="31"/>
  <c r="AE63" i="31" s="1"/>
  <c r="AA63" i="31"/>
  <c r="AB63" i="31" s="1"/>
  <c r="Y63" i="31"/>
  <c r="Z63" i="31" s="1"/>
  <c r="W63" i="31"/>
  <c r="X63" i="31" s="1"/>
  <c r="V63" i="31"/>
  <c r="T63" i="31"/>
  <c r="R63" i="31"/>
  <c r="S63" i="31" s="1"/>
  <c r="P63" i="31"/>
  <c r="Q63" i="31" s="1"/>
  <c r="O63" i="31"/>
  <c r="N63" i="31"/>
  <c r="F63" i="31"/>
  <c r="AW62" i="31"/>
  <c r="AX62" i="31" s="1"/>
  <c r="AY62" i="31" s="1"/>
  <c r="AZ62" i="31" s="1"/>
  <c r="AV62" i="31"/>
  <c r="AU62" i="31"/>
  <c r="AT62" i="31"/>
  <c r="AL62" i="31"/>
  <c r="AM62" i="31" s="1"/>
  <c r="AN62" i="31" s="1"/>
  <c r="AO62" i="31" s="1"/>
  <c r="AP62" i="31" s="1"/>
  <c r="AQ62" i="31" s="1"/>
  <c r="AR62" i="31" s="1"/>
  <c r="AD62" i="31"/>
  <c r="AE62" i="31" s="1"/>
  <c r="AF62" i="31" s="1"/>
  <c r="AG62" i="31" s="1"/>
  <c r="AH62" i="31" s="1"/>
  <c r="AI62" i="31" s="1"/>
  <c r="AJ62" i="31" s="1"/>
  <c r="V62" i="31"/>
  <c r="W62" i="31" s="1"/>
  <c r="X62" i="31" s="1"/>
  <c r="Y62" i="31" s="1"/>
  <c r="Z62" i="31" s="1"/>
  <c r="AA62" i="31" s="1"/>
  <c r="AB62" i="31" s="1"/>
  <c r="N62" i="31"/>
  <c r="O62" i="31" s="1"/>
  <c r="P62" i="31" s="1"/>
  <c r="Q62" i="31" s="1"/>
  <c r="R62" i="31" s="1"/>
  <c r="S62" i="31" s="1"/>
  <c r="T62" i="31" s="1"/>
  <c r="F62" i="31"/>
  <c r="AY61" i="31"/>
  <c r="AZ61" i="31" s="1"/>
  <c r="AU61" i="31"/>
  <c r="AV61" i="31" s="1"/>
  <c r="AW61" i="31" s="1"/>
  <c r="AX61" i="31" s="1"/>
  <c r="AT61" i="31"/>
  <c r="AN61" i="31"/>
  <c r="AO61" i="31" s="1"/>
  <c r="AP61" i="31" s="1"/>
  <c r="AQ61" i="31" s="1"/>
  <c r="AR61" i="31" s="1"/>
  <c r="AL61" i="31"/>
  <c r="AM61" i="31" s="1"/>
  <c r="AD61" i="31"/>
  <c r="AE61" i="31" s="1"/>
  <c r="AF61" i="31" s="1"/>
  <c r="AG61" i="31" s="1"/>
  <c r="AH61" i="31" s="1"/>
  <c r="AI61" i="31" s="1"/>
  <c r="AJ61" i="31" s="1"/>
  <c r="V61" i="31"/>
  <c r="W61" i="31" s="1"/>
  <c r="X61" i="31" s="1"/>
  <c r="Y61" i="31" s="1"/>
  <c r="Z61" i="31" s="1"/>
  <c r="AA61" i="31" s="1"/>
  <c r="AB61" i="31" s="1"/>
  <c r="Q61" i="31"/>
  <c r="R61" i="31" s="1"/>
  <c r="S61" i="31" s="1"/>
  <c r="T61" i="31" s="1"/>
  <c r="P61" i="31"/>
  <c r="O61" i="31"/>
  <c r="N61" i="31"/>
  <c r="F61" i="31"/>
  <c r="AT60" i="31"/>
  <c r="AU60" i="31" s="1"/>
  <c r="AV60" i="31" s="1"/>
  <c r="AW60" i="31" s="1"/>
  <c r="AX60" i="31" s="1"/>
  <c r="AY60" i="31" s="1"/>
  <c r="AZ60" i="31" s="1"/>
  <c r="AN60" i="31"/>
  <c r="AO60" i="31" s="1"/>
  <c r="AP60" i="31" s="1"/>
  <c r="AQ60" i="31" s="1"/>
  <c r="AR60" i="31" s="1"/>
  <c r="AM60" i="31"/>
  <c r="AL60" i="31"/>
  <c r="AH60" i="31"/>
  <c r="AI60" i="31" s="1"/>
  <c r="AJ60" i="31" s="1"/>
  <c r="AD60" i="31"/>
  <c r="AE60" i="31" s="1"/>
  <c r="AF60" i="31" s="1"/>
  <c r="AG60" i="31" s="1"/>
  <c r="V60" i="31"/>
  <c r="W60" i="31" s="1"/>
  <c r="X60" i="31" s="1"/>
  <c r="Y60" i="31" s="1"/>
  <c r="Z60" i="31" s="1"/>
  <c r="AA60" i="31" s="1"/>
  <c r="AB60" i="31" s="1"/>
  <c r="P60" i="31"/>
  <c r="Q60" i="31" s="1"/>
  <c r="R60" i="31" s="1"/>
  <c r="S60" i="31" s="1"/>
  <c r="T60" i="31" s="1"/>
  <c r="N60" i="31"/>
  <c r="O60" i="31" s="1"/>
  <c r="G60" i="31"/>
  <c r="H60" i="31" s="1"/>
  <c r="I60" i="31" s="1"/>
  <c r="J60" i="31" s="1"/>
  <c r="K60" i="31" s="1"/>
  <c r="L60" i="31" s="1"/>
  <c r="F60" i="31"/>
  <c r="AT59" i="31"/>
  <c r="AU59" i="31" s="1"/>
  <c r="AV59" i="31" s="1"/>
  <c r="AW59" i="31" s="1"/>
  <c r="AX59" i="31" s="1"/>
  <c r="AY59" i="31" s="1"/>
  <c r="AZ59" i="31" s="1"/>
  <c r="AL59" i="31"/>
  <c r="AM59" i="31" s="1"/>
  <c r="AN59" i="31" s="1"/>
  <c r="AO59" i="31" s="1"/>
  <c r="AP59" i="31" s="1"/>
  <c r="AQ59" i="31" s="1"/>
  <c r="AR59" i="31" s="1"/>
  <c r="AF59" i="31"/>
  <c r="AG59" i="31" s="1"/>
  <c r="AH59" i="31" s="1"/>
  <c r="AI59" i="31" s="1"/>
  <c r="AJ59" i="31" s="1"/>
  <c r="AE59" i="31"/>
  <c r="AD59" i="31"/>
  <c r="V59" i="31"/>
  <c r="W59" i="31" s="1"/>
  <c r="X59" i="31" s="1"/>
  <c r="Y59" i="31" s="1"/>
  <c r="Z59" i="31" s="1"/>
  <c r="AA59" i="31" s="1"/>
  <c r="AB59" i="31" s="1"/>
  <c r="O59" i="31"/>
  <c r="P59" i="31" s="1"/>
  <c r="Q59" i="31" s="1"/>
  <c r="R59" i="31" s="1"/>
  <c r="S59" i="31" s="1"/>
  <c r="T59" i="31" s="1"/>
  <c r="N59" i="31"/>
  <c r="F59" i="31"/>
  <c r="G59" i="31" s="1"/>
  <c r="H59" i="31" s="1"/>
  <c r="I59" i="31" s="1"/>
  <c r="J59" i="31" s="1"/>
  <c r="K59" i="31" s="1"/>
  <c r="L59" i="31" s="1"/>
  <c r="AV58" i="31"/>
  <c r="AW58" i="31" s="1"/>
  <c r="AX58" i="31" s="1"/>
  <c r="AY58" i="31" s="1"/>
  <c r="AZ58" i="31" s="1"/>
  <c r="AT58" i="31"/>
  <c r="AU58" i="31" s="1"/>
  <c r="AL58" i="31"/>
  <c r="AM58" i="31" s="1"/>
  <c r="AN58" i="31" s="1"/>
  <c r="AO58" i="31" s="1"/>
  <c r="AP58" i="31" s="1"/>
  <c r="AQ58" i="31" s="1"/>
  <c r="AR58" i="31" s="1"/>
  <c r="AD58" i="31"/>
  <c r="AE58" i="31" s="1"/>
  <c r="AF58" i="31" s="1"/>
  <c r="AG58" i="31" s="1"/>
  <c r="AH58" i="31" s="1"/>
  <c r="AI58" i="31" s="1"/>
  <c r="AJ58" i="31" s="1"/>
  <c r="Y58" i="31"/>
  <c r="Z58" i="31" s="1"/>
  <c r="AA58" i="31" s="1"/>
  <c r="AB58" i="31" s="1"/>
  <c r="X58" i="31"/>
  <c r="W58" i="31"/>
  <c r="V58" i="31"/>
  <c r="T58" i="31"/>
  <c r="N58" i="31"/>
  <c r="O58" i="31" s="1"/>
  <c r="P58" i="31" s="1"/>
  <c r="Q58" i="31" s="1"/>
  <c r="R58" i="31" s="1"/>
  <c r="S58" i="31" s="1"/>
  <c r="I58" i="31"/>
  <c r="J58" i="31" s="1"/>
  <c r="K58" i="31" s="1"/>
  <c r="L58" i="31" s="1"/>
  <c r="G58" i="31"/>
  <c r="H58" i="31" s="1"/>
  <c r="F58" i="31"/>
  <c r="AU57" i="31"/>
  <c r="AV57" i="31" s="1"/>
  <c r="AW57" i="31" s="1"/>
  <c r="AX57" i="31" s="1"/>
  <c r="AY57" i="31" s="1"/>
  <c r="AZ57" i="31" s="1"/>
  <c r="AT57" i="31"/>
  <c r="AQ57" i="31"/>
  <c r="AR57" i="31" s="1"/>
  <c r="AL57" i="31"/>
  <c r="AM57" i="31" s="1"/>
  <c r="AN57" i="31" s="1"/>
  <c r="AO57" i="31" s="1"/>
  <c r="AP57" i="31" s="1"/>
  <c r="AE57" i="31"/>
  <c r="AF57" i="31" s="1"/>
  <c r="AG57" i="31" s="1"/>
  <c r="AH57" i="31" s="1"/>
  <c r="AI57" i="31" s="1"/>
  <c r="AJ57" i="31" s="1"/>
  <c r="AD57" i="31"/>
  <c r="X57" i="31"/>
  <c r="Y57" i="31" s="1"/>
  <c r="Z57" i="31" s="1"/>
  <c r="AA57" i="31" s="1"/>
  <c r="AB57" i="31" s="1"/>
  <c r="V57" i="31"/>
  <c r="W57" i="31" s="1"/>
  <c r="O57" i="31"/>
  <c r="P57" i="31" s="1"/>
  <c r="Q57" i="31" s="1"/>
  <c r="R57" i="31" s="1"/>
  <c r="S57" i="31" s="1"/>
  <c r="T57" i="31" s="1"/>
  <c r="N57" i="31"/>
  <c r="G57" i="31"/>
  <c r="H57" i="31" s="1"/>
  <c r="I57" i="31" s="1"/>
  <c r="J57" i="31" s="1"/>
  <c r="K57" i="31" s="1"/>
  <c r="L57" i="31" s="1"/>
  <c r="F57" i="31"/>
  <c r="AT56" i="31"/>
  <c r="AU56" i="31" s="1"/>
  <c r="AV56" i="31" s="1"/>
  <c r="AW56" i="31" s="1"/>
  <c r="AX56" i="31" s="1"/>
  <c r="AY56" i="31" s="1"/>
  <c r="AZ56" i="31" s="1"/>
  <c r="AN56" i="31"/>
  <c r="AO56" i="31" s="1"/>
  <c r="AP56" i="31" s="1"/>
  <c r="AQ56" i="31" s="1"/>
  <c r="AR56" i="31" s="1"/>
  <c r="AM56" i="31"/>
  <c r="AL56" i="31"/>
  <c r="AD56" i="31"/>
  <c r="AE56" i="31" s="1"/>
  <c r="AF56" i="31" s="1"/>
  <c r="AG56" i="31" s="1"/>
  <c r="AH56" i="31" s="1"/>
  <c r="AI56" i="31" s="1"/>
  <c r="AJ56" i="31" s="1"/>
  <c r="W56" i="31"/>
  <c r="X56" i="31" s="1"/>
  <c r="Y56" i="31" s="1"/>
  <c r="Z56" i="31" s="1"/>
  <c r="AA56" i="31" s="1"/>
  <c r="AB56" i="31" s="1"/>
  <c r="V56" i="31"/>
  <c r="N56" i="31"/>
  <c r="O56" i="31" s="1"/>
  <c r="P56" i="31" s="1"/>
  <c r="Q56" i="31" s="1"/>
  <c r="R56" i="31" s="1"/>
  <c r="S56" i="31" s="1"/>
  <c r="T56" i="31" s="1"/>
  <c r="K56" i="31"/>
  <c r="L56" i="31" s="1"/>
  <c r="G56" i="31"/>
  <c r="H56" i="31" s="1"/>
  <c r="I56" i="31" s="1"/>
  <c r="J56" i="31" s="1"/>
  <c r="F56" i="31"/>
  <c r="AY55" i="31"/>
  <c r="AZ55" i="31" s="1"/>
  <c r="AU55" i="31"/>
  <c r="AV55" i="31" s="1"/>
  <c r="AW55" i="31" s="1"/>
  <c r="AX55" i="31" s="1"/>
  <c r="AT55" i="31"/>
  <c r="AN55" i="31"/>
  <c r="AO55" i="31" s="1"/>
  <c r="AP55" i="31" s="1"/>
  <c r="AQ55" i="31" s="1"/>
  <c r="AR55" i="31" s="1"/>
  <c r="AL55" i="31"/>
  <c r="AM55" i="31" s="1"/>
  <c r="AE55" i="31"/>
  <c r="AF55" i="31" s="1"/>
  <c r="AG55" i="31" s="1"/>
  <c r="AH55" i="31" s="1"/>
  <c r="AI55" i="31" s="1"/>
  <c r="AJ55" i="31" s="1"/>
  <c r="AD55" i="31"/>
  <c r="V55" i="31"/>
  <c r="W55" i="31" s="1"/>
  <c r="X55" i="31" s="1"/>
  <c r="Y55" i="31" s="1"/>
  <c r="Z55" i="31" s="1"/>
  <c r="AA55" i="31" s="1"/>
  <c r="AB55" i="31" s="1"/>
  <c r="N55" i="31"/>
  <c r="O55" i="31" s="1"/>
  <c r="P55" i="31" s="1"/>
  <c r="Q55" i="31" s="1"/>
  <c r="R55" i="31" s="1"/>
  <c r="S55" i="31" s="1"/>
  <c r="T55" i="31" s="1"/>
  <c r="F55" i="31"/>
  <c r="G55" i="31" s="1"/>
  <c r="H55" i="31" s="1"/>
  <c r="I55" i="31" s="1"/>
  <c r="J55" i="31" s="1"/>
  <c r="K55" i="31" s="1"/>
  <c r="L55" i="31" s="1"/>
  <c r="AT54" i="31"/>
  <c r="AU54" i="31" s="1"/>
  <c r="AV54" i="31" s="1"/>
  <c r="AW54" i="31" s="1"/>
  <c r="AX54" i="31" s="1"/>
  <c r="AY54" i="31" s="1"/>
  <c r="AZ54" i="31" s="1"/>
  <c r="AQ54" i="31"/>
  <c r="AR54" i="31" s="1"/>
  <c r="AM54" i="31"/>
  <c r="AN54" i="31" s="1"/>
  <c r="AO54" i="31" s="1"/>
  <c r="AP54" i="31" s="1"/>
  <c r="AL54" i="31"/>
  <c r="AF54" i="31"/>
  <c r="AG54" i="31" s="1"/>
  <c r="AH54" i="31" s="1"/>
  <c r="AI54" i="31" s="1"/>
  <c r="AJ54" i="31" s="1"/>
  <c r="AD54" i="31"/>
  <c r="AE54" i="31" s="1"/>
  <c r="V54" i="31"/>
  <c r="W54" i="31" s="1"/>
  <c r="X54" i="31" s="1"/>
  <c r="Y54" i="31" s="1"/>
  <c r="Z54" i="31" s="1"/>
  <c r="AA54" i="31" s="1"/>
  <c r="AB54" i="31" s="1"/>
  <c r="O54" i="31"/>
  <c r="P54" i="31" s="1"/>
  <c r="Q54" i="31" s="1"/>
  <c r="R54" i="31" s="1"/>
  <c r="S54" i="31" s="1"/>
  <c r="T54" i="31" s="1"/>
  <c r="N54" i="31"/>
  <c r="F54" i="31"/>
  <c r="AV53" i="31"/>
  <c r="AW53" i="31" s="1"/>
  <c r="AX53" i="31" s="1"/>
  <c r="AY53" i="31" s="1"/>
  <c r="AZ53" i="31" s="1"/>
  <c r="AU53" i="31"/>
  <c r="AT53" i="31"/>
  <c r="AQ53" i="31"/>
  <c r="AR53" i="31" s="1"/>
  <c r="AL53" i="31"/>
  <c r="AM53" i="31" s="1"/>
  <c r="AN53" i="31" s="1"/>
  <c r="AO53" i="31" s="1"/>
  <c r="AP53" i="31" s="1"/>
  <c r="AE53" i="31"/>
  <c r="AF53" i="31" s="1"/>
  <c r="AG53" i="31" s="1"/>
  <c r="AH53" i="31" s="1"/>
  <c r="AI53" i="31" s="1"/>
  <c r="AJ53" i="31" s="1"/>
  <c r="AD53" i="31"/>
  <c r="V53" i="31"/>
  <c r="W53" i="31" s="1"/>
  <c r="X53" i="31" s="1"/>
  <c r="Y53" i="31" s="1"/>
  <c r="Z53" i="31" s="1"/>
  <c r="AA53" i="31" s="1"/>
  <c r="AB53" i="31" s="1"/>
  <c r="O53" i="31"/>
  <c r="P53" i="31" s="1"/>
  <c r="Q53" i="31" s="1"/>
  <c r="R53" i="31" s="1"/>
  <c r="S53" i="31" s="1"/>
  <c r="T53" i="31" s="1"/>
  <c r="N53" i="31"/>
  <c r="F53" i="31"/>
  <c r="G53" i="31" s="1"/>
  <c r="AV52" i="31"/>
  <c r="AW52" i="31" s="1"/>
  <c r="AX52" i="31" s="1"/>
  <c r="AY52" i="31" s="1"/>
  <c r="AZ52" i="31" s="1"/>
  <c r="AT52" i="31"/>
  <c r="AU52" i="31" s="1"/>
  <c r="AM52" i="31"/>
  <c r="AN52" i="31" s="1"/>
  <c r="AO52" i="31" s="1"/>
  <c r="AP52" i="31" s="1"/>
  <c r="AQ52" i="31" s="1"/>
  <c r="AR52" i="31" s="1"/>
  <c r="AL52" i="31"/>
  <c r="AE52" i="31"/>
  <c r="AF52" i="31" s="1"/>
  <c r="AG52" i="31" s="1"/>
  <c r="AH52" i="31" s="1"/>
  <c r="AI52" i="31" s="1"/>
  <c r="AJ52" i="31" s="1"/>
  <c r="AD52" i="31"/>
  <c r="V52" i="31"/>
  <c r="W52" i="31" s="1"/>
  <c r="X52" i="31" s="1"/>
  <c r="Y52" i="31" s="1"/>
  <c r="Z52" i="31" s="1"/>
  <c r="AA52" i="31" s="1"/>
  <c r="AB52" i="31" s="1"/>
  <c r="N52" i="31"/>
  <c r="O52" i="31" s="1"/>
  <c r="P52" i="31" s="1"/>
  <c r="Q52" i="31" s="1"/>
  <c r="R52" i="31" s="1"/>
  <c r="S52" i="31" s="1"/>
  <c r="T52" i="31" s="1"/>
  <c r="H52" i="31"/>
  <c r="I52" i="31" s="1"/>
  <c r="J52" i="31" s="1"/>
  <c r="K52" i="31" s="1"/>
  <c r="L52" i="31" s="1"/>
  <c r="G52" i="31"/>
  <c r="F52" i="31"/>
  <c r="AU51" i="31"/>
  <c r="AV51" i="31" s="1"/>
  <c r="AW51" i="31" s="1"/>
  <c r="AX51" i="31" s="1"/>
  <c r="AY51" i="31" s="1"/>
  <c r="AZ51" i="31" s="1"/>
  <c r="AT51" i="31"/>
  <c r="AP51" i="31"/>
  <c r="AQ51" i="31" s="1"/>
  <c r="AR51" i="31" s="1"/>
  <c r="AL51" i="31"/>
  <c r="AM51" i="31" s="1"/>
  <c r="AN51" i="31" s="1"/>
  <c r="AO51" i="31" s="1"/>
  <c r="AI51" i="31"/>
  <c r="AJ51" i="31" s="1"/>
  <c r="AE51" i="31"/>
  <c r="AF51" i="31" s="1"/>
  <c r="AG51" i="31" s="1"/>
  <c r="AH51" i="31" s="1"/>
  <c r="AD51" i="31"/>
  <c r="X51" i="31"/>
  <c r="Y51" i="31" s="1"/>
  <c r="Z51" i="31" s="1"/>
  <c r="AA51" i="31" s="1"/>
  <c r="AB51" i="31" s="1"/>
  <c r="V51" i="31"/>
  <c r="W51" i="31" s="1"/>
  <c r="O51" i="31"/>
  <c r="P51" i="31" s="1"/>
  <c r="Q51" i="31" s="1"/>
  <c r="R51" i="31" s="1"/>
  <c r="S51" i="31" s="1"/>
  <c r="T51" i="31" s="1"/>
  <c r="N51" i="31"/>
  <c r="F51" i="31"/>
  <c r="G51" i="31" s="1"/>
  <c r="H51" i="31" s="1"/>
  <c r="I51" i="31" s="1"/>
  <c r="J51" i="31" s="1"/>
  <c r="K51" i="31" s="1"/>
  <c r="L51" i="31" s="1"/>
  <c r="AV50" i="31"/>
  <c r="AW50" i="31" s="1"/>
  <c r="AX50" i="31" s="1"/>
  <c r="AY50" i="31" s="1"/>
  <c r="AZ50" i="31" s="1"/>
  <c r="AU50" i="31"/>
  <c r="AT50" i="31"/>
  <c r="AP50" i="31"/>
  <c r="AQ50" i="31" s="1"/>
  <c r="AR50" i="31" s="1"/>
  <c r="AM50" i="31"/>
  <c r="AN50" i="31" s="1"/>
  <c r="AO50" i="31" s="1"/>
  <c r="AL50" i="31"/>
  <c r="AG50" i="31"/>
  <c r="AH50" i="31" s="1"/>
  <c r="AI50" i="31" s="1"/>
  <c r="AJ50" i="31" s="1"/>
  <c r="AD50" i="31"/>
  <c r="AE50" i="31" s="1"/>
  <c r="AF50" i="31" s="1"/>
  <c r="V50" i="31"/>
  <c r="W50" i="31" s="1"/>
  <c r="X50" i="31" s="1"/>
  <c r="Y50" i="31" s="1"/>
  <c r="Z50" i="31" s="1"/>
  <c r="AA50" i="31" s="1"/>
  <c r="AB50" i="31" s="1"/>
  <c r="P50" i="31"/>
  <c r="Q50" i="31" s="1"/>
  <c r="R50" i="31" s="1"/>
  <c r="S50" i="31" s="1"/>
  <c r="T50" i="31" s="1"/>
  <c r="O50" i="31"/>
  <c r="N50" i="31"/>
  <c r="J50" i="31"/>
  <c r="K50" i="31" s="1"/>
  <c r="L50" i="31" s="1"/>
  <c r="G50" i="31"/>
  <c r="H50" i="31" s="1"/>
  <c r="I50" i="31" s="1"/>
  <c r="F50" i="31"/>
  <c r="AT49" i="31"/>
  <c r="AU49" i="31" s="1"/>
  <c r="AV49" i="31" s="1"/>
  <c r="AW49" i="31" s="1"/>
  <c r="AX49" i="31" s="1"/>
  <c r="AY49" i="31" s="1"/>
  <c r="AZ49" i="31" s="1"/>
  <c r="AR49" i="31"/>
  <c r="AM49" i="31"/>
  <c r="AN49" i="31" s="1"/>
  <c r="AO49" i="31" s="1"/>
  <c r="AP49" i="31" s="1"/>
  <c r="AQ49" i="31" s="1"/>
  <c r="AL49" i="31"/>
  <c r="AD49" i="31"/>
  <c r="AE49" i="31" s="1"/>
  <c r="AF49" i="31" s="1"/>
  <c r="AG49" i="31" s="1"/>
  <c r="AH49" i="31" s="1"/>
  <c r="AI49" i="31" s="1"/>
  <c r="AJ49" i="31" s="1"/>
  <c r="V49" i="31"/>
  <c r="W49" i="31" s="1"/>
  <c r="X49" i="31" s="1"/>
  <c r="Y49" i="31" s="1"/>
  <c r="Z49" i="31" s="1"/>
  <c r="AA49" i="31" s="1"/>
  <c r="AB49" i="31" s="1"/>
  <c r="N49" i="31"/>
  <c r="O49" i="31" s="1"/>
  <c r="P49" i="31" s="1"/>
  <c r="Q49" i="31" s="1"/>
  <c r="R49" i="31" s="1"/>
  <c r="S49" i="31" s="1"/>
  <c r="T49" i="31" s="1"/>
  <c r="G49" i="31"/>
  <c r="H49" i="31" s="1"/>
  <c r="I49" i="31" s="1"/>
  <c r="J49" i="31" s="1"/>
  <c r="K49" i="31" s="1"/>
  <c r="L49" i="31" s="1"/>
  <c r="F49" i="31"/>
  <c r="AW48" i="31"/>
  <c r="AX48" i="31" s="1"/>
  <c r="AY48" i="31" s="1"/>
  <c r="AZ48" i="31" s="1"/>
  <c r="AT48" i="31"/>
  <c r="AU48" i="31" s="1"/>
  <c r="AV48" i="31" s="1"/>
  <c r="AN48" i="31"/>
  <c r="AO48" i="31" s="1"/>
  <c r="AP48" i="31" s="1"/>
  <c r="AQ48" i="31" s="1"/>
  <c r="AR48" i="31" s="1"/>
  <c r="AL48" i="31"/>
  <c r="AM48" i="31" s="1"/>
  <c r="AF48" i="31"/>
  <c r="AG48" i="31" s="1"/>
  <c r="AH48" i="31" s="1"/>
  <c r="AI48" i="31" s="1"/>
  <c r="AJ48" i="31" s="1"/>
  <c r="AE48" i="31"/>
  <c r="AD48" i="31"/>
  <c r="V48" i="31"/>
  <c r="W48" i="31" s="1"/>
  <c r="X48" i="31" s="1"/>
  <c r="Y48" i="31" s="1"/>
  <c r="Z48" i="31" s="1"/>
  <c r="AA48" i="31" s="1"/>
  <c r="AB48" i="31" s="1"/>
  <c r="Q48" i="31"/>
  <c r="R48" i="31" s="1"/>
  <c r="S48" i="31" s="1"/>
  <c r="T48" i="31" s="1"/>
  <c r="N48" i="31"/>
  <c r="O48" i="31" s="1"/>
  <c r="P48" i="31" s="1"/>
  <c r="H48" i="31"/>
  <c r="I48" i="31" s="1"/>
  <c r="J48" i="31" s="1"/>
  <c r="K48" i="31" s="1"/>
  <c r="L48" i="31" s="1"/>
  <c r="F48" i="31"/>
  <c r="G48" i="31" s="1"/>
  <c r="AT47" i="31"/>
  <c r="AU47" i="31" s="1"/>
  <c r="AV47" i="31" s="1"/>
  <c r="AW47" i="31" s="1"/>
  <c r="AX47" i="31" s="1"/>
  <c r="AY47" i="31" s="1"/>
  <c r="AZ47" i="31" s="1"/>
  <c r="AL47" i="31"/>
  <c r="AM47" i="31" s="1"/>
  <c r="AN47" i="31" s="1"/>
  <c r="AO47" i="31" s="1"/>
  <c r="AP47" i="31" s="1"/>
  <c r="AQ47" i="31" s="1"/>
  <c r="AR47" i="31" s="1"/>
  <c r="AD47" i="31"/>
  <c r="AE47" i="31" s="1"/>
  <c r="AF47" i="31" s="1"/>
  <c r="AG47" i="31" s="1"/>
  <c r="AH47" i="31" s="1"/>
  <c r="AI47" i="31" s="1"/>
  <c r="AJ47" i="31" s="1"/>
  <c r="W47" i="31"/>
  <c r="X47" i="31" s="1"/>
  <c r="Y47" i="31" s="1"/>
  <c r="Z47" i="31" s="1"/>
  <c r="AA47" i="31" s="1"/>
  <c r="AB47" i="31" s="1"/>
  <c r="V47" i="31"/>
  <c r="S47" i="31"/>
  <c r="T47" i="31" s="1"/>
  <c r="N47" i="31"/>
  <c r="O47" i="31" s="1"/>
  <c r="P47" i="31" s="1"/>
  <c r="Q47" i="31" s="1"/>
  <c r="R47" i="31" s="1"/>
  <c r="F47" i="31"/>
  <c r="AZ46" i="31"/>
  <c r="AU46" i="31"/>
  <c r="AV46" i="31" s="1"/>
  <c r="AW46" i="31" s="1"/>
  <c r="AX46" i="31" s="1"/>
  <c r="AY46" i="31" s="1"/>
  <c r="AT46" i="31"/>
  <c r="AL46" i="31"/>
  <c r="AM46" i="31" s="1"/>
  <c r="AN46" i="31" s="1"/>
  <c r="AO46" i="31" s="1"/>
  <c r="AP46" i="31" s="1"/>
  <c r="AQ46" i="31" s="1"/>
  <c r="AR46" i="31" s="1"/>
  <c r="AD46" i="31"/>
  <c r="AE46" i="31" s="1"/>
  <c r="AF46" i="31" s="1"/>
  <c r="AG46" i="31" s="1"/>
  <c r="AH46" i="31" s="1"/>
  <c r="AI46" i="31" s="1"/>
  <c r="AJ46" i="31" s="1"/>
  <c r="X46" i="31"/>
  <c r="Y46" i="31" s="1"/>
  <c r="Z46" i="31" s="1"/>
  <c r="AA46" i="31" s="1"/>
  <c r="AB46" i="31" s="1"/>
  <c r="V46" i="31"/>
  <c r="W46" i="31" s="1"/>
  <c r="O46" i="31"/>
  <c r="P46" i="31" s="1"/>
  <c r="Q46" i="31" s="1"/>
  <c r="R46" i="31" s="1"/>
  <c r="S46" i="31" s="1"/>
  <c r="T46" i="31" s="1"/>
  <c r="N46" i="31"/>
  <c r="L46" i="31"/>
  <c r="G46" i="31"/>
  <c r="H46" i="31" s="1"/>
  <c r="I46" i="31" s="1"/>
  <c r="J46" i="31" s="1"/>
  <c r="K46" i="31" s="1"/>
  <c r="F46" i="31"/>
  <c r="AT45" i="31"/>
  <c r="AU45" i="31" s="1"/>
  <c r="AV45" i="31" s="1"/>
  <c r="AW45" i="31" s="1"/>
  <c r="AX45" i="31" s="1"/>
  <c r="AY45" i="31" s="1"/>
  <c r="AZ45" i="31" s="1"/>
  <c r="AL45" i="31"/>
  <c r="AM45" i="31" s="1"/>
  <c r="AN45" i="31" s="1"/>
  <c r="AO45" i="31" s="1"/>
  <c r="AP45" i="31" s="1"/>
  <c r="AQ45" i="31" s="1"/>
  <c r="AR45" i="31" s="1"/>
  <c r="AF45" i="31"/>
  <c r="AG45" i="31" s="1"/>
  <c r="AH45" i="31" s="1"/>
  <c r="AI45" i="31" s="1"/>
  <c r="AJ45" i="31" s="1"/>
  <c r="AD45" i="31"/>
  <c r="AE45" i="31" s="1"/>
  <c r="W45" i="31"/>
  <c r="X45" i="31" s="1"/>
  <c r="Y45" i="31" s="1"/>
  <c r="Z45" i="31" s="1"/>
  <c r="AA45" i="31" s="1"/>
  <c r="AB45" i="31" s="1"/>
  <c r="V45" i="31"/>
  <c r="N45" i="31"/>
  <c r="O45" i="31" s="1"/>
  <c r="P45" i="31" s="1"/>
  <c r="Q45" i="31" s="1"/>
  <c r="R45" i="31" s="1"/>
  <c r="S45" i="31" s="1"/>
  <c r="T45" i="31" s="1"/>
  <c r="F45" i="31"/>
  <c r="AU44" i="31"/>
  <c r="AV44" i="31" s="1"/>
  <c r="AW44" i="31" s="1"/>
  <c r="AX44" i="31" s="1"/>
  <c r="AY44" i="31" s="1"/>
  <c r="AZ44" i="31" s="1"/>
  <c r="AT44" i="31"/>
  <c r="AM44" i="31"/>
  <c r="AN44" i="31" s="1"/>
  <c r="AO44" i="31" s="1"/>
  <c r="AP44" i="31" s="1"/>
  <c r="AQ44" i="31" s="1"/>
  <c r="AR44" i="31" s="1"/>
  <c r="AL44" i="31"/>
  <c r="AD44" i="31"/>
  <c r="AE44" i="31" s="1"/>
  <c r="AF44" i="31" s="1"/>
  <c r="AG44" i="31" s="1"/>
  <c r="AH44" i="31" s="1"/>
  <c r="AI44" i="31" s="1"/>
  <c r="AJ44" i="31" s="1"/>
  <c r="V44" i="31"/>
  <c r="W44" i="31" s="1"/>
  <c r="X44" i="31" s="1"/>
  <c r="Y44" i="31" s="1"/>
  <c r="Z44" i="31" s="1"/>
  <c r="AA44" i="31" s="1"/>
  <c r="AB44" i="31" s="1"/>
  <c r="O44" i="31"/>
  <c r="P44" i="31" s="1"/>
  <c r="Q44" i="31" s="1"/>
  <c r="R44" i="31" s="1"/>
  <c r="S44" i="31" s="1"/>
  <c r="T44" i="31" s="1"/>
  <c r="N44" i="31"/>
  <c r="G44" i="31"/>
  <c r="H44" i="31" s="1"/>
  <c r="I44" i="31" s="1"/>
  <c r="J44" i="31" s="1"/>
  <c r="K44" i="31" s="1"/>
  <c r="L44" i="31" s="1"/>
  <c r="F44" i="31"/>
  <c r="AT43" i="31"/>
  <c r="AU43" i="31" s="1"/>
  <c r="AV43" i="31" s="1"/>
  <c r="AW43" i="31" s="1"/>
  <c r="AX43" i="31" s="1"/>
  <c r="AY43" i="31" s="1"/>
  <c r="AZ43" i="31" s="1"/>
  <c r="AQ43" i="31"/>
  <c r="AR43" i="31" s="1"/>
  <c r="AM43" i="31"/>
  <c r="AN43" i="31" s="1"/>
  <c r="AO43" i="31" s="1"/>
  <c r="AP43" i="31" s="1"/>
  <c r="AL43" i="31"/>
  <c r="AD43" i="31"/>
  <c r="AE43" i="31" s="1"/>
  <c r="AF43" i="31" s="1"/>
  <c r="AG43" i="31" s="1"/>
  <c r="AH43" i="31" s="1"/>
  <c r="AI43" i="31" s="1"/>
  <c r="AJ43" i="31" s="1"/>
  <c r="Z43" i="31"/>
  <c r="AA43" i="31" s="1"/>
  <c r="AB43" i="31" s="1"/>
  <c r="V43" i="31"/>
  <c r="W43" i="31" s="1"/>
  <c r="X43" i="31" s="1"/>
  <c r="Y43" i="31" s="1"/>
  <c r="N43" i="31"/>
  <c r="O43" i="31" s="1"/>
  <c r="P43" i="31" s="1"/>
  <c r="Q43" i="31" s="1"/>
  <c r="R43" i="31" s="1"/>
  <c r="S43" i="31" s="1"/>
  <c r="T43" i="31" s="1"/>
  <c r="G43" i="31"/>
  <c r="H43" i="31" s="1"/>
  <c r="I43" i="31" s="1"/>
  <c r="J43" i="31" s="1"/>
  <c r="K43" i="31" s="1"/>
  <c r="L43" i="31" s="1"/>
  <c r="F43" i="31"/>
  <c r="AT42" i="31"/>
  <c r="AU42" i="31" s="1"/>
  <c r="AV42" i="31" s="1"/>
  <c r="AW42" i="31" s="1"/>
  <c r="AX42" i="31" s="1"/>
  <c r="AY42" i="31" s="1"/>
  <c r="AZ42" i="31" s="1"/>
  <c r="AL42" i="31"/>
  <c r="AM42" i="31" s="1"/>
  <c r="AN42" i="31" s="1"/>
  <c r="AO42" i="31" s="1"/>
  <c r="AP42" i="31" s="1"/>
  <c r="AQ42" i="31" s="1"/>
  <c r="AR42" i="31" s="1"/>
  <c r="AE42" i="31"/>
  <c r="AF42" i="31" s="1"/>
  <c r="AG42" i="31" s="1"/>
  <c r="AH42" i="31" s="1"/>
  <c r="AI42" i="31" s="1"/>
  <c r="AJ42" i="31" s="1"/>
  <c r="AD42" i="31"/>
  <c r="W42" i="31"/>
  <c r="X42" i="31" s="1"/>
  <c r="Y42" i="31" s="1"/>
  <c r="Z42" i="31" s="1"/>
  <c r="AA42" i="31" s="1"/>
  <c r="AB42" i="31" s="1"/>
  <c r="V42" i="31"/>
  <c r="Q42" i="31"/>
  <c r="R42" i="31" s="1"/>
  <c r="S42" i="31" s="1"/>
  <c r="T42" i="31" s="1"/>
  <c r="N42" i="31"/>
  <c r="O42" i="31" s="1"/>
  <c r="P42" i="31" s="1"/>
  <c r="F42" i="31"/>
  <c r="G42" i="31" s="1"/>
  <c r="AT41" i="31"/>
  <c r="AU41" i="31" s="1"/>
  <c r="AV41" i="31" s="1"/>
  <c r="AW41" i="31" s="1"/>
  <c r="AX41" i="31" s="1"/>
  <c r="AY41" i="31" s="1"/>
  <c r="AZ41" i="31" s="1"/>
  <c r="AP41" i="31"/>
  <c r="AQ41" i="31" s="1"/>
  <c r="AR41" i="31" s="1"/>
  <c r="AO41" i="31"/>
  <c r="AL41" i="31"/>
  <c r="AM41" i="31" s="1"/>
  <c r="AN41" i="31" s="1"/>
  <c r="AF41" i="31"/>
  <c r="AG41" i="31" s="1"/>
  <c r="AH41" i="31" s="1"/>
  <c r="AI41" i="31" s="1"/>
  <c r="AJ41" i="31" s="1"/>
  <c r="AD41" i="31"/>
  <c r="AE41" i="31" s="1"/>
  <c r="X41" i="31"/>
  <c r="Y41" i="31" s="1"/>
  <c r="Z41" i="31" s="1"/>
  <c r="AA41" i="31" s="1"/>
  <c r="AB41" i="31" s="1"/>
  <c r="W41" i="31"/>
  <c r="V41" i="31"/>
  <c r="N41" i="31"/>
  <c r="O41" i="31" s="1"/>
  <c r="P41" i="31" s="1"/>
  <c r="Q41" i="31" s="1"/>
  <c r="R41" i="31" s="1"/>
  <c r="S41" i="31" s="1"/>
  <c r="T41" i="31" s="1"/>
  <c r="F41" i="31"/>
  <c r="AZ40" i="31"/>
  <c r="AY40" i="31"/>
  <c r="AU40" i="31"/>
  <c r="AV40" i="31" s="1"/>
  <c r="AW40" i="31" s="1"/>
  <c r="AX40" i="31" s="1"/>
  <c r="AT40" i="31"/>
  <c r="AQ40" i="31"/>
  <c r="AR40" i="31" s="1"/>
  <c r="AM40" i="31"/>
  <c r="AN40" i="31" s="1"/>
  <c r="AO40" i="31" s="1"/>
  <c r="AP40" i="31" s="1"/>
  <c r="AL40" i="31"/>
  <c r="AF40" i="31"/>
  <c r="AG40" i="31" s="1"/>
  <c r="AH40" i="31" s="1"/>
  <c r="AI40" i="31" s="1"/>
  <c r="AJ40" i="31" s="1"/>
  <c r="AD40" i="31"/>
  <c r="AE40" i="31" s="1"/>
  <c r="X40" i="31"/>
  <c r="Y40" i="31" s="1"/>
  <c r="Z40" i="31" s="1"/>
  <c r="AA40" i="31" s="1"/>
  <c r="AB40" i="31" s="1"/>
  <c r="W40" i="31"/>
  <c r="V40" i="31"/>
  <c r="R40" i="31"/>
  <c r="S40" i="31" s="1"/>
  <c r="T40" i="31" s="1"/>
  <c r="O40" i="31"/>
  <c r="P40" i="31" s="1"/>
  <c r="Q40" i="31" s="1"/>
  <c r="N40" i="31"/>
  <c r="F40" i="31"/>
  <c r="AY39" i="31"/>
  <c r="AZ39" i="31" s="1"/>
  <c r="AV39" i="31"/>
  <c r="AW39" i="31" s="1"/>
  <c r="AX39" i="31" s="1"/>
  <c r="AU39" i="31"/>
  <c r="AT39" i="31"/>
  <c r="AL39" i="31"/>
  <c r="AM39" i="31" s="1"/>
  <c r="AN39" i="31" s="1"/>
  <c r="AO39" i="31" s="1"/>
  <c r="AP39" i="31" s="1"/>
  <c r="AQ39" i="31" s="1"/>
  <c r="AR39" i="31" s="1"/>
  <c r="AH39" i="31"/>
  <c r="AI39" i="31" s="1"/>
  <c r="AJ39" i="31" s="1"/>
  <c r="AG39" i="31"/>
  <c r="AD39" i="31"/>
  <c r="AE39" i="31" s="1"/>
  <c r="AF39" i="31" s="1"/>
  <c r="Y39" i="31"/>
  <c r="Z39" i="31" s="1"/>
  <c r="AA39" i="31" s="1"/>
  <c r="AB39" i="31" s="1"/>
  <c r="X39" i="31"/>
  <c r="V39" i="31"/>
  <c r="W39" i="31" s="1"/>
  <c r="S39" i="31"/>
  <c r="T39" i="31" s="1"/>
  <c r="P39" i="31"/>
  <c r="Q39" i="31" s="1"/>
  <c r="R39" i="31" s="1"/>
  <c r="O39" i="31"/>
  <c r="N39" i="31"/>
  <c r="F39" i="31"/>
  <c r="G39" i="31" s="1"/>
  <c r="H39" i="31" s="1"/>
  <c r="I39" i="31" s="1"/>
  <c r="J39" i="31" s="1"/>
  <c r="K39" i="31" s="1"/>
  <c r="L39" i="31" s="1"/>
  <c r="AT38" i="31"/>
  <c r="AU38" i="31" s="1"/>
  <c r="AV38" i="31" s="1"/>
  <c r="AW38" i="31" s="1"/>
  <c r="AX38" i="31" s="1"/>
  <c r="AY38" i="31" s="1"/>
  <c r="AZ38" i="31" s="1"/>
  <c r="AM38" i="31"/>
  <c r="AN38" i="31" s="1"/>
  <c r="AO38" i="31" s="1"/>
  <c r="AP38" i="31" s="1"/>
  <c r="AQ38" i="31" s="1"/>
  <c r="AR38" i="31" s="1"/>
  <c r="AL38" i="31"/>
  <c r="AE38" i="31"/>
  <c r="AF38" i="31" s="1"/>
  <c r="AG38" i="31" s="1"/>
  <c r="AH38" i="31" s="1"/>
  <c r="AI38" i="31" s="1"/>
  <c r="AJ38" i="31" s="1"/>
  <c r="AD38" i="31"/>
  <c r="V38" i="31"/>
  <c r="W38" i="31" s="1"/>
  <c r="X38" i="31" s="1"/>
  <c r="Y38" i="31" s="1"/>
  <c r="Z38" i="31" s="1"/>
  <c r="AA38" i="31" s="1"/>
  <c r="AB38" i="31" s="1"/>
  <c r="N38" i="31"/>
  <c r="O38" i="31" s="1"/>
  <c r="P38" i="31" s="1"/>
  <c r="Q38" i="31" s="1"/>
  <c r="R38" i="31" s="1"/>
  <c r="S38" i="31" s="1"/>
  <c r="T38" i="31" s="1"/>
  <c r="G38" i="31"/>
  <c r="H38" i="31" s="1"/>
  <c r="I38" i="31" s="1"/>
  <c r="J38" i="31" s="1"/>
  <c r="K38" i="31" s="1"/>
  <c r="L38" i="31" s="1"/>
  <c r="F38" i="31"/>
  <c r="AX37" i="31"/>
  <c r="AY37" i="31" s="1"/>
  <c r="AZ37" i="31" s="1"/>
  <c r="AW37" i="31"/>
  <c r="AT37" i="31"/>
  <c r="AU37" i="31" s="1"/>
  <c r="AV37" i="31" s="1"/>
  <c r="AO37" i="31"/>
  <c r="AP37" i="31" s="1"/>
  <c r="AQ37" i="31" s="1"/>
  <c r="AR37" i="31" s="1"/>
  <c r="AN37" i="31"/>
  <c r="AL37" i="31"/>
  <c r="AM37" i="31" s="1"/>
  <c r="AI37" i="31"/>
  <c r="AJ37" i="31" s="1"/>
  <c r="AF37" i="31"/>
  <c r="AG37" i="31" s="1"/>
  <c r="AH37" i="31" s="1"/>
  <c r="AE37" i="31"/>
  <c r="AD37" i="31"/>
  <c r="V37" i="31"/>
  <c r="W37" i="31" s="1"/>
  <c r="X37" i="31" s="1"/>
  <c r="Y37" i="31" s="1"/>
  <c r="Z37" i="31" s="1"/>
  <c r="AA37" i="31" s="1"/>
  <c r="AB37" i="31" s="1"/>
  <c r="R37" i="31"/>
  <c r="S37" i="31" s="1"/>
  <c r="T37" i="31" s="1"/>
  <c r="Q37" i="31"/>
  <c r="N37" i="31"/>
  <c r="O37" i="31" s="1"/>
  <c r="P37" i="31" s="1"/>
  <c r="I37" i="31"/>
  <c r="J37" i="31" s="1"/>
  <c r="K37" i="31" s="1"/>
  <c r="L37" i="31" s="1"/>
  <c r="H37" i="31"/>
  <c r="F37" i="31"/>
  <c r="G37" i="31" s="1"/>
  <c r="AT36" i="31"/>
  <c r="AU36" i="31" s="1"/>
  <c r="AV36" i="31" s="1"/>
  <c r="AW36" i="31" s="1"/>
  <c r="AX36" i="31" s="1"/>
  <c r="AY36" i="31" s="1"/>
  <c r="AZ36" i="31" s="1"/>
  <c r="AL36" i="31"/>
  <c r="AM36" i="31" s="1"/>
  <c r="AN36" i="31" s="1"/>
  <c r="AO36" i="31" s="1"/>
  <c r="AP36" i="31" s="1"/>
  <c r="AQ36" i="31" s="1"/>
  <c r="AR36" i="31" s="1"/>
  <c r="AD36" i="31"/>
  <c r="AE36" i="31" s="1"/>
  <c r="AF36" i="31" s="1"/>
  <c r="AG36" i="31" s="1"/>
  <c r="AH36" i="31" s="1"/>
  <c r="AI36" i="31" s="1"/>
  <c r="AJ36" i="31" s="1"/>
  <c r="W36" i="31"/>
  <c r="X36" i="31" s="1"/>
  <c r="Y36" i="31" s="1"/>
  <c r="Z36" i="31" s="1"/>
  <c r="AA36" i="31" s="1"/>
  <c r="AB36" i="31" s="1"/>
  <c r="V36" i="31"/>
  <c r="N36" i="31"/>
  <c r="O36" i="31" s="1"/>
  <c r="P36" i="31" s="1"/>
  <c r="Q36" i="31" s="1"/>
  <c r="R36" i="31" s="1"/>
  <c r="S36" i="31" s="1"/>
  <c r="T36" i="31" s="1"/>
  <c r="F36" i="31"/>
  <c r="AU35" i="31"/>
  <c r="AV35" i="31" s="1"/>
  <c r="AW35" i="31" s="1"/>
  <c r="AX35" i="31" s="1"/>
  <c r="AY35" i="31" s="1"/>
  <c r="AZ35" i="31" s="1"/>
  <c r="AT35" i="31"/>
  <c r="AM35" i="31"/>
  <c r="AN35" i="31" s="1"/>
  <c r="AO35" i="31" s="1"/>
  <c r="AP35" i="31" s="1"/>
  <c r="AQ35" i="31" s="1"/>
  <c r="AR35" i="31" s="1"/>
  <c r="AL35" i="31"/>
  <c r="AD35" i="31"/>
  <c r="AE35" i="31" s="1"/>
  <c r="AF35" i="31" s="1"/>
  <c r="AG35" i="31" s="1"/>
  <c r="AH35" i="31" s="1"/>
  <c r="AI35" i="31" s="1"/>
  <c r="AJ35" i="31" s="1"/>
  <c r="V35" i="31"/>
  <c r="W35" i="31" s="1"/>
  <c r="X35" i="31" s="1"/>
  <c r="Y35" i="31" s="1"/>
  <c r="Z35" i="31" s="1"/>
  <c r="AA35" i="31" s="1"/>
  <c r="AB35" i="31" s="1"/>
  <c r="N35" i="31"/>
  <c r="O35" i="31" s="1"/>
  <c r="P35" i="31" s="1"/>
  <c r="Q35" i="31" s="1"/>
  <c r="R35" i="31" s="1"/>
  <c r="S35" i="31" s="1"/>
  <c r="T35" i="31" s="1"/>
  <c r="G35" i="31"/>
  <c r="H35" i="31" s="1"/>
  <c r="I35" i="31" s="1"/>
  <c r="J35" i="31" s="1"/>
  <c r="K35" i="31" s="1"/>
  <c r="L35" i="31" s="1"/>
  <c r="F35" i="31"/>
  <c r="AW34" i="31"/>
  <c r="AX34" i="31" s="1"/>
  <c r="AY34" i="31" s="1"/>
  <c r="AZ34" i="31" s="1"/>
  <c r="AV34" i="31"/>
  <c r="AT34" i="31"/>
  <c r="AU34" i="31" s="1"/>
  <c r="AQ34" i="31"/>
  <c r="AR34" i="31" s="1"/>
  <c r="AN34" i="31"/>
  <c r="AO34" i="31" s="1"/>
  <c r="AP34" i="31" s="1"/>
  <c r="AM34" i="31"/>
  <c r="AL34" i="31"/>
  <c r="AD34" i="31"/>
  <c r="AE34" i="31" s="1"/>
  <c r="AF34" i="31" s="1"/>
  <c r="AG34" i="31" s="1"/>
  <c r="AH34" i="31" s="1"/>
  <c r="AI34" i="31" s="1"/>
  <c r="AJ34" i="31" s="1"/>
  <c r="V34" i="31"/>
  <c r="W34" i="31" s="1"/>
  <c r="X34" i="31" s="1"/>
  <c r="Y34" i="31" s="1"/>
  <c r="Z34" i="31" s="1"/>
  <c r="AA34" i="31" s="1"/>
  <c r="AB34" i="31" s="1"/>
  <c r="Q34" i="31"/>
  <c r="R34" i="31" s="1"/>
  <c r="S34" i="31" s="1"/>
  <c r="T34" i="31" s="1"/>
  <c r="P34" i="31"/>
  <c r="N34" i="31"/>
  <c r="O34" i="31" s="1"/>
  <c r="F34" i="31"/>
  <c r="G34" i="31" s="1"/>
  <c r="H34" i="31" s="1"/>
  <c r="I34" i="31" s="1"/>
  <c r="J34" i="31" s="1"/>
  <c r="K34" i="31" s="1"/>
  <c r="L34" i="31" s="1"/>
  <c r="AT33" i="31"/>
  <c r="AU33" i="31" s="1"/>
  <c r="AV33" i="31" s="1"/>
  <c r="AW33" i="31" s="1"/>
  <c r="AX33" i="31" s="1"/>
  <c r="AY33" i="31" s="1"/>
  <c r="AZ33" i="31" s="1"/>
  <c r="AL33" i="31"/>
  <c r="AM33" i="31" s="1"/>
  <c r="AN33" i="31" s="1"/>
  <c r="AO33" i="31" s="1"/>
  <c r="AP33" i="31" s="1"/>
  <c r="AQ33" i="31" s="1"/>
  <c r="AR33" i="31" s="1"/>
  <c r="AE33" i="31"/>
  <c r="AF33" i="31" s="1"/>
  <c r="AG33" i="31" s="1"/>
  <c r="AH33" i="31" s="1"/>
  <c r="AI33" i="31" s="1"/>
  <c r="AJ33" i="31" s="1"/>
  <c r="AD33" i="31"/>
  <c r="W33" i="31"/>
  <c r="X33" i="31" s="1"/>
  <c r="Y33" i="31" s="1"/>
  <c r="Z33" i="31" s="1"/>
  <c r="AA33" i="31" s="1"/>
  <c r="AB33" i="31" s="1"/>
  <c r="V33" i="31"/>
  <c r="N33" i="31"/>
  <c r="O33" i="31" s="1"/>
  <c r="P33" i="31" s="1"/>
  <c r="Q33" i="31" s="1"/>
  <c r="R33" i="31" s="1"/>
  <c r="S33" i="31" s="1"/>
  <c r="T33" i="31" s="1"/>
  <c r="F33" i="31"/>
  <c r="G33" i="31" s="1"/>
  <c r="AX32" i="31"/>
  <c r="AY32" i="31" s="1"/>
  <c r="AZ32" i="31" s="1"/>
  <c r="AU32" i="31"/>
  <c r="AV32" i="31" s="1"/>
  <c r="AW32" i="31" s="1"/>
  <c r="AT32" i="31"/>
  <c r="AO32" i="31"/>
  <c r="AP32" i="31" s="1"/>
  <c r="AQ32" i="31" s="1"/>
  <c r="AR32" i="31" s="1"/>
  <c r="AL32" i="31"/>
  <c r="AM32" i="31" s="1"/>
  <c r="AN32" i="31" s="1"/>
  <c r="AF32" i="31"/>
  <c r="AG32" i="31" s="1"/>
  <c r="AH32" i="31" s="1"/>
  <c r="AI32" i="31" s="1"/>
  <c r="AJ32" i="31" s="1"/>
  <c r="AD32" i="31"/>
  <c r="AE32" i="31" s="1"/>
  <c r="W32" i="31"/>
  <c r="X32" i="31" s="1"/>
  <c r="Y32" i="31" s="1"/>
  <c r="Z32" i="31" s="1"/>
  <c r="AA32" i="31" s="1"/>
  <c r="AB32" i="31" s="1"/>
  <c r="V32" i="31"/>
  <c r="R32" i="31"/>
  <c r="S32" i="31" s="1"/>
  <c r="T32" i="31" s="1"/>
  <c r="O32" i="31"/>
  <c r="P32" i="31" s="1"/>
  <c r="Q32" i="31" s="1"/>
  <c r="N32" i="31"/>
  <c r="F32" i="31"/>
  <c r="AY31" i="31"/>
  <c r="AZ31" i="31" s="1"/>
  <c r="AV31" i="31"/>
  <c r="AW31" i="31" s="1"/>
  <c r="AX31" i="31" s="1"/>
  <c r="AU31" i="31"/>
  <c r="AT31" i="31"/>
  <c r="AL31" i="31"/>
  <c r="AM31" i="31" s="1"/>
  <c r="AN31" i="31" s="1"/>
  <c r="AO31" i="31" s="1"/>
  <c r="AP31" i="31" s="1"/>
  <c r="AQ31" i="31" s="1"/>
  <c r="AR31" i="31" s="1"/>
  <c r="AH31" i="31"/>
  <c r="AI31" i="31" s="1"/>
  <c r="AJ31" i="31" s="1"/>
  <c r="AG31" i="31"/>
  <c r="AD31" i="31"/>
  <c r="AE31" i="31" s="1"/>
  <c r="AF31" i="31" s="1"/>
  <c r="V31" i="31"/>
  <c r="W31" i="31" s="1"/>
  <c r="X31" i="31" s="1"/>
  <c r="Y31" i="31" s="1"/>
  <c r="Z31" i="31" s="1"/>
  <c r="AA31" i="31" s="1"/>
  <c r="AB31" i="31" s="1"/>
  <c r="S31" i="31"/>
  <c r="T31" i="31" s="1"/>
  <c r="P31" i="31"/>
  <c r="Q31" i="31" s="1"/>
  <c r="R31" i="31" s="1"/>
  <c r="O31" i="31"/>
  <c r="N31" i="31"/>
  <c r="F31" i="31"/>
  <c r="AT30" i="31"/>
  <c r="AU30" i="31" s="1"/>
  <c r="AV30" i="31" s="1"/>
  <c r="AW30" i="31" s="1"/>
  <c r="AX30" i="31" s="1"/>
  <c r="AY30" i="31" s="1"/>
  <c r="AZ30" i="31" s="1"/>
  <c r="AM30" i="31"/>
  <c r="AN30" i="31" s="1"/>
  <c r="AO30" i="31" s="1"/>
  <c r="AP30" i="31" s="1"/>
  <c r="AQ30" i="31" s="1"/>
  <c r="AR30" i="31" s="1"/>
  <c r="AL30" i="31"/>
  <c r="AE30" i="31"/>
  <c r="AF30" i="31" s="1"/>
  <c r="AG30" i="31" s="1"/>
  <c r="AH30" i="31" s="1"/>
  <c r="AI30" i="31" s="1"/>
  <c r="AJ30" i="31" s="1"/>
  <c r="AD30" i="31"/>
  <c r="V30" i="31"/>
  <c r="W30" i="31" s="1"/>
  <c r="X30" i="31" s="1"/>
  <c r="Y30" i="31" s="1"/>
  <c r="Z30" i="31" s="1"/>
  <c r="AA30" i="31" s="1"/>
  <c r="AB30" i="31" s="1"/>
  <c r="N30" i="31"/>
  <c r="O30" i="31" s="1"/>
  <c r="P30" i="31" s="1"/>
  <c r="Q30" i="31" s="1"/>
  <c r="R30" i="31" s="1"/>
  <c r="S30" i="31" s="1"/>
  <c r="T30" i="31" s="1"/>
  <c r="G30" i="31"/>
  <c r="H30" i="31" s="1"/>
  <c r="I30" i="31" s="1"/>
  <c r="J30" i="31" s="1"/>
  <c r="K30" i="31" s="1"/>
  <c r="L30" i="31" s="1"/>
  <c r="F30" i="31"/>
  <c r="AX29" i="31"/>
  <c r="AY29" i="31" s="1"/>
  <c r="AZ29" i="31" s="1"/>
  <c r="AW29" i="31"/>
  <c r="AT29" i="31"/>
  <c r="AU29" i="31" s="1"/>
  <c r="AV29" i="31" s="1"/>
  <c r="AO29" i="31"/>
  <c r="AP29" i="31" s="1"/>
  <c r="AQ29" i="31" s="1"/>
  <c r="AR29" i="31" s="1"/>
  <c r="AN29" i="31"/>
  <c r="AL29" i="31"/>
  <c r="AM29" i="31" s="1"/>
  <c r="AI29" i="31"/>
  <c r="AJ29" i="31" s="1"/>
  <c r="AF29" i="31"/>
  <c r="AG29" i="31" s="1"/>
  <c r="AH29" i="31" s="1"/>
  <c r="AE29" i="31"/>
  <c r="AD29" i="31"/>
  <c r="V29" i="31"/>
  <c r="W29" i="31" s="1"/>
  <c r="X29" i="31" s="1"/>
  <c r="Y29" i="31" s="1"/>
  <c r="Z29" i="31" s="1"/>
  <c r="AA29" i="31" s="1"/>
  <c r="AB29" i="31" s="1"/>
  <c r="R29" i="31"/>
  <c r="S29" i="31" s="1"/>
  <c r="T29" i="31" s="1"/>
  <c r="Q29" i="31"/>
  <c r="N29" i="31"/>
  <c r="O29" i="31" s="1"/>
  <c r="P29" i="31" s="1"/>
  <c r="F29" i="31"/>
  <c r="G29" i="31" s="1"/>
  <c r="H29" i="31" s="1"/>
  <c r="I29" i="31" s="1"/>
  <c r="J29" i="31" s="1"/>
  <c r="K29" i="31" s="1"/>
  <c r="L29" i="31" s="1"/>
  <c r="AT28" i="31"/>
  <c r="AU28" i="31" s="1"/>
  <c r="AV28" i="31" s="1"/>
  <c r="AW28" i="31" s="1"/>
  <c r="AX28" i="31" s="1"/>
  <c r="AY28" i="31" s="1"/>
  <c r="AZ28" i="31" s="1"/>
  <c r="AL28" i="31"/>
  <c r="AM28" i="31" s="1"/>
  <c r="AN28" i="31" s="1"/>
  <c r="AO28" i="31" s="1"/>
  <c r="AP28" i="31" s="1"/>
  <c r="AQ28" i="31" s="1"/>
  <c r="AR28" i="31" s="1"/>
  <c r="AD28" i="31"/>
  <c r="AE28" i="31" s="1"/>
  <c r="AF28" i="31" s="1"/>
  <c r="AG28" i="31" s="1"/>
  <c r="AH28" i="31" s="1"/>
  <c r="AI28" i="31" s="1"/>
  <c r="AJ28" i="31" s="1"/>
  <c r="W28" i="31"/>
  <c r="X28" i="31" s="1"/>
  <c r="Y28" i="31" s="1"/>
  <c r="Z28" i="31" s="1"/>
  <c r="AA28" i="31" s="1"/>
  <c r="AB28" i="31" s="1"/>
  <c r="V28" i="31"/>
  <c r="N28" i="31"/>
  <c r="O28" i="31" s="1"/>
  <c r="P28" i="31" s="1"/>
  <c r="Q28" i="31" s="1"/>
  <c r="R28" i="31" s="1"/>
  <c r="S28" i="31" s="1"/>
  <c r="T28" i="31" s="1"/>
  <c r="F28" i="31"/>
  <c r="AU27" i="31"/>
  <c r="AV27" i="31" s="1"/>
  <c r="AW27" i="31" s="1"/>
  <c r="AX27" i="31" s="1"/>
  <c r="AY27" i="31" s="1"/>
  <c r="AZ27" i="31" s="1"/>
  <c r="AT27" i="31"/>
  <c r="AM27" i="31"/>
  <c r="AN27" i="31" s="1"/>
  <c r="AO27" i="31" s="1"/>
  <c r="AP27" i="31" s="1"/>
  <c r="AQ27" i="31" s="1"/>
  <c r="AR27" i="31" s="1"/>
  <c r="AL27" i="31"/>
  <c r="AD27" i="31"/>
  <c r="AE27" i="31" s="1"/>
  <c r="AF27" i="31" s="1"/>
  <c r="AG27" i="31" s="1"/>
  <c r="AH27" i="31" s="1"/>
  <c r="AI27" i="31" s="1"/>
  <c r="AJ27" i="31" s="1"/>
  <c r="V27" i="31"/>
  <c r="W27" i="31" s="1"/>
  <c r="X27" i="31" s="1"/>
  <c r="Y27" i="31" s="1"/>
  <c r="Z27" i="31" s="1"/>
  <c r="AA27" i="31" s="1"/>
  <c r="AB27" i="31" s="1"/>
  <c r="O27" i="31"/>
  <c r="P27" i="31" s="1"/>
  <c r="Q27" i="31" s="1"/>
  <c r="R27" i="31" s="1"/>
  <c r="S27" i="31" s="1"/>
  <c r="T27" i="31" s="1"/>
  <c r="N27" i="31"/>
  <c r="G27" i="31"/>
  <c r="H27" i="31" s="1"/>
  <c r="I27" i="31" s="1"/>
  <c r="J27" i="31" s="1"/>
  <c r="K27" i="31" s="1"/>
  <c r="L27" i="31" s="1"/>
  <c r="F27" i="31"/>
  <c r="AW26" i="31"/>
  <c r="AX26" i="31" s="1"/>
  <c r="AY26" i="31" s="1"/>
  <c r="AZ26" i="31" s="1"/>
  <c r="AV26" i="31"/>
  <c r="AT26" i="31"/>
  <c r="AU26" i="31" s="1"/>
  <c r="AQ26" i="31"/>
  <c r="AR26" i="31" s="1"/>
  <c r="AN26" i="31"/>
  <c r="AO26" i="31" s="1"/>
  <c r="AP26" i="31" s="1"/>
  <c r="AM26" i="31"/>
  <c r="AL26" i="31"/>
  <c r="AD26" i="31"/>
  <c r="AE26" i="31" s="1"/>
  <c r="AF26" i="31" s="1"/>
  <c r="AG26" i="31" s="1"/>
  <c r="AH26" i="31" s="1"/>
  <c r="AI26" i="31" s="1"/>
  <c r="AJ26" i="31" s="1"/>
  <c r="Y26" i="31"/>
  <c r="Z26" i="31" s="1"/>
  <c r="AA26" i="31" s="1"/>
  <c r="AB26" i="31" s="1"/>
  <c r="V26" i="31"/>
  <c r="W26" i="31" s="1"/>
  <c r="X26" i="31" s="1"/>
  <c r="Q26" i="31"/>
  <c r="R26" i="31" s="1"/>
  <c r="S26" i="31" s="1"/>
  <c r="T26" i="31" s="1"/>
  <c r="P26" i="31"/>
  <c r="N26" i="31"/>
  <c r="O26" i="31" s="1"/>
  <c r="K26" i="31"/>
  <c r="L26" i="31" s="1"/>
  <c r="H26" i="31"/>
  <c r="I26" i="31" s="1"/>
  <c r="J26" i="31" s="1"/>
  <c r="G26" i="31"/>
  <c r="F26" i="31"/>
  <c r="AT25" i="31"/>
  <c r="AU25" i="31" s="1"/>
  <c r="AV25" i="31" s="1"/>
  <c r="AW25" i="31" s="1"/>
  <c r="AX25" i="31" s="1"/>
  <c r="AY25" i="31" s="1"/>
  <c r="AZ25" i="31" s="1"/>
  <c r="AL25" i="31"/>
  <c r="AM25" i="31" s="1"/>
  <c r="AN25" i="31" s="1"/>
  <c r="AO25" i="31" s="1"/>
  <c r="AP25" i="31" s="1"/>
  <c r="AQ25" i="31" s="1"/>
  <c r="AR25" i="31" s="1"/>
  <c r="AE25" i="31"/>
  <c r="AF25" i="31" s="1"/>
  <c r="AG25" i="31" s="1"/>
  <c r="AH25" i="31" s="1"/>
  <c r="AI25" i="31" s="1"/>
  <c r="AJ25" i="31" s="1"/>
  <c r="AD25" i="31"/>
  <c r="W25" i="31"/>
  <c r="X25" i="31" s="1"/>
  <c r="Y25" i="31" s="1"/>
  <c r="Z25" i="31" s="1"/>
  <c r="AA25" i="31" s="1"/>
  <c r="AB25" i="31" s="1"/>
  <c r="V25" i="31"/>
  <c r="N25" i="31"/>
  <c r="O25" i="31" s="1"/>
  <c r="P25" i="31" s="1"/>
  <c r="Q25" i="31" s="1"/>
  <c r="R25" i="31" s="1"/>
  <c r="S25" i="31" s="1"/>
  <c r="T25" i="31" s="1"/>
  <c r="F25" i="31"/>
  <c r="G25" i="31" s="1"/>
  <c r="AX24" i="31"/>
  <c r="AY24" i="31" s="1"/>
  <c r="AZ24" i="31" s="1"/>
  <c r="AU24" i="31"/>
  <c r="AV24" i="31" s="1"/>
  <c r="AW24" i="31" s="1"/>
  <c r="AT24" i="31"/>
  <c r="AO24" i="31"/>
  <c r="AP24" i="31" s="1"/>
  <c r="AQ24" i="31" s="1"/>
  <c r="AR24" i="31" s="1"/>
  <c r="AL24" i="31"/>
  <c r="AM24" i="31" s="1"/>
  <c r="AN24" i="31" s="1"/>
  <c r="AF24" i="31"/>
  <c r="AG24" i="31" s="1"/>
  <c r="AH24" i="31" s="1"/>
  <c r="AI24" i="31" s="1"/>
  <c r="AJ24" i="31" s="1"/>
  <c r="AE24" i="31"/>
  <c r="AD24" i="31"/>
  <c r="AA24" i="31"/>
  <c r="AB24" i="31" s="1"/>
  <c r="X24" i="31"/>
  <c r="Y24" i="31" s="1"/>
  <c r="Z24" i="31" s="1"/>
  <c r="W24" i="31"/>
  <c r="V24" i="31"/>
  <c r="N24" i="31"/>
  <c r="O24" i="31" s="1"/>
  <c r="P24" i="31" s="1"/>
  <c r="Q24" i="31" s="1"/>
  <c r="R24" i="31" s="1"/>
  <c r="S24" i="31" s="1"/>
  <c r="T24" i="31" s="1"/>
  <c r="F24" i="31"/>
  <c r="AU23" i="31"/>
  <c r="AV23" i="31" s="1"/>
  <c r="AW23" i="31" s="1"/>
  <c r="AX23" i="31" s="1"/>
  <c r="AY23" i="31" s="1"/>
  <c r="AZ23" i="31" s="1"/>
  <c r="AT23" i="31"/>
  <c r="AL23" i="31"/>
  <c r="AM23" i="31" s="1"/>
  <c r="AN23" i="31" s="1"/>
  <c r="AO23" i="31" s="1"/>
  <c r="AP23" i="31" s="1"/>
  <c r="AQ23" i="31" s="1"/>
  <c r="AR23" i="31" s="1"/>
  <c r="AD23" i="31"/>
  <c r="AE23" i="31" s="1"/>
  <c r="AF23" i="31" s="1"/>
  <c r="AG23" i="31" s="1"/>
  <c r="AH23" i="31" s="1"/>
  <c r="AI23" i="31" s="1"/>
  <c r="AJ23" i="31" s="1"/>
  <c r="AB23" i="31"/>
  <c r="Y23" i="31"/>
  <c r="Z23" i="31" s="1"/>
  <c r="AA23" i="31" s="1"/>
  <c r="X23" i="31"/>
  <c r="W23" i="31"/>
  <c r="V23" i="31"/>
  <c r="O23" i="31"/>
  <c r="P23" i="31" s="1"/>
  <c r="Q23" i="31" s="1"/>
  <c r="R23" i="31" s="1"/>
  <c r="S23" i="31" s="1"/>
  <c r="T23" i="31" s="1"/>
  <c r="N23" i="31"/>
  <c r="G23" i="31"/>
  <c r="H23" i="31" s="1"/>
  <c r="I23" i="31" s="1"/>
  <c r="J23" i="31" s="1"/>
  <c r="K23" i="31" s="1"/>
  <c r="L23" i="31" s="1"/>
  <c r="F23" i="31"/>
  <c r="AW22" i="31"/>
  <c r="AX22" i="31" s="1"/>
  <c r="AY22" i="31" s="1"/>
  <c r="AZ22" i="31" s="1"/>
  <c r="AV22" i="31"/>
  <c r="AU22" i="31"/>
  <c r="AT22" i="31"/>
  <c r="AM22" i="31"/>
  <c r="AN22" i="31" s="1"/>
  <c r="AO22" i="31" s="1"/>
  <c r="AP22" i="31" s="1"/>
  <c r="AQ22" i="31" s="1"/>
  <c r="AR22" i="31" s="1"/>
  <c r="AL22" i="31"/>
  <c r="AD22" i="31"/>
  <c r="AE22" i="31" s="1"/>
  <c r="AF22" i="31" s="1"/>
  <c r="AG22" i="31" s="1"/>
  <c r="AH22" i="31" s="1"/>
  <c r="AI22" i="31" s="1"/>
  <c r="AJ22" i="31" s="1"/>
  <c r="V22" i="31"/>
  <c r="W22" i="31" s="1"/>
  <c r="X22" i="31" s="1"/>
  <c r="Y22" i="31" s="1"/>
  <c r="Z22" i="31" s="1"/>
  <c r="AA22" i="31" s="1"/>
  <c r="AB22" i="31" s="1"/>
  <c r="T22" i="31"/>
  <c r="Q22" i="31"/>
  <c r="R22" i="31" s="1"/>
  <c r="S22" i="31" s="1"/>
  <c r="P22" i="31"/>
  <c r="O22" i="31"/>
  <c r="N22" i="31"/>
  <c r="G22" i="31"/>
  <c r="F22" i="31"/>
  <c r="AX21" i="31"/>
  <c r="AY21" i="31" s="1"/>
  <c r="AZ21" i="31" s="1"/>
  <c r="AW21" i="31"/>
  <c r="AT21" i="31"/>
  <c r="AU21" i="31" s="1"/>
  <c r="AV21" i="31" s="1"/>
  <c r="AO21" i="31"/>
  <c r="AP21" i="31" s="1"/>
  <c r="AQ21" i="31" s="1"/>
  <c r="AR21" i="31" s="1"/>
  <c r="AN21" i="31"/>
  <c r="AM21" i="31"/>
  <c r="AL21" i="31"/>
  <c r="AE21" i="31"/>
  <c r="AF21" i="31" s="1"/>
  <c r="AG21" i="31" s="1"/>
  <c r="AH21" i="31" s="1"/>
  <c r="AI21" i="31" s="1"/>
  <c r="AJ21" i="31" s="1"/>
  <c r="AD21" i="31"/>
  <c r="V21" i="31"/>
  <c r="W21" i="31" s="1"/>
  <c r="X21" i="31" s="1"/>
  <c r="Y21" i="31" s="1"/>
  <c r="Z21" i="31" s="1"/>
  <c r="AA21" i="31" s="1"/>
  <c r="AB21" i="31" s="1"/>
  <c r="N21" i="31"/>
  <c r="O21" i="31" s="1"/>
  <c r="P21" i="31" s="1"/>
  <c r="Q21" i="31" s="1"/>
  <c r="R21" i="31" s="1"/>
  <c r="S21" i="31" s="1"/>
  <c r="T21" i="31" s="1"/>
  <c r="L21" i="31"/>
  <c r="I21" i="31"/>
  <c r="J21" i="31" s="1"/>
  <c r="K21" i="31" s="1"/>
  <c r="H21" i="31"/>
  <c r="G21" i="31"/>
  <c r="F21" i="31"/>
  <c r="AX20" i="31"/>
  <c r="AY20" i="31" s="1"/>
  <c r="AZ20" i="31" s="1"/>
  <c r="AU20" i="31"/>
  <c r="AV20" i="31" s="1"/>
  <c r="AW20" i="31" s="1"/>
  <c r="AT20" i="31"/>
  <c r="AO20" i="31"/>
  <c r="AP20" i="31" s="1"/>
  <c r="AQ20" i="31" s="1"/>
  <c r="AR20" i="31" s="1"/>
  <c r="AL20" i="31"/>
  <c r="AM20" i="31" s="1"/>
  <c r="AN20" i="31" s="1"/>
  <c r="AF20" i="31"/>
  <c r="AG20" i="31" s="1"/>
  <c r="AH20" i="31" s="1"/>
  <c r="AI20" i="31" s="1"/>
  <c r="AJ20" i="31" s="1"/>
  <c r="AE20" i="31"/>
  <c r="AD20" i="31"/>
  <c r="AA20" i="31"/>
  <c r="AB20" i="31" s="1"/>
  <c r="X20" i="31"/>
  <c r="Y20" i="31" s="1"/>
  <c r="Z20" i="31" s="1"/>
  <c r="W20" i="31"/>
  <c r="V20" i="31"/>
  <c r="N20" i="31"/>
  <c r="O20" i="31" s="1"/>
  <c r="P20" i="31" s="1"/>
  <c r="Q20" i="31" s="1"/>
  <c r="R20" i="31" s="1"/>
  <c r="S20" i="31" s="1"/>
  <c r="T20" i="31" s="1"/>
  <c r="F20" i="31"/>
  <c r="AU19" i="31"/>
  <c r="AV19" i="31" s="1"/>
  <c r="AW19" i="31" s="1"/>
  <c r="AX19" i="31" s="1"/>
  <c r="AY19" i="31" s="1"/>
  <c r="AZ19" i="31" s="1"/>
  <c r="AT19" i="31"/>
  <c r="AL19" i="31"/>
  <c r="AM19" i="31" s="1"/>
  <c r="AN19" i="31" s="1"/>
  <c r="AO19" i="31" s="1"/>
  <c r="AP19" i="31" s="1"/>
  <c r="AQ19" i="31" s="1"/>
  <c r="AR19" i="31" s="1"/>
  <c r="AD19" i="31"/>
  <c r="AE19" i="31" s="1"/>
  <c r="AF19" i="31" s="1"/>
  <c r="AG19" i="31" s="1"/>
  <c r="AH19" i="31" s="1"/>
  <c r="AI19" i="31" s="1"/>
  <c r="AJ19" i="31" s="1"/>
  <c r="AB19" i="31"/>
  <c r="Y19" i="31"/>
  <c r="Z19" i="31" s="1"/>
  <c r="AA19" i="31" s="1"/>
  <c r="X19" i="31"/>
  <c r="W19" i="31"/>
  <c r="V19" i="31"/>
  <c r="O19" i="31"/>
  <c r="P19" i="31" s="1"/>
  <c r="Q19" i="31" s="1"/>
  <c r="R19" i="31" s="1"/>
  <c r="S19" i="31" s="1"/>
  <c r="T19" i="31" s="1"/>
  <c r="N19" i="31"/>
  <c r="F19" i="31"/>
  <c r="G19" i="31" s="1"/>
  <c r="H19" i="31" s="1"/>
  <c r="I19" i="31" s="1"/>
  <c r="J19" i="31" s="1"/>
  <c r="K19" i="31" s="1"/>
  <c r="L19" i="31" s="1"/>
  <c r="AW18" i="31"/>
  <c r="AX18" i="31" s="1"/>
  <c r="AY18" i="31" s="1"/>
  <c r="AZ18" i="31" s="1"/>
  <c r="AV18" i="31"/>
  <c r="AU18" i="31"/>
  <c r="AT18" i="31"/>
  <c r="AM18" i="31"/>
  <c r="AN18" i="31" s="1"/>
  <c r="AO18" i="31" s="1"/>
  <c r="AP18" i="31" s="1"/>
  <c r="AQ18" i="31" s="1"/>
  <c r="AR18" i="31" s="1"/>
  <c r="AL18" i="31"/>
  <c r="AD18" i="31"/>
  <c r="AE18" i="31" s="1"/>
  <c r="AF18" i="31" s="1"/>
  <c r="AG18" i="31" s="1"/>
  <c r="AH18" i="31" s="1"/>
  <c r="AI18" i="31" s="1"/>
  <c r="AJ18" i="31" s="1"/>
  <c r="V18" i="31"/>
  <c r="W18" i="31" s="1"/>
  <c r="X18" i="31" s="1"/>
  <c r="Y18" i="31" s="1"/>
  <c r="Z18" i="31" s="1"/>
  <c r="AA18" i="31" s="1"/>
  <c r="AB18" i="31" s="1"/>
  <c r="T18" i="31"/>
  <c r="Q18" i="31"/>
  <c r="R18" i="31" s="1"/>
  <c r="S18" i="31" s="1"/>
  <c r="P18" i="31"/>
  <c r="O18" i="31"/>
  <c r="N18" i="31"/>
  <c r="G18" i="31"/>
  <c r="H18" i="31" s="1"/>
  <c r="I18" i="31" s="1"/>
  <c r="J18" i="31" s="1"/>
  <c r="K18" i="31" s="1"/>
  <c r="L18" i="31" s="1"/>
  <c r="F18" i="31"/>
  <c r="AX17" i="31"/>
  <c r="AY17" i="31" s="1"/>
  <c r="AZ17" i="31" s="1"/>
  <c r="AW17" i="31"/>
  <c r="AT17" i="31"/>
  <c r="AU17" i="31" s="1"/>
  <c r="AV17" i="31" s="1"/>
  <c r="AO17" i="31"/>
  <c r="AP17" i="31" s="1"/>
  <c r="AQ17" i="31" s="1"/>
  <c r="AR17" i="31" s="1"/>
  <c r="AN17" i="31"/>
  <c r="AM17" i="31"/>
  <c r="AL17" i="31"/>
  <c r="AE17" i="31"/>
  <c r="AF17" i="31" s="1"/>
  <c r="AG17" i="31" s="1"/>
  <c r="AH17" i="31" s="1"/>
  <c r="AI17" i="31" s="1"/>
  <c r="AJ17" i="31" s="1"/>
  <c r="AD17" i="31"/>
  <c r="V17" i="31"/>
  <c r="W17" i="31" s="1"/>
  <c r="X17" i="31" s="1"/>
  <c r="Y17" i="31" s="1"/>
  <c r="Z17" i="31" s="1"/>
  <c r="AA17" i="31" s="1"/>
  <c r="AB17" i="31" s="1"/>
  <c r="N17" i="31"/>
  <c r="O17" i="31" s="1"/>
  <c r="P17" i="31" s="1"/>
  <c r="Q17" i="31" s="1"/>
  <c r="R17" i="31" s="1"/>
  <c r="S17" i="31" s="1"/>
  <c r="T17" i="31" s="1"/>
  <c r="L17" i="31"/>
  <c r="I17" i="31"/>
  <c r="J17" i="31" s="1"/>
  <c r="K17" i="31" s="1"/>
  <c r="H17" i="31"/>
  <c r="G17" i="31"/>
  <c r="F17" i="31"/>
  <c r="AX16" i="31"/>
  <c r="AY16" i="31" s="1"/>
  <c r="AZ16" i="31" s="1"/>
  <c r="AU16" i="31"/>
  <c r="AV16" i="31" s="1"/>
  <c r="AW16" i="31" s="1"/>
  <c r="AT16" i="31"/>
  <c r="AO16" i="31"/>
  <c r="AP16" i="31" s="1"/>
  <c r="AQ16" i="31" s="1"/>
  <c r="AR16" i="31" s="1"/>
  <c r="AL16" i="31"/>
  <c r="AM16" i="31" s="1"/>
  <c r="AN16" i="31" s="1"/>
  <c r="AF16" i="31"/>
  <c r="AG16" i="31" s="1"/>
  <c r="AH16" i="31" s="1"/>
  <c r="AI16" i="31" s="1"/>
  <c r="AJ16" i="31" s="1"/>
  <c r="AE16" i="31"/>
  <c r="AD16" i="31"/>
  <c r="V16" i="31"/>
  <c r="W16" i="31" s="1"/>
  <c r="X16" i="31" s="1"/>
  <c r="Y16" i="31" s="1"/>
  <c r="Z16" i="31" s="1"/>
  <c r="AA16" i="31" s="1"/>
  <c r="AB16" i="31" s="1"/>
  <c r="N16" i="31"/>
  <c r="O16" i="31" s="1"/>
  <c r="P16" i="31" s="1"/>
  <c r="Q16" i="31" s="1"/>
  <c r="R16" i="31" s="1"/>
  <c r="S16" i="31" s="1"/>
  <c r="T16" i="31" s="1"/>
  <c r="F16" i="31"/>
  <c r="AU15" i="31"/>
  <c r="AV15" i="31" s="1"/>
  <c r="AW15" i="31" s="1"/>
  <c r="AX15" i="31" s="1"/>
  <c r="AY15" i="31" s="1"/>
  <c r="AZ15" i="31" s="1"/>
  <c r="AT15" i="31"/>
  <c r="AL15" i="31"/>
  <c r="AM15" i="31" s="1"/>
  <c r="AN15" i="31" s="1"/>
  <c r="AO15" i="31" s="1"/>
  <c r="AP15" i="31" s="1"/>
  <c r="AQ15" i="31" s="1"/>
  <c r="AR15" i="31" s="1"/>
  <c r="AD15" i="31"/>
  <c r="AE15" i="31" s="1"/>
  <c r="AF15" i="31" s="1"/>
  <c r="AG15" i="31" s="1"/>
  <c r="AH15" i="31" s="1"/>
  <c r="AI15" i="31" s="1"/>
  <c r="AJ15" i="31" s="1"/>
  <c r="V15" i="31"/>
  <c r="W15" i="31" s="1"/>
  <c r="X15" i="31" s="1"/>
  <c r="Y15" i="31" s="1"/>
  <c r="Z15" i="31" s="1"/>
  <c r="AA15" i="31" s="1"/>
  <c r="AB15" i="31" s="1"/>
  <c r="O15" i="31"/>
  <c r="P15" i="31" s="1"/>
  <c r="Q15" i="31" s="1"/>
  <c r="R15" i="31" s="1"/>
  <c r="S15" i="31" s="1"/>
  <c r="T15" i="31" s="1"/>
  <c r="N15" i="31"/>
  <c r="G15" i="31"/>
  <c r="H15" i="31" s="1"/>
  <c r="I15" i="31" s="1"/>
  <c r="J15" i="31" s="1"/>
  <c r="K15" i="31" s="1"/>
  <c r="L15" i="31" s="1"/>
  <c r="F15" i="31"/>
  <c r="AW14" i="31"/>
  <c r="AX14" i="31" s="1"/>
  <c r="AY14" i="31" s="1"/>
  <c r="AZ14" i="31" s="1"/>
  <c r="AV14" i="31"/>
  <c r="AU14" i="31"/>
  <c r="AT14" i="31"/>
  <c r="AM14" i="31"/>
  <c r="AN14" i="31" s="1"/>
  <c r="AO14" i="31" s="1"/>
  <c r="AP14" i="31" s="1"/>
  <c r="AQ14" i="31" s="1"/>
  <c r="AR14" i="31" s="1"/>
  <c r="AL14" i="31"/>
  <c r="AD14" i="31"/>
  <c r="AE14" i="31" s="1"/>
  <c r="AF14" i="31" s="1"/>
  <c r="AG14" i="31" s="1"/>
  <c r="AH14" i="31" s="1"/>
  <c r="AI14" i="31" s="1"/>
  <c r="AJ14" i="31" s="1"/>
  <c r="V14" i="31"/>
  <c r="W14" i="31" s="1"/>
  <c r="X14" i="31" s="1"/>
  <c r="Y14" i="31" s="1"/>
  <c r="Z14" i="31" s="1"/>
  <c r="AA14" i="31" s="1"/>
  <c r="AB14" i="31" s="1"/>
  <c r="T14" i="31"/>
  <c r="Q14" i="31"/>
  <c r="R14" i="31" s="1"/>
  <c r="S14" i="31" s="1"/>
  <c r="P14" i="31"/>
  <c r="O14" i="31"/>
  <c r="N14" i="31"/>
  <c r="G14" i="31"/>
  <c r="F14" i="31"/>
  <c r="AT13" i="31"/>
  <c r="AU13" i="31" s="1"/>
  <c r="AV13" i="31" s="1"/>
  <c r="AW13" i="31" s="1"/>
  <c r="AX13" i="31" s="1"/>
  <c r="AY13" i="31" s="1"/>
  <c r="AZ13" i="31" s="1"/>
  <c r="AL13" i="31"/>
  <c r="AM13" i="31" s="1"/>
  <c r="AN13" i="31" s="1"/>
  <c r="AO13" i="31" s="1"/>
  <c r="AP13" i="31" s="1"/>
  <c r="AQ13" i="31" s="1"/>
  <c r="AR13" i="31" s="1"/>
  <c r="AD13" i="31"/>
  <c r="AE13" i="31" s="1"/>
  <c r="AF13" i="31" s="1"/>
  <c r="AG13" i="31" s="1"/>
  <c r="AH13" i="31" s="1"/>
  <c r="AI13" i="31" s="1"/>
  <c r="AJ13" i="31" s="1"/>
  <c r="V13" i="31"/>
  <c r="W13" i="31" s="1"/>
  <c r="X13" i="31" s="1"/>
  <c r="Y13" i="31" s="1"/>
  <c r="Z13" i="31" s="1"/>
  <c r="AA13" i="31" s="1"/>
  <c r="AB13" i="31" s="1"/>
  <c r="N13" i="31"/>
  <c r="O13" i="31" s="1"/>
  <c r="P13" i="31" s="1"/>
  <c r="Q13" i="31" s="1"/>
  <c r="R13" i="31" s="1"/>
  <c r="S13" i="31" s="1"/>
  <c r="T13" i="31" s="1"/>
  <c r="F13" i="31"/>
  <c r="G13" i="31" s="1"/>
  <c r="H13" i="31" s="1"/>
  <c r="I13" i="31" s="1"/>
  <c r="J13" i="31" s="1"/>
  <c r="K13" i="31" s="1"/>
  <c r="L13" i="31" s="1"/>
  <c r="AX12" i="31"/>
  <c r="AY12" i="31" s="1"/>
  <c r="AZ12" i="31" s="1"/>
  <c r="AU12" i="31"/>
  <c r="AV12" i="31" s="1"/>
  <c r="AW12" i="31" s="1"/>
  <c r="AT12" i="31"/>
  <c r="AO12" i="31"/>
  <c r="AP12" i="31" s="1"/>
  <c r="AQ12" i="31" s="1"/>
  <c r="AR12" i="31" s="1"/>
  <c r="AL12" i="31"/>
  <c r="AM12" i="31" s="1"/>
  <c r="AN12" i="31" s="1"/>
  <c r="AF12" i="31"/>
  <c r="AG12" i="31" s="1"/>
  <c r="AH12" i="31" s="1"/>
  <c r="AI12" i="31" s="1"/>
  <c r="AJ12" i="31" s="1"/>
  <c r="AE12" i="31"/>
  <c r="AD12" i="31"/>
  <c r="AA12" i="31"/>
  <c r="AB12" i="31" s="1"/>
  <c r="X12" i="31"/>
  <c r="Y12" i="31" s="1"/>
  <c r="Z12" i="31" s="1"/>
  <c r="W12" i="31"/>
  <c r="V12" i="31"/>
  <c r="N12" i="31"/>
  <c r="O12" i="31" s="1"/>
  <c r="P12" i="31" s="1"/>
  <c r="Q12" i="31" s="1"/>
  <c r="R12" i="31" s="1"/>
  <c r="S12" i="31" s="1"/>
  <c r="T12" i="31" s="1"/>
  <c r="F12" i="31"/>
  <c r="AU11" i="31"/>
  <c r="AV11" i="31" s="1"/>
  <c r="AW11" i="31" s="1"/>
  <c r="AX11" i="31" s="1"/>
  <c r="AY11" i="31" s="1"/>
  <c r="AZ11" i="31" s="1"/>
  <c r="AT11" i="31"/>
  <c r="AL11" i="31"/>
  <c r="AM11" i="31" s="1"/>
  <c r="AN11" i="31" s="1"/>
  <c r="AO11" i="31" s="1"/>
  <c r="AP11" i="31" s="1"/>
  <c r="AQ11" i="31" s="1"/>
  <c r="AR11" i="31" s="1"/>
  <c r="AD11" i="31"/>
  <c r="AE11" i="31" s="1"/>
  <c r="AF11" i="31" s="1"/>
  <c r="AG11" i="31" s="1"/>
  <c r="AH11" i="31" s="1"/>
  <c r="AI11" i="31" s="1"/>
  <c r="AJ11" i="31" s="1"/>
  <c r="V11" i="31"/>
  <c r="W11" i="31" s="1"/>
  <c r="X11" i="31" s="1"/>
  <c r="Y11" i="31" s="1"/>
  <c r="Z11" i="31" s="1"/>
  <c r="AA11" i="31" s="1"/>
  <c r="AB11" i="31" s="1"/>
  <c r="O11" i="31"/>
  <c r="P11" i="31" s="1"/>
  <c r="Q11" i="31" s="1"/>
  <c r="R11" i="31" s="1"/>
  <c r="S11" i="31" s="1"/>
  <c r="T11" i="31" s="1"/>
  <c r="N11" i="31"/>
  <c r="J11" i="31"/>
  <c r="K11" i="31" s="1"/>
  <c r="L11" i="31" s="1"/>
  <c r="F11" i="31"/>
  <c r="AV10" i="31"/>
  <c r="AU10" i="31"/>
  <c r="AT10" i="31"/>
  <c r="AM10" i="31"/>
  <c r="AL10" i="31"/>
  <c r="AD10" i="31"/>
  <c r="X10" i="31"/>
  <c r="W10" i="31"/>
  <c r="V10" i="31"/>
  <c r="N10" i="31"/>
  <c r="O10" i="31" s="1"/>
  <c r="P10" i="31" s="1"/>
  <c r="F10" i="31"/>
  <c r="G10" i="31" s="1"/>
  <c r="BB5" i="31"/>
  <c r="I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U75" i="30"/>
  <c r="H75" i="30"/>
  <c r="G75" i="30"/>
  <c r="F75" i="30"/>
  <c r="E75" i="30"/>
  <c r="AC74" i="30"/>
  <c r="U74" i="30"/>
  <c r="E74" i="30"/>
  <c r="AD73" i="30"/>
  <c r="AE73" i="30" s="1"/>
  <c r="AF73" i="30" s="1"/>
  <c r="AG73" i="30" s="1"/>
  <c r="AH73" i="30" s="1"/>
  <c r="AI73" i="30" s="1"/>
  <c r="AJ73" i="30" s="1"/>
  <c r="V73" i="30"/>
  <c r="W73" i="30" s="1"/>
  <c r="X73" i="30" s="1"/>
  <c r="Y73" i="30" s="1"/>
  <c r="Z73" i="30" s="1"/>
  <c r="AA73" i="30" s="1"/>
  <c r="AB73" i="30" s="1"/>
  <c r="G73" i="30"/>
  <c r="H73" i="30" s="1"/>
  <c r="I73" i="30" s="1"/>
  <c r="J73" i="30" s="1"/>
  <c r="K73" i="30" s="1"/>
  <c r="L73" i="30" s="1"/>
  <c r="F73" i="30"/>
  <c r="AD72" i="30"/>
  <c r="AE72" i="30" s="1"/>
  <c r="AF72" i="30" s="1"/>
  <c r="AG72" i="30" s="1"/>
  <c r="AH72" i="30" s="1"/>
  <c r="AI72" i="30" s="1"/>
  <c r="AJ72" i="30" s="1"/>
  <c r="V72" i="30"/>
  <c r="W72" i="30" s="1"/>
  <c r="X72" i="30" s="1"/>
  <c r="Y72" i="30" s="1"/>
  <c r="Z72" i="30" s="1"/>
  <c r="AA72" i="30" s="1"/>
  <c r="AB72" i="30" s="1"/>
  <c r="H72" i="30"/>
  <c r="I72" i="30" s="1"/>
  <c r="J72" i="30" s="1"/>
  <c r="K72" i="30" s="1"/>
  <c r="L72" i="30" s="1"/>
  <c r="G72" i="30"/>
  <c r="F72" i="30"/>
  <c r="AF71" i="30"/>
  <c r="AG71" i="30" s="1"/>
  <c r="AH71" i="30" s="1"/>
  <c r="AI71" i="30" s="1"/>
  <c r="AJ71" i="30" s="1"/>
  <c r="AE71" i="30"/>
  <c r="AD71" i="30"/>
  <c r="W71" i="30"/>
  <c r="X71" i="30" s="1"/>
  <c r="Y71" i="30" s="1"/>
  <c r="Z71" i="30" s="1"/>
  <c r="AA71" i="30" s="1"/>
  <c r="AB71" i="30" s="1"/>
  <c r="V71" i="30"/>
  <c r="F71" i="30"/>
  <c r="G71" i="30" s="1"/>
  <c r="AD70" i="30"/>
  <c r="AE70" i="30" s="1"/>
  <c r="AF70" i="30" s="1"/>
  <c r="AG70" i="30" s="1"/>
  <c r="AH70" i="30" s="1"/>
  <c r="AI70" i="30" s="1"/>
  <c r="AJ70" i="30" s="1"/>
  <c r="X70" i="30"/>
  <c r="Y70" i="30" s="1"/>
  <c r="Z70" i="30" s="1"/>
  <c r="AA70" i="30" s="1"/>
  <c r="AB70" i="30" s="1"/>
  <c r="W70" i="30"/>
  <c r="V70" i="30"/>
  <c r="F70" i="30"/>
  <c r="AD69" i="30"/>
  <c r="AE69" i="30" s="1"/>
  <c r="AF69" i="30" s="1"/>
  <c r="AG69" i="30" s="1"/>
  <c r="AH69" i="30" s="1"/>
  <c r="AI69" i="30" s="1"/>
  <c r="AJ69" i="30" s="1"/>
  <c r="V69" i="30"/>
  <c r="W69" i="30" s="1"/>
  <c r="X69" i="30" s="1"/>
  <c r="Y69" i="30" s="1"/>
  <c r="Z69" i="30" s="1"/>
  <c r="AA69" i="30" s="1"/>
  <c r="AB69" i="30" s="1"/>
  <c r="G69" i="30"/>
  <c r="H69" i="30" s="1"/>
  <c r="I69" i="30" s="1"/>
  <c r="J69" i="30" s="1"/>
  <c r="K69" i="30" s="1"/>
  <c r="L69" i="30" s="1"/>
  <c r="F69" i="30"/>
  <c r="AD68" i="30"/>
  <c r="AE68" i="30" s="1"/>
  <c r="AF68" i="30" s="1"/>
  <c r="AG68" i="30" s="1"/>
  <c r="AH68" i="30" s="1"/>
  <c r="AI68" i="30" s="1"/>
  <c r="AJ68" i="30" s="1"/>
  <c r="V68" i="30"/>
  <c r="W68" i="30" s="1"/>
  <c r="X68" i="30" s="1"/>
  <c r="Y68" i="30" s="1"/>
  <c r="Z68" i="30" s="1"/>
  <c r="AA68" i="30" s="1"/>
  <c r="AB68" i="30" s="1"/>
  <c r="H68" i="30"/>
  <c r="I68" i="30" s="1"/>
  <c r="J68" i="30" s="1"/>
  <c r="K68" i="30" s="1"/>
  <c r="L68" i="30" s="1"/>
  <c r="G68" i="30"/>
  <c r="F68" i="30"/>
  <c r="AF67" i="30"/>
  <c r="AG67" i="30" s="1"/>
  <c r="AH67" i="30" s="1"/>
  <c r="AI67" i="30" s="1"/>
  <c r="AJ67" i="30" s="1"/>
  <c r="AE67" i="30"/>
  <c r="AD67" i="30"/>
  <c r="W67" i="30"/>
  <c r="X67" i="30" s="1"/>
  <c r="Y67" i="30" s="1"/>
  <c r="Z67" i="30" s="1"/>
  <c r="AA67" i="30" s="1"/>
  <c r="AB67" i="30" s="1"/>
  <c r="V67" i="30"/>
  <c r="F67" i="30"/>
  <c r="G67" i="30" s="1"/>
  <c r="AE66" i="30"/>
  <c r="AF66" i="30" s="1"/>
  <c r="AG66" i="30" s="1"/>
  <c r="AH66" i="30" s="1"/>
  <c r="AI66" i="30" s="1"/>
  <c r="AJ66" i="30" s="1"/>
  <c r="AD66" i="30"/>
  <c r="V66" i="30"/>
  <c r="W66" i="30" s="1"/>
  <c r="X66" i="30" s="1"/>
  <c r="Y66" i="30" s="1"/>
  <c r="Z66" i="30" s="1"/>
  <c r="AA66" i="30" s="1"/>
  <c r="AB66" i="30" s="1"/>
  <c r="H66" i="30"/>
  <c r="I66" i="30" s="1"/>
  <c r="J66" i="30" s="1"/>
  <c r="K66" i="30" s="1"/>
  <c r="L66" i="30" s="1"/>
  <c r="G66" i="30"/>
  <c r="F66" i="30"/>
  <c r="AE65" i="30"/>
  <c r="AF65" i="30" s="1"/>
  <c r="AG65" i="30" s="1"/>
  <c r="AH65" i="30" s="1"/>
  <c r="AI65" i="30" s="1"/>
  <c r="AJ65" i="30" s="1"/>
  <c r="AD65" i="30"/>
  <c r="V65" i="30"/>
  <c r="W65" i="30" s="1"/>
  <c r="X65" i="30" s="1"/>
  <c r="Y65" i="30" s="1"/>
  <c r="Z65" i="30" s="1"/>
  <c r="AA65" i="30" s="1"/>
  <c r="AB65" i="30" s="1"/>
  <c r="F65" i="30"/>
  <c r="G65" i="30" s="1"/>
  <c r="H65" i="30" s="1"/>
  <c r="I65" i="30" s="1"/>
  <c r="J65" i="30" s="1"/>
  <c r="K65" i="30" s="1"/>
  <c r="L65" i="30" s="1"/>
  <c r="AD64" i="30"/>
  <c r="AE64" i="30" s="1"/>
  <c r="AF64" i="30" s="1"/>
  <c r="AG64" i="30" s="1"/>
  <c r="AH64" i="30" s="1"/>
  <c r="AI64" i="30" s="1"/>
  <c r="AJ64" i="30" s="1"/>
  <c r="W64" i="30"/>
  <c r="X64" i="30" s="1"/>
  <c r="Y64" i="30" s="1"/>
  <c r="Z64" i="30" s="1"/>
  <c r="AA64" i="30" s="1"/>
  <c r="AB64" i="30" s="1"/>
  <c r="V64" i="30"/>
  <c r="F64" i="30"/>
  <c r="AD63" i="30"/>
  <c r="AE63" i="30" s="1"/>
  <c r="AF63" i="30" s="1"/>
  <c r="AG63" i="30" s="1"/>
  <c r="AH63" i="30" s="1"/>
  <c r="AI63" i="30" s="1"/>
  <c r="AJ63" i="30" s="1"/>
  <c r="W63" i="30"/>
  <c r="X63" i="30" s="1"/>
  <c r="Y63" i="30" s="1"/>
  <c r="Z63" i="30" s="1"/>
  <c r="AA63" i="30" s="1"/>
  <c r="AB63" i="30" s="1"/>
  <c r="V63" i="30"/>
  <c r="F63" i="30"/>
  <c r="AD62" i="30"/>
  <c r="AE62" i="30" s="1"/>
  <c r="AF62" i="30" s="1"/>
  <c r="AG62" i="30" s="1"/>
  <c r="AH62" i="30" s="1"/>
  <c r="AI62" i="30" s="1"/>
  <c r="AJ62" i="30" s="1"/>
  <c r="V62" i="30"/>
  <c r="W62" i="30" s="1"/>
  <c r="X62" i="30" s="1"/>
  <c r="Y62" i="30" s="1"/>
  <c r="Z62" i="30" s="1"/>
  <c r="AA62" i="30" s="1"/>
  <c r="AB62" i="30" s="1"/>
  <c r="F62" i="30"/>
  <c r="AD61" i="30"/>
  <c r="AE61" i="30" s="1"/>
  <c r="AF61" i="30" s="1"/>
  <c r="AG61" i="30" s="1"/>
  <c r="AH61" i="30" s="1"/>
  <c r="AI61" i="30" s="1"/>
  <c r="AJ61" i="30" s="1"/>
  <c r="Y61" i="30"/>
  <c r="Z61" i="30" s="1"/>
  <c r="AA61" i="30" s="1"/>
  <c r="AB61" i="30" s="1"/>
  <c r="V61" i="30"/>
  <c r="W61" i="30" s="1"/>
  <c r="X61" i="30" s="1"/>
  <c r="G61" i="30"/>
  <c r="F61" i="30"/>
  <c r="AE60" i="30"/>
  <c r="AF60" i="30" s="1"/>
  <c r="AG60" i="30" s="1"/>
  <c r="AH60" i="30" s="1"/>
  <c r="AI60" i="30" s="1"/>
  <c r="AJ60" i="30" s="1"/>
  <c r="AD60" i="30"/>
  <c r="V60" i="30"/>
  <c r="W60" i="30" s="1"/>
  <c r="X60" i="30" s="1"/>
  <c r="Y60" i="30" s="1"/>
  <c r="Z60" i="30" s="1"/>
  <c r="AA60" i="30" s="1"/>
  <c r="AB60" i="30" s="1"/>
  <c r="F60" i="30"/>
  <c r="G60" i="30" s="1"/>
  <c r="H60" i="30" s="1"/>
  <c r="AF59" i="30"/>
  <c r="AG59" i="30" s="1"/>
  <c r="AH59" i="30" s="1"/>
  <c r="AI59" i="30" s="1"/>
  <c r="AJ59" i="30" s="1"/>
  <c r="AE59" i="30"/>
  <c r="AD59" i="30"/>
  <c r="W59" i="30"/>
  <c r="X59" i="30" s="1"/>
  <c r="Y59" i="30" s="1"/>
  <c r="Z59" i="30" s="1"/>
  <c r="AA59" i="30" s="1"/>
  <c r="AB59" i="30" s="1"/>
  <c r="V59" i="30"/>
  <c r="F59" i="30"/>
  <c r="AG58" i="30"/>
  <c r="AH58" i="30" s="1"/>
  <c r="AI58" i="30" s="1"/>
  <c r="AJ58" i="30" s="1"/>
  <c r="AD58" i="30"/>
  <c r="AE58" i="30" s="1"/>
  <c r="AF58" i="30" s="1"/>
  <c r="AB58" i="30"/>
  <c r="V58" i="30"/>
  <c r="W58" i="30" s="1"/>
  <c r="X58" i="30" s="1"/>
  <c r="Y58" i="30" s="1"/>
  <c r="Z58" i="30" s="1"/>
  <c r="AA58" i="30" s="1"/>
  <c r="F58" i="30"/>
  <c r="AD57" i="30"/>
  <c r="AE57" i="30" s="1"/>
  <c r="AF57" i="30" s="1"/>
  <c r="AG57" i="30" s="1"/>
  <c r="AH57" i="30" s="1"/>
  <c r="AI57" i="30" s="1"/>
  <c r="AJ57" i="30" s="1"/>
  <c r="Y57" i="30"/>
  <c r="Z57" i="30" s="1"/>
  <c r="AA57" i="30" s="1"/>
  <c r="AB57" i="30" s="1"/>
  <c r="V57" i="30"/>
  <c r="W57" i="30" s="1"/>
  <c r="X57" i="30" s="1"/>
  <c r="G57" i="30"/>
  <c r="F57" i="30"/>
  <c r="AE56" i="30"/>
  <c r="AF56" i="30" s="1"/>
  <c r="AG56" i="30" s="1"/>
  <c r="AH56" i="30" s="1"/>
  <c r="AI56" i="30" s="1"/>
  <c r="AJ56" i="30" s="1"/>
  <c r="AD56" i="30"/>
  <c r="V56" i="30"/>
  <c r="W56" i="30" s="1"/>
  <c r="X56" i="30" s="1"/>
  <c r="Y56" i="30" s="1"/>
  <c r="Z56" i="30" s="1"/>
  <c r="AA56" i="30" s="1"/>
  <c r="AB56" i="30" s="1"/>
  <c r="H56" i="30"/>
  <c r="I56" i="30" s="1"/>
  <c r="J56" i="30" s="1"/>
  <c r="K56" i="30" s="1"/>
  <c r="L56" i="30" s="1"/>
  <c r="F56" i="30"/>
  <c r="G56" i="30" s="1"/>
  <c r="AF55" i="30"/>
  <c r="AG55" i="30" s="1"/>
  <c r="AH55" i="30" s="1"/>
  <c r="AI55" i="30" s="1"/>
  <c r="AJ55" i="30" s="1"/>
  <c r="AE55" i="30"/>
  <c r="AD55" i="30"/>
  <c r="W55" i="30"/>
  <c r="X55" i="30" s="1"/>
  <c r="Y55" i="30" s="1"/>
  <c r="Z55" i="30" s="1"/>
  <c r="AA55" i="30" s="1"/>
  <c r="AB55" i="30" s="1"/>
  <c r="V55" i="30"/>
  <c r="F55" i="30"/>
  <c r="AG54" i="30"/>
  <c r="AH54" i="30" s="1"/>
  <c r="AI54" i="30" s="1"/>
  <c r="AJ54" i="30" s="1"/>
  <c r="AD54" i="30"/>
  <c r="AE54" i="30" s="1"/>
  <c r="AF54" i="30" s="1"/>
  <c r="V54" i="30"/>
  <c r="W54" i="30" s="1"/>
  <c r="X54" i="30" s="1"/>
  <c r="Y54" i="30" s="1"/>
  <c r="Z54" i="30" s="1"/>
  <c r="AA54" i="30" s="1"/>
  <c r="AB54" i="30" s="1"/>
  <c r="F54" i="30"/>
  <c r="AH53" i="30"/>
  <c r="AI53" i="30" s="1"/>
  <c r="AJ53" i="30" s="1"/>
  <c r="AD53" i="30"/>
  <c r="AE53" i="30" s="1"/>
  <c r="AF53" i="30" s="1"/>
  <c r="AG53" i="30" s="1"/>
  <c r="Y53" i="30"/>
  <c r="Z53" i="30" s="1"/>
  <c r="AA53" i="30" s="1"/>
  <c r="AB53" i="30" s="1"/>
  <c r="V53" i="30"/>
  <c r="W53" i="30" s="1"/>
  <c r="X53" i="30" s="1"/>
  <c r="G53" i="30"/>
  <c r="F53" i="30"/>
  <c r="AI52" i="30"/>
  <c r="AJ52" i="30" s="1"/>
  <c r="AE52" i="30"/>
  <c r="AF52" i="30" s="1"/>
  <c r="AG52" i="30" s="1"/>
  <c r="AH52" i="30" s="1"/>
  <c r="AD52" i="30"/>
  <c r="V52" i="30"/>
  <c r="W52" i="30" s="1"/>
  <c r="X52" i="30" s="1"/>
  <c r="Y52" i="30" s="1"/>
  <c r="Z52" i="30" s="1"/>
  <c r="AA52" i="30" s="1"/>
  <c r="AB52" i="30" s="1"/>
  <c r="H52" i="30"/>
  <c r="I52" i="30" s="1"/>
  <c r="J52" i="30" s="1"/>
  <c r="K52" i="30" s="1"/>
  <c r="L52" i="30" s="1"/>
  <c r="F52" i="30"/>
  <c r="G52" i="30" s="1"/>
  <c r="AF51" i="30"/>
  <c r="AG51" i="30" s="1"/>
  <c r="AH51" i="30" s="1"/>
  <c r="AI51" i="30" s="1"/>
  <c r="AJ51" i="30" s="1"/>
  <c r="AE51" i="30"/>
  <c r="AD51" i="30"/>
  <c r="W51" i="30"/>
  <c r="X51" i="30" s="1"/>
  <c r="Y51" i="30" s="1"/>
  <c r="Z51" i="30" s="1"/>
  <c r="AA51" i="30" s="1"/>
  <c r="AB51" i="30" s="1"/>
  <c r="V51" i="30"/>
  <c r="F51" i="30"/>
  <c r="AG50" i="30"/>
  <c r="AH50" i="30" s="1"/>
  <c r="AI50" i="30" s="1"/>
  <c r="AJ50" i="30" s="1"/>
  <c r="AD50" i="30"/>
  <c r="AE50" i="30" s="1"/>
  <c r="AF50" i="30" s="1"/>
  <c r="X50" i="30"/>
  <c r="Y50" i="30" s="1"/>
  <c r="Z50" i="30" s="1"/>
  <c r="AA50" i="30" s="1"/>
  <c r="AB50" i="30" s="1"/>
  <c r="V50" i="30"/>
  <c r="W50" i="30" s="1"/>
  <c r="F50" i="30"/>
  <c r="AD49" i="30"/>
  <c r="AE49" i="30" s="1"/>
  <c r="AF49" i="30" s="1"/>
  <c r="AG49" i="30" s="1"/>
  <c r="AH49" i="30" s="1"/>
  <c r="AI49" i="30" s="1"/>
  <c r="AJ49" i="30" s="1"/>
  <c r="Y49" i="30"/>
  <c r="Z49" i="30" s="1"/>
  <c r="AA49" i="30" s="1"/>
  <c r="AB49" i="30" s="1"/>
  <c r="V49" i="30"/>
  <c r="W49" i="30" s="1"/>
  <c r="X49" i="30" s="1"/>
  <c r="L49" i="30"/>
  <c r="H49" i="30"/>
  <c r="I49" i="30" s="1"/>
  <c r="J49" i="30" s="1"/>
  <c r="K49" i="30" s="1"/>
  <c r="G49" i="30"/>
  <c r="F49" i="30"/>
  <c r="AF48" i="30"/>
  <c r="AG48" i="30" s="1"/>
  <c r="AH48" i="30" s="1"/>
  <c r="AI48" i="30" s="1"/>
  <c r="AJ48" i="30" s="1"/>
  <c r="AE48" i="30"/>
  <c r="AD48" i="30"/>
  <c r="V48" i="30"/>
  <c r="W48" i="30" s="1"/>
  <c r="X48" i="30" s="1"/>
  <c r="Y48" i="30" s="1"/>
  <c r="Z48" i="30" s="1"/>
  <c r="AA48" i="30" s="1"/>
  <c r="AB48" i="30" s="1"/>
  <c r="F48" i="30"/>
  <c r="G48" i="30" s="1"/>
  <c r="H48" i="30" s="1"/>
  <c r="I48" i="30" s="1"/>
  <c r="J48" i="30" s="1"/>
  <c r="K48" i="30" s="1"/>
  <c r="L48" i="30" s="1"/>
  <c r="AF47" i="30"/>
  <c r="AG47" i="30" s="1"/>
  <c r="AH47" i="30" s="1"/>
  <c r="AI47" i="30" s="1"/>
  <c r="AJ47" i="30" s="1"/>
  <c r="AD47" i="30"/>
  <c r="AE47" i="30" s="1"/>
  <c r="V47" i="30"/>
  <c r="W47" i="30" s="1"/>
  <c r="X47" i="30" s="1"/>
  <c r="Y47" i="30" s="1"/>
  <c r="Z47" i="30" s="1"/>
  <c r="AA47" i="30" s="1"/>
  <c r="AB47" i="30" s="1"/>
  <c r="G47" i="30"/>
  <c r="F47" i="30"/>
  <c r="AG46" i="30"/>
  <c r="AH46" i="30" s="1"/>
  <c r="AI46" i="30" s="1"/>
  <c r="AJ46" i="30" s="1"/>
  <c r="AE46" i="30"/>
  <c r="AF46" i="30" s="1"/>
  <c r="AD46" i="30"/>
  <c r="X46" i="30"/>
  <c r="Y46" i="30" s="1"/>
  <c r="Z46" i="30" s="1"/>
  <c r="AA46" i="30" s="1"/>
  <c r="AB46" i="30" s="1"/>
  <c r="V46" i="30"/>
  <c r="W46" i="30" s="1"/>
  <c r="F46" i="30"/>
  <c r="AD45" i="30"/>
  <c r="AE45" i="30" s="1"/>
  <c r="AF45" i="30" s="1"/>
  <c r="AG45" i="30" s="1"/>
  <c r="AH45" i="30" s="1"/>
  <c r="AI45" i="30" s="1"/>
  <c r="AJ45" i="30" s="1"/>
  <c r="W45" i="30"/>
  <c r="X45" i="30" s="1"/>
  <c r="Y45" i="30" s="1"/>
  <c r="Z45" i="30" s="1"/>
  <c r="AA45" i="30" s="1"/>
  <c r="AB45" i="30" s="1"/>
  <c r="V45" i="30"/>
  <c r="G45" i="30"/>
  <c r="H45" i="30" s="1"/>
  <c r="I45" i="30" s="1"/>
  <c r="J45" i="30" s="1"/>
  <c r="K45" i="30" s="1"/>
  <c r="L45" i="30" s="1"/>
  <c r="F45" i="30"/>
  <c r="AE44" i="30"/>
  <c r="AF44" i="30" s="1"/>
  <c r="AG44" i="30" s="1"/>
  <c r="AH44" i="30" s="1"/>
  <c r="AI44" i="30" s="1"/>
  <c r="AJ44" i="30" s="1"/>
  <c r="AD44" i="30"/>
  <c r="Z44" i="30"/>
  <c r="AA44" i="30" s="1"/>
  <c r="AB44" i="30" s="1"/>
  <c r="V44" i="30"/>
  <c r="W44" i="30" s="1"/>
  <c r="X44" i="30" s="1"/>
  <c r="Y44" i="30" s="1"/>
  <c r="H44" i="30"/>
  <c r="I44" i="30" s="1"/>
  <c r="J44" i="30" s="1"/>
  <c r="K44" i="30" s="1"/>
  <c r="L44" i="30" s="1"/>
  <c r="F44" i="30"/>
  <c r="G44" i="30" s="1"/>
  <c r="AD43" i="30"/>
  <c r="AE43" i="30" s="1"/>
  <c r="AF43" i="30" s="1"/>
  <c r="AG43" i="30" s="1"/>
  <c r="AH43" i="30" s="1"/>
  <c r="AI43" i="30" s="1"/>
  <c r="AJ43" i="30" s="1"/>
  <c r="W43" i="30"/>
  <c r="X43" i="30" s="1"/>
  <c r="Y43" i="30" s="1"/>
  <c r="Z43" i="30" s="1"/>
  <c r="AA43" i="30" s="1"/>
  <c r="AB43" i="30" s="1"/>
  <c r="V43" i="30"/>
  <c r="I43" i="30"/>
  <c r="J43" i="30" s="1"/>
  <c r="K43" i="30" s="1"/>
  <c r="L43" i="30" s="1"/>
  <c r="G43" i="30"/>
  <c r="H43" i="30" s="1"/>
  <c r="F43" i="30"/>
  <c r="AE42" i="30"/>
  <c r="AF42" i="30" s="1"/>
  <c r="AG42" i="30" s="1"/>
  <c r="AH42" i="30" s="1"/>
  <c r="AI42" i="30" s="1"/>
  <c r="AJ42" i="30" s="1"/>
  <c r="AD42" i="30"/>
  <c r="V42" i="30"/>
  <c r="W42" i="30" s="1"/>
  <c r="X42" i="30" s="1"/>
  <c r="Y42" i="30" s="1"/>
  <c r="Z42" i="30" s="1"/>
  <c r="AA42" i="30" s="1"/>
  <c r="AB42" i="30" s="1"/>
  <c r="F42" i="30"/>
  <c r="AH41" i="30"/>
  <c r="AI41" i="30" s="1"/>
  <c r="AJ41" i="30" s="1"/>
  <c r="AD41" i="30"/>
  <c r="AE41" i="30" s="1"/>
  <c r="AF41" i="30" s="1"/>
  <c r="AG41" i="30" s="1"/>
  <c r="Y41" i="30"/>
  <c r="Z41" i="30" s="1"/>
  <c r="AA41" i="30" s="1"/>
  <c r="AB41" i="30" s="1"/>
  <c r="W41" i="30"/>
  <c r="X41" i="30" s="1"/>
  <c r="V41" i="30"/>
  <c r="K41" i="30"/>
  <c r="L41" i="30" s="1"/>
  <c r="G41" i="30"/>
  <c r="H41" i="30" s="1"/>
  <c r="I41" i="30" s="1"/>
  <c r="J41" i="30" s="1"/>
  <c r="F41" i="30"/>
  <c r="AI40" i="30"/>
  <c r="AJ40" i="30" s="1"/>
  <c r="AE40" i="30"/>
  <c r="AF40" i="30" s="1"/>
  <c r="AG40" i="30" s="1"/>
  <c r="AH40" i="30" s="1"/>
  <c r="AD40" i="30"/>
  <c r="V40" i="30"/>
  <c r="W40" i="30" s="1"/>
  <c r="X40" i="30" s="1"/>
  <c r="Y40" i="30" s="1"/>
  <c r="Z40" i="30" s="1"/>
  <c r="AA40" i="30" s="1"/>
  <c r="AB40" i="30" s="1"/>
  <c r="F40" i="30"/>
  <c r="G40" i="30" s="1"/>
  <c r="AF39" i="30"/>
  <c r="AG39" i="30" s="1"/>
  <c r="AH39" i="30" s="1"/>
  <c r="AI39" i="30" s="1"/>
  <c r="AJ39" i="30" s="1"/>
  <c r="AD39" i="30"/>
  <c r="AE39" i="30" s="1"/>
  <c r="AA39" i="30"/>
  <c r="AB39" i="30" s="1"/>
  <c r="W39" i="30"/>
  <c r="X39" i="30" s="1"/>
  <c r="Y39" i="30" s="1"/>
  <c r="Z39" i="30" s="1"/>
  <c r="V39" i="30"/>
  <c r="G39" i="30"/>
  <c r="F39" i="30"/>
  <c r="AE38" i="30"/>
  <c r="AF38" i="30" s="1"/>
  <c r="AG38" i="30" s="1"/>
  <c r="AH38" i="30" s="1"/>
  <c r="AI38" i="30" s="1"/>
  <c r="AJ38" i="30" s="1"/>
  <c r="AD38" i="30"/>
  <c r="X38" i="30"/>
  <c r="Y38" i="30" s="1"/>
  <c r="Z38" i="30" s="1"/>
  <c r="AA38" i="30" s="1"/>
  <c r="AB38" i="30" s="1"/>
  <c r="V38" i="30"/>
  <c r="W38" i="30" s="1"/>
  <c r="F38" i="30"/>
  <c r="AD37" i="30"/>
  <c r="AE37" i="30" s="1"/>
  <c r="AF37" i="30" s="1"/>
  <c r="AG37" i="30" s="1"/>
  <c r="AH37" i="30" s="1"/>
  <c r="AI37" i="30" s="1"/>
  <c r="AJ37" i="30" s="1"/>
  <c r="W37" i="30"/>
  <c r="X37" i="30" s="1"/>
  <c r="Y37" i="30" s="1"/>
  <c r="Z37" i="30" s="1"/>
  <c r="AA37" i="30" s="1"/>
  <c r="AB37" i="30" s="1"/>
  <c r="V37" i="30"/>
  <c r="G37" i="30"/>
  <c r="H37" i="30" s="1"/>
  <c r="I37" i="30" s="1"/>
  <c r="J37" i="30" s="1"/>
  <c r="K37" i="30" s="1"/>
  <c r="L37" i="30" s="1"/>
  <c r="F37" i="30"/>
  <c r="AG36" i="30"/>
  <c r="AH36" i="30" s="1"/>
  <c r="AI36" i="30" s="1"/>
  <c r="AJ36" i="30" s="1"/>
  <c r="AE36" i="30"/>
  <c r="AF36" i="30" s="1"/>
  <c r="AD36" i="30"/>
  <c r="Z36" i="30"/>
  <c r="AA36" i="30" s="1"/>
  <c r="AB36" i="30" s="1"/>
  <c r="V36" i="30"/>
  <c r="W36" i="30" s="1"/>
  <c r="X36" i="30" s="1"/>
  <c r="Y36" i="30" s="1"/>
  <c r="J36" i="30"/>
  <c r="K36" i="30" s="1"/>
  <c r="L36" i="30" s="1"/>
  <c r="F36" i="30"/>
  <c r="G36" i="30" s="1"/>
  <c r="H36" i="30" s="1"/>
  <c r="I36" i="30" s="1"/>
  <c r="AD35" i="30"/>
  <c r="AE35" i="30" s="1"/>
  <c r="AF35" i="30" s="1"/>
  <c r="AG35" i="30" s="1"/>
  <c r="AH35" i="30" s="1"/>
  <c r="AI35" i="30" s="1"/>
  <c r="AJ35" i="30" s="1"/>
  <c r="W35" i="30"/>
  <c r="X35" i="30" s="1"/>
  <c r="Y35" i="30" s="1"/>
  <c r="Z35" i="30" s="1"/>
  <c r="AA35" i="30" s="1"/>
  <c r="AB35" i="30" s="1"/>
  <c r="V35" i="30"/>
  <c r="H35" i="30"/>
  <c r="I35" i="30" s="1"/>
  <c r="J35" i="30" s="1"/>
  <c r="K35" i="30" s="1"/>
  <c r="L35" i="30" s="1"/>
  <c r="G35" i="30"/>
  <c r="F35" i="30"/>
  <c r="AD34" i="30"/>
  <c r="AE34" i="30" s="1"/>
  <c r="AF34" i="30" s="1"/>
  <c r="AG34" i="30" s="1"/>
  <c r="AH34" i="30" s="1"/>
  <c r="AI34" i="30" s="1"/>
  <c r="AJ34" i="30" s="1"/>
  <c r="V34" i="30"/>
  <c r="W34" i="30" s="1"/>
  <c r="X34" i="30" s="1"/>
  <c r="Y34" i="30" s="1"/>
  <c r="Z34" i="30" s="1"/>
  <c r="AA34" i="30" s="1"/>
  <c r="AB34" i="30" s="1"/>
  <c r="F34" i="30"/>
  <c r="AD33" i="30"/>
  <c r="AE33" i="30" s="1"/>
  <c r="AF33" i="30" s="1"/>
  <c r="AG33" i="30" s="1"/>
  <c r="AH33" i="30" s="1"/>
  <c r="AI33" i="30" s="1"/>
  <c r="AJ33" i="30" s="1"/>
  <c r="W33" i="30"/>
  <c r="X33" i="30" s="1"/>
  <c r="Y33" i="30" s="1"/>
  <c r="Z33" i="30" s="1"/>
  <c r="AA33" i="30" s="1"/>
  <c r="AB33" i="30" s="1"/>
  <c r="V33" i="30"/>
  <c r="G33" i="30"/>
  <c r="H33" i="30" s="1"/>
  <c r="I33" i="30" s="1"/>
  <c r="J33" i="30" s="1"/>
  <c r="K33" i="30" s="1"/>
  <c r="L33" i="30" s="1"/>
  <c r="F33" i="30"/>
  <c r="AE32" i="30"/>
  <c r="AF32" i="30" s="1"/>
  <c r="AG32" i="30" s="1"/>
  <c r="AH32" i="30" s="1"/>
  <c r="AI32" i="30" s="1"/>
  <c r="AJ32" i="30" s="1"/>
  <c r="AD32" i="30"/>
  <c r="Z32" i="30"/>
  <c r="AA32" i="30" s="1"/>
  <c r="AB32" i="30" s="1"/>
  <c r="V32" i="30"/>
  <c r="W32" i="30" s="1"/>
  <c r="X32" i="30" s="1"/>
  <c r="Y32" i="30" s="1"/>
  <c r="F32" i="30"/>
  <c r="G32" i="30" s="1"/>
  <c r="AD31" i="30"/>
  <c r="AE31" i="30" s="1"/>
  <c r="AF31" i="30" s="1"/>
  <c r="AG31" i="30" s="1"/>
  <c r="AH31" i="30" s="1"/>
  <c r="AI31" i="30" s="1"/>
  <c r="AJ31" i="30" s="1"/>
  <c r="W31" i="30"/>
  <c r="X31" i="30" s="1"/>
  <c r="Y31" i="30" s="1"/>
  <c r="Z31" i="30" s="1"/>
  <c r="AA31" i="30" s="1"/>
  <c r="AB31" i="30" s="1"/>
  <c r="V31" i="30"/>
  <c r="I31" i="30"/>
  <c r="J31" i="30" s="1"/>
  <c r="K31" i="30" s="1"/>
  <c r="L31" i="30" s="1"/>
  <c r="G31" i="30"/>
  <c r="H31" i="30" s="1"/>
  <c r="F31" i="30"/>
  <c r="AD30" i="30"/>
  <c r="AE30" i="30" s="1"/>
  <c r="AF30" i="30" s="1"/>
  <c r="AG30" i="30" s="1"/>
  <c r="AH30" i="30" s="1"/>
  <c r="AI30" i="30" s="1"/>
  <c r="AJ30" i="30" s="1"/>
  <c r="V30" i="30"/>
  <c r="W30" i="30" s="1"/>
  <c r="X30" i="30" s="1"/>
  <c r="Y30" i="30" s="1"/>
  <c r="Z30" i="30" s="1"/>
  <c r="AA30" i="30" s="1"/>
  <c r="AB30" i="30" s="1"/>
  <c r="F30" i="30"/>
  <c r="AF29" i="30"/>
  <c r="AG29" i="30" s="1"/>
  <c r="AH29" i="30" s="1"/>
  <c r="AI29" i="30" s="1"/>
  <c r="AJ29" i="30" s="1"/>
  <c r="AD29" i="30"/>
  <c r="AE29" i="30" s="1"/>
  <c r="W29" i="30"/>
  <c r="X29" i="30" s="1"/>
  <c r="Y29" i="30" s="1"/>
  <c r="Z29" i="30" s="1"/>
  <c r="AA29" i="30" s="1"/>
  <c r="AB29" i="30" s="1"/>
  <c r="V29" i="30"/>
  <c r="F29" i="30"/>
  <c r="G29" i="30" s="1"/>
  <c r="H29" i="30" s="1"/>
  <c r="I29" i="30" s="1"/>
  <c r="J29" i="30" s="1"/>
  <c r="K29" i="30" s="1"/>
  <c r="L29" i="30" s="1"/>
  <c r="AE28" i="30"/>
  <c r="AF28" i="30" s="1"/>
  <c r="AG28" i="30" s="1"/>
  <c r="AH28" i="30" s="1"/>
  <c r="AI28" i="30" s="1"/>
  <c r="AJ28" i="30" s="1"/>
  <c r="AD28" i="30"/>
  <c r="X28" i="30"/>
  <c r="Y28" i="30" s="1"/>
  <c r="Z28" i="30" s="1"/>
  <c r="AA28" i="30" s="1"/>
  <c r="AB28" i="30" s="1"/>
  <c r="V28" i="30"/>
  <c r="W28" i="30" s="1"/>
  <c r="H28" i="30"/>
  <c r="I28" i="30" s="1"/>
  <c r="J28" i="30" s="1"/>
  <c r="K28" i="30" s="1"/>
  <c r="L28" i="30" s="1"/>
  <c r="F28" i="30"/>
  <c r="G28" i="30" s="1"/>
  <c r="AD27" i="30"/>
  <c r="AE27" i="30" s="1"/>
  <c r="AF27" i="30" s="1"/>
  <c r="AG27" i="30" s="1"/>
  <c r="AH27" i="30" s="1"/>
  <c r="AI27" i="30" s="1"/>
  <c r="AJ27" i="30" s="1"/>
  <c r="Y27" i="30"/>
  <c r="Z27" i="30" s="1"/>
  <c r="AA27" i="30" s="1"/>
  <c r="AB27" i="30" s="1"/>
  <c r="W27" i="30"/>
  <c r="X27" i="30" s="1"/>
  <c r="V27" i="30"/>
  <c r="I27" i="30"/>
  <c r="J27" i="30" s="1"/>
  <c r="K27" i="30" s="1"/>
  <c r="L27" i="30" s="1"/>
  <c r="G27" i="30"/>
  <c r="H27" i="30" s="1"/>
  <c r="F27" i="30"/>
  <c r="AG26" i="30"/>
  <c r="AH26" i="30" s="1"/>
  <c r="AI26" i="30" s="1"/>
  <c r="AJ26" i="30" s="1"/>
  <c r="AE26" i="30"/>
  <c r="AF26" i="30" s="1"/>
  <c r="AD26" i="30"/>
  <c r="V26" i="30"/>
  <c r="W26" i="30" s="1"/>
  <c r="X26" i="30" s="1"/>
  <c r="Y26" i="30" s="1"/>
  <c r="Z26" i="30" s="1"/>
  <c r="AA26" i="30" s="1"/>
  <c r="AB26" i="30" s="1"/>
  <c r="F26" i="30"/>
  <c r="G26" i="30" s="1"/>
  <c r="H26" i="30" s="1"/>
  <c r="I26" i="30" s="1"/>
  <c r="J26" i="30" s="1"/>
  <c r="K26" i="30" s="1"/>
  <c r="L26" i="30" s="1"/>
  <c r="AF25" i="30"/>
  <c r="AG25" i="30" s="1"/>
  <c r="AH25" i="30" s="1"/>
  <c r="AI25" i="30" s="1"/>
  <c r="AJ25" i="30" s="1"/>
  <c r="AD25" i="30"/>
  <c r="AE25" i="30" s="1"/>
  <c r="W25" i="30"/>
  <c r="X25" i="30" s="1"/>
  <c r="Y25" i="30" s="1"/>
  <c r="Z25" i="30" s="1"/>
  <c r="AA25" i="30" s="1"/>
  <c r="AB25" i="30" s="1"/>
  <c r="V25" i="30"/>
  <c r="G25" i="30"/>
  <c r="H25" i="30" s="1"/>
  <c r="I25" i="30" s="1"/>
  <c r="J25" i="30" s="1"/>
  <c r="K25" i="30" s="1"/>
  <c r="L25" i="30" s="1"/>
  <c r="F25" i="30"/>
  <c r="AE24" i="30"/>
  <c r="AF24" i="30" s="1"/>
  <c r="AG24" i="30" s="1"/>
  <c r="AH24" i="30" s="1"/>
  <c r="AI24" i="30" s="1"/>
  <c r="AJ24" i="30" s="1"/>
  <c r="AD24" i="30"/>
  <c r="X24" i="30"/>
  <c r="Y24" i="30" s="1"/>
  <c r="Z24" i="30" s="1"/>
  <c r="AA24" i="30" s="1"/>
  <c r="AB24" i="30" s="1"/>
  <c r="V24" i="30"/>
  <c r="W24" i="30" s="1"/>
  <c r="H24" i="30"/>
  <c r="I24" i="30" s="1"/>
  <c r="J24" i="30" s="1"/>
  <c r="K24" i="30" s="1"/>
  <c r="L24" i="30" s="1"/>
  <c r="F24" i="30"/>
  <c r="G24" i="30" s="1"/>
  <c r="AD23" i="30"/>
  <c r="AE23" i="30" s="1"/>
  <c r="AF23" i="30" s="1"/>
  <c r="AG23" i="30" s="1"/>
  <c r="AH23" i="30" s="1"/>
  <c r="AI23" i="30" s="1"/>
  <c r="AJ23" i="30" s="1"/>
  <c r="Y23" i="30"/>
  <c r="Z23" i="30" s="1"/>
  <c r="AA23" i="30" s="1"/>
  <c r="AB23" i="30" s="1"/>
  <c r="W23" i="30"/>
  <c r="X23" i="30" s="1"/>
  <c r="V23" i="30"/>
  <c r="I23" i="30"/>
  <c r="J23" i="30" s="1"/>
  <c r="K23" i="30" s="1"/>
  <c r="L23" i="30" s="1"/>
  <c r="G23" i="30"/>
  <c r="H23" i="30" s="1"/>
  <c r="F23" i="30"/>
  <c r="AG22" i="30"/>
  <c r="AH22" i="30" s="1"/>
  <c r="AI22" i="30" s="1"/>
  <c r="AJ22" i="30" s="1"/>
  <c r="AE22" i="30"/>
  <c r="AF22" i="30" s="1"/>
  <c r="AD22" i="30"/>
  <c r="V22" i="30"/>
  <c r="W22" i="30" s="1"/>
  <c r="X22" i="30" s="1"/>
  <c r="Y22" i="30" s="1"/>
  <c r="Z22" i="30" s="1"/>
  <c r="AA22" i="30" s="1"/>
  <c r="AB22" i="30" s="1"/>
  <c r="F22" i="30"/>
  <c r="G22" i="30" s="1"/>
  <c r="H22" i="30" s="1"/>
  <c r="I22" i="30" s="1"/>
  <c r="J22" i="30" s="1"/>
  <c r="K22" i="30" s="1"/>
  <c r="L22" i="30" s="1"/>
  <c r="AF21" i="30"/>
  <c r="AG21" i="30" s="1"/>
  <c r="AH21" i="30" s="1"/>
  <c r="AI21" i="30" s="1"/>
  <c r="AJ21" i="30" s="1"/>
  <c r="AD21" i="30"/>
  <c r="AE21" i="30" s="1"/>
  <c r="V21" i="30"/>
  <c r="W21" i="30" s="1"/>
  <c r="X21" i="30" s="1"/>
  <c r="Y21" i="30" s="1"/>
  <c r="Z21" i="30" s="1"/>
  <c r="AA21" i="30" s="1"/>
  <c r="AB21" i="30" s="1"/>
  <c r="F21" i="30"/>
  <c r="AD20" i="30"/>
  <c r="AE20" i="30" s="1"/>
  <c r="AF20" i="30" s="1"/>
  <c r="AG20" i="30" s="1"/>
  <c r="AH20" i="30" s="1"/>
  <c r="AI20" i="30" s="1"/>
  <c r="AJ20" i="30" s="1"/>
  <c r="W20" i="30"/>
  <c r="X20" i="30" s="1"/>
  <c r="Y20" i="30" s="1"/>
  <c r="Z20" i="30" s="1"/>
  <c r="AA20" i="30" s="1"/>
  <c r="AB20" i="30" s="1"/>
  <c r="V20" i="30"/>
  <c r="G20" i="30"/>
  <c r="H20" i="30" s="1"/>
  <c r="I20" i="30" s="1"/>
  <c r="J20" i="30" s="1"/>
  <c r="K20" i="30" s="1"/>
  <c r="L20" i="30" s="1"/>
  <c r="F20" i="30"/>
  <c r="AE19" i="30"/>
  <c r="AF19" i="30" s="1"/>
  <c r="AG19" i="30" s="1"/>
  <c r="AH19" i="30" s="1"/>
  <c r="AI19" i="30" s="1"/>
  <c r="AJ19" i="30" s="1"/>
  <c r="AD19" i="30"/>
  <c r="V19" i="30"/>
  <c r="W19" i="30" s="1"/>
  <c r="X19" i="30" s="1"/>
  <c r="Y19" i="30" s="1"/>
  <c r="Z19" i="30" s="1"/>
  <c r="AA19" i="30" s="1"/>
  <c r="AB19" i="30" s="1"/>
  <c r="F19" i="30"/>
  <c r="AD18" i="30"/>
  <c r="AE18" i="30" s="1"/>
  <c r="AF18" i="30" s="1"/>
  <c r="AG18" i="30" s="1"/>
  <c r="AH18" i="30" s="1"/>
  <c r="AI18" i="30" s="1"/>
  <c r="AJ18" i="30" s="1"/>
  <c r="W18" i="30"/>
  <c r="X18" i="30" s="1"/>
  <c r="Y18" i="30" s="1"/>
  <c r="Z18" i="30" s="1"/>
  <c r="AA18" i="30" s="1"/>
  <c r="AB18" i="30" s="1"/>
  <c r="V18" i="30"/>
  <c r="G18" i="30"/>
  <c r="H18" i="30" s="1"/>
  <c r="I18" i="30" s="1"/>
  <c r="J18" i="30" s="1"/>
  <c r="K18" i="30" s="1"/>
  <c r="L18" i="30" s="1"/>
  <c r="F18" i="30"/>
  <c r="AE17" i="30"/>
  <c r="AF17" i="30" s="1"/>
  <c r="AG17" i="30" s="1"/>
  <c r="AH17" i="30" s="1"/>
  <c r="AI17" i="30" s="1"/>
  <c r="AJ17" i="30" s="1"/>
  <c r="AD17" i="30"/>
  <c r="V17" i="30"/>
  <c r="W17" i="30" s="1"/>
  <c r="X17" i="30" s="1"/>
  <c r="Y17" i="30" s="1"/>
  <c r="Z17" i="30" s="1"/>
  <c r="AA17" i="30" s="1"/>
  <c r="AB17" i="30" s="1"/>
  <c r="F17" i="30"/>
  <c r="G17" i="30" s="1"/>
  <c r="H17" i="30" s="1"/>
  <c r="I17" i="30" s="1"/>
  <c r="J17" i="30" s="1"/>
  <c r="K17" i="30" s="1"/>
  <c r="L17" i="30" s="1"/>
  <c r="AD16" i="30"/>
  <c r="AE16" i="30" s="1"/>
  <c r="AF16" i="30" s="1"/>
  <c r="AG16" i="30" s="1"/>
  <c r="AH16" i="30" s="1"/>
  <c r="AI16" i="30" s="1"/>
  <c r="AJ16" i="30" s="1"/>
  <c r="W16" i="30"/>
  <c r="X16" i="30" s="1"/>
  <c r="Y16" i="30" s="1"/>
  <c r="Z16" i="30" s="1"/>
  <c r="AA16" i="30" s="1"/>
  <c r="AB16" i="30" s="1"/>
  <c r="V16" i="30"/>
  <c r="G16" i="30"/>
  <c r="H16" i="30" s="1"/>
  <c r="I16" i="30" s="1"/>
  <c r="J16" i="30" s="1"/>
  <c r="K16" i="30" s="1"/>
  <c r="L16" i="30" s="1"/>
  <c r="F16" i="30"/>
  <c r="AD15" i="30"/>
  <c r="AE15" i="30" s="1"/>
  <c r="AF15" i="30" s="1"/>
  <c r="AG15" i="30" s="1"/>
  <c r="AH15" i="30" s="1"/>
  <c r="AI15" i="30" s="1"/>
  <c r="AJ15" i="30" s="1"/>
  <c r="V15" i="30"/>
  <c r="W15" i="30" s="1"/>
  <c r="X15" i="30" s="1"/>
  <c r="Y15" i="30" s="1"/>
  <c r="Z15" i="30" s="1"/>
  <c r="AA15" i="30" s="1"/>
  <c r="AB15" i="30" s="1"/>
  <c r="F15" i="30"/>
  <c r="AD14" i="30"/>
  <c r="AE14" i="30" s="1"/>
  <c r="AF14" i="30" s="1"/>
  <c r="AG14" i="30" s="1"/>
  <c r="AH14" i="30" s="1"/>
  <c r="AI14" i="30" s="1"/>
  <c r="AJ14" i="30" s="1"/>
  <c r="W14" i="30"/>
  <c r="X14" i="30" s="1"/>
  <c r="Y14" i="30" s="1"/>
  <c r="Z14" i="30" s="1"/>
  <c r="AA14" i="30" s="1"/>
  <c r="AB14" i="30" s="1"/>
  <c r="V14" i="30"/>
  <c r="F14" i="30"/>
  <c r="G14" i="30" s="1"/>
  <c r="H14" i="30" s="1"/>
  <c r="I14" i="30" s="1"/>
  <c r="J14" i="30" s="1"/>
  <c r="K14" i="30" s="1"/>
  <c r="L14" i="30" s="1"/>
  <c r="AE13" i="30"/>
  <c r="AF13" i="30" s="1"/>
  <c r="AG13" i="30" s="1"/>
  <c r="AH13" i="30" s="1"/>
  <c r="AI13" i="30" s="1"/>
  <c r="AJ13" i="30" s="1"/>
  <c r="AD13" i="30"/>
  <c r="V13" i="30"/>
  <c r="W13" i="30" s="1"/>
  <c r="X13" i="30" s="1"/>
  <c r="Y13" i="30" s="1"/>
  <c r="Z13" i="30" s="1"/>
  <c r="AA13" i="30" s="1"/>
  <c r="AB13" i="30" s="1"/>
  <c r="F13" i="30"/>
  <c r="G13" i="30" s="1"/>
  <c r="H13" i="30" s="1"/>
  <c r="I13" i="30" s="1"/>
  <c r="J13" i="30" s="1"/>
  <c r="K13" i="30" s="1"/>
  <c r="L13" i="30" s="1"/>
  <c r="AD12" i="30"/>
  <c r="AE12" i="30" s="1"/>
  <c r="AF12" i="30" s="1"/>
  <c r="AG12" i="30" s="1"/>
  <c r="AH12" i="30" s="1"/>
  <c r="AI12" i="30" s="1"/>
  <c r="AJ12" i="30" s="1"/>
  <c r="W12" i="30"/>
  <c r="X12" i="30" s="1"/>
  <c r="Y12" i="30" s="1"/>
  <c r="Z12" i="30" s="1"/>
  <c r="AA12" i="30" s="1"/>
  <c r="AB12" i="30" s="1"/>
  <c r="V12" i="30"/>
  <c r="G12" i="30"/>
  <c r="H12" i="30" s="1"/>
  <c r="I12" i="30" s="1"/>
  <c r="J12" i="30" s="1"/>
  <c r="K12" i="30" s="1"/>
  <c r="L12" i="30" s="1"/>
  <c r="F12" i="30"/>
  <c r="AE11" i="30"/>
  <c r="AF11" i="30" s="1"/>
  <c r="AG11" i="30" s="1"/>
  <c r="AH11" i="30" s="1"/>
  <c r="AI11" i="30" s="1"/>
  <c r="AJ11" i="30" s="1"/>
  <c r="AD11" i="30"/>
  <c r="V11" i="30"/>
  <c r="W11" i="30" s="1"/>
  <c r="X11" i="30" s="1"/>
  <c r="Y11" i="30" s="1"/>
  <c r="Z11" i="30" s="1"/>
  <c r="AA11" i="30" s="1"/>
  <c r="AB11" i="30" s="1"/>
  <c r="J11" i="30"/>
  <c r="K11" i="30" s="1"/>
  <c r="L11" i="30" s="1"/>
  <c r="G11" i="30"/>
  <c r="H11" i="30" s="1"/>
  <c r="F11" i="30"/>
  <c r="AG10" i="30"/>
  <c r="AF10" i="30"/>
  <c r="AE10" i="30"/>
  <c r="AD10" i="30"/>
  <c r="X10" i="30"/>
  <c r="W10" i="30"/>
  <c r="V10" i="30"/>
  <c r="V74" i="30" s="1"/>
  <c r="F10" i="30"/>
  <c r="BB5" i="30"/>
  <c r="I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U75" i="29"/>
  <c r="Q75" i="29"/>
  <c r="P75" i="29"/>
  <c r="O75" i="29"/>
  <c r="N75" i="29"/>
  <c r="M75" i="29"/>
  <c r="H75" i="29"/>
  <c r="G75" i="29"/>
  <c r="F75" i="29"/>
  <c r="E75" i="29"/>
  <c r="AK74" i="29"/>
  <c r="AC74" i="29"/>
  <c r="U74" i="29"/>
  <c r="M74" i="29"/>
  <c r="E74" i="29"/>
  <c r="AQ73" i="29"/>
  <c r="AR73" i="29" s="1"/>
  <c r="AP73" i="29"/>
  <c r="AM73" i="29"/>
  <c r="AN73" i="29" s="1"/>
  <c r="AO73" i="29" s="1"/>
  <c r="AL73" i="29"/>
  <c r="AH73" i="29"/>
  <c r="AI73" i="29" s="1"/>
  <c r="AJ73" i="29" s="1"/>
  <c r="AG73" i="29"/>
  <c r="AD73" i="29"/>
  <c r="AE73" i="29" s="1"/>
  <c r="AF73" i="29" s="1"/>
  <c r="V73" i="29"/>
  <c r="W73" i="29" s="1"/>
  <c r="X73" i="29" s="1"/>
  <c r="Y73" i="29" s="1"/>
  <c r="Z73" i="29" s="1"/>
  <c r="AA73" i="29" s="1"/>
  <c r="AB73" i="29" s="1"/>
  <c r="S73" i="29"/>
  <c r="T73" i="29" s="1"/>
  <c r="P73" i="29"/>
  <c r="Q73" i="29" s="1"/>
  <c r="R73" i="29" s="1"/>
  <c r="O73" i="29"/>
  <c r="N73" i="29"/>
  <c r="K73" i="29"/>
  <c r="L73" i="29" s="1"/>
  <c r="J73" i="29"/>
  <c r="G73" i="29"/>
  <c r="H73" i="29" s="1"/>
  <c r="I73" i="29" s="1"/>
  <c r="F73" i="29"/>
  <c r="AM72" i="29"/>
  <c r="AN72" i="29" s="1"/>
  <c r="AO72" i="29" s="1"/>
  <c r="AP72" i="29" s="1"/>
  <c r="AQ72" i="29" s="1"/>
  <c r="AR72" i="29" s="1"/>
  <c r="AL72" i="29"/>
  <c r="AE72" i="29"/>
  <c r="AF72" i="29" s="1"/>
  <c r="AG72" i="29" s="1"/>
  <c r="AH72" i="29" s="1"/>
  <c r="AI72" i="29" s="1"/>
  <c r="AJ72" i="29" s="1"/>
  <c r="AD72" i="29"/>
  <c r="V72" i="29"/>
  <c r="W72" i="29" s="1"/>
  <c r="X72" i="29" s="1"/>
  <c r="Y72" i="29" s="1"/>
  <c r="Z72" i="29" s="1"/>
  <c r="AA72" i="29" s="1"/>
  <c r="AB72" i="29" s="1"/>
  <c r="N72" i="29"/>
  <c r="O72" i="29" s="1"/>
  <c r="P72" i="29" s="1"/>
  <c r="Q72" i="29" s="1"/>
  <c r="R72" i="29" s="1"/>
  <c r="S72" i="29" s="1"/>
  <c r="T72" i="29" s="1"/>
  <c r="G72" i="29"/>
  <c r="H72" i="29" s="1"/>
  <c r="I72" i="29" s="1"/>
  <c r="J72" i="29" s="1"/>
  <c r="K72" i="29" s="1"/>
  <c r="L72" i="29" s="1"/>
  <c r="F72" i="29"/>
  <c r="AO71" i="29"/>
  <c r="AP71" i="29" s="1"/>
  <c r="AQ71" i="29" s="1"/>
  <c r="AR71" i="29" s="1"/>
  <c r="AN71" i="29"/>
  <c r="AL71" i="29"/>
  <c r="AM71" i="29" s="1"/>
  <c r="AI71" i="29"/>
  <c r="AJ71" i="29" s="1"/>
  <c r="AF71" i="29"/>
  <c r="AG71" i="29" s="1"/>
  <c r="AH71" i="29" s="1"/>
  <c r="AE71" i="29"/>
  <c r="AD71" i="29"/>
  <c r="AA71" i="29"/>
  <c r="AB71" i="29" s="1"/>
  <c r="V71" i="29"/>
  <c r="W71" i="29" s="1"/>
  <c r="X71" i="29" s="1"/>
  <c r="Y71" i="29" s="1"/>
  <c r="Z71" i="29" s="1"/>
  <c r="R71" i="29"/>
  <c r="S71" i="29" s="1"/>
  <c r="T71" i="29" s="1"/>
  <c r="Q71" i="29"/>
  <c r="N71" i="29"/>
  <c r="O71" i="29" s="1"/>
  <c r="P71" i="29" s="1"/>
  <c r="I71" i="29"/>
  <c r="J71" i="29" s="1"/>
  <c r="K71" i="29" s="1"/>
  <c r="L71" i="29" s="1"/>
  <c r="H71" i="29"/>
  <c r="F71" i="29"/>
  <c r="G71" i="29" s="1"/>
  <c r="AL70" i="29"/>
  <c r="AM70" i="29" s="1"/>
  <c r="AN70" i="29" s="1"/>
  <c r="AO70" i="29" s="1"/>
  <c r="AP70" i="29" s="1"/>
  <c r="AQ70" i="29" s="1"/>
  <c r="AR70" i="29" s="1"/>
  <c r="AD70" i="29"/>
  <c r="AE70" i="29" s="1"/>
  <c r="AF70" i="29" s="1"/>
  <c r="AG70" i="29" s="1"/>
  <c r="AH70" i="29" s="1"/>
  <c r="AI70" i="29" s="1"/>
  <c r="AJ70" i="29" s="1"/>
  <c r="W70" i="29"/>
  <c r="X70" i="29" s="1"/>
  <c r="Y70" i="29" s="1"/>
  <c r="Z70" i="29" s="1"/>
  <c r="AA70" i="29" s="1"/>
  <c r="AB70" i="29" s="1"/>
  <c r="V70" i="29"/>
  <c r="N70" i="29"/>
  <c r="O70" i="29" s="1"/>
  <c r="P70" i="29" s="1"/>
  <c r="Q70" i="29" s="1"/>
  <c r="R70" i="29" s="1"/>
  <c r="S70" i="29" s="1"/>
  <c r="T70" i="29" s="1"/>
  <c r="F70" i="29"/>
  <c r="AM69" i="29"/>
  <c r="AN69" i="29" s="1"/>
  <c r="AO69" i="29" s="1"/>
  <c r="AP69" i="29" s="1"/>
  <c r="AQ69" i="29" s="1"/>
  <c r="AR69" i="29" s="1"/>
  <c r="AL69" i="29"/>
  <c r="AD69" i="29"/>
  <c r="AE69" i="29" s="1"/>
  <c r="AF69" i="29" s="1"/>
  <c r="AG69" i="29" s="1"/>
  <c r="AH69" i="29" s="1"/>
  <c r="AI69" i="29" s="1"/>
  <c r="AJ69" i="29" s="1"/>
  <c r="V69" i="29"/>
  <c r="W69" i="29" s="1"/>
  <c r="X69" i="29" s="1"/>
  <c r="Y69" i="29" s="1"/>
  <c r="Z69" i="29" s="1"/>
  <c r="AA69" i="29" s="1"/>
  <c r="AB69" i="29" s="1"/>
  <c r="O69" i="29"/>
  <c r="P69" i="29" s="1"/>
  <c r="Q69" i="29" s="1"/>
  <c r="R69" i="29" s="1"/>
  <c r="S69" i="29" s="1"/>
  <c r="T69" i="29" s="1"/>
  <c r="N69" i="29"/>
  <c r="G69" i="29"/>
  <c r="H69" i="29" s="1"/>
  <c r="I69" i="29" s="1"/>
  <c r="J69" i="29" s="1"/>
  <c r="K69" i="29" s="1"/>
  <c r="L69" i="29" s="1"/>
  <c r="F69" i="29"/>
  <c r="AQ68" i="29"/>
  <c r="AR68" i="29" s="1"/>
  <c r="AN68" i="29"/>
  <c r="AO68" i="29" s="1"/>
  <c r="AP68" i="29" s="1"/>
  <c r="AM68" i="29"/>
  <c r="AL68" i="29"/>
  <c r="AD68" i="29"/>
  <c r="AE68" i="29" s="1"/>
  <c r="AF68" i="29" s="1"/>
  <c r="AG68" i="29" s="1"/>
  <c r="AH68" i="29" s="1"/>
  <c r="AI68" i="29" s="1"/>
  <c r="AJ68" i="29" s="1"/>
  <c r="Z68" i="29"/>
  <c r="AA68" i="29" s="1"/>
  <c r="AB68" i="29" s="1"/>
  <c r="Y68" i="29"/>
  <c r="V68" i="29"/>
  <c r="W68" i="29" s="1"/>
  <c r="X68" i="29" s="1"/>
  <c r="N68" i="29"/>
  <c r="O68" i="29" s="1"/>
  <c r="P68" i="29" s="1"/>
  <c r="Q68" i="29" s="1"/>
  <c r="R68" i="29" s="1"/>
  <c r="S68" i="29" s="1"/>
  <c r="T68" i="29" s="1"/>
  <c r="K68" i="29"/>
  <c r="L68" i="29" s="1"/>
  <c r="H68" i="29"/>
  <c r="I68" i="29" s="1"/>
  <c r="J68" i="29" s="1"/>
  <c r="G68" i="29"/>
  <c r="F68" i="29"/>
  <c r="AL67" i="29"/>
  <c r="AM67" i="29" s="1"/>
  <c r="AN67" i="29" s="1"/>
  <c r="AO67" i="29" s="1"/>
  <c r="AP67" i="29" s="1"/>
  <c r="AQ67" i="29" s="1"/>
  <c r="AR67" i="29" s="1"/>
  <c r="AE67" i="29"/>
  <c r="AF67" i="29" s="1"/>
  <c r="AG67" i="29" s="1"/>
  <c r="AH67" i="29" s="1"/>
  <c r="AI67" i="29" s="1"/>
  <c r="AJ67" i="29" s="1"/>
  <c r="AD67" i="29"/>
  <c r="V67" i="29"/>
  <c r="W67" i="29" s="1"/>
  <c r="X67" i="29" s="1"/>
  <c r="Y67" i="29" s="1"/>
  <c r="Z67" i="29" s="1"/>
  <c r="AA67" i="29" s="1"/>
  <c r="AB67" i="29" s="1"/>
  <c r="N67" i="29"/>
  <c r="O67" i="29" s="1"/>
  <c r="P67" i="29" s="1"/>
  <c r="Q67" i="29" s="1"/>
  <c r="R67" i="29" s="1"/>
  <c r="S67" i="29" s="1"/>
  <c r="T67" i="29" s="1"/>
  <c r="F67" i="29"/>
  <c r="G67" i="29" s="1"/>
  <c r="AO66" i="29"/>
  <c r="AP66" i="29" s="1"/>
  <c r="AQ66" i="29" s="1"/>
  <c r="AR66" i="29" s="1"/>
  <c r="AL66" i="29"/>
  <c r="AM66" i="29" s="1"/>
  <c r="AN66" i="29" s="1"/>
  <c r="AD66" i="29"/>
  <c r="AE66" i="29" s="1"/>
  <c r="AF66" i="29" s="1"/>
  <c r="AG66" i="29" s="1"/>
  <c r="AH66" i="29" s="1"/>
  <c r="AI66" i="29" s="1"/>
  <c r="AJ66" i="29" s="1"/>
  <c r="W66" i="29"/>
  <c r="X66" i="29" s="1"/>
  <c r="Y66" i="29" s="1"/>
  <c r="Z66" i="29" s="1"/>
  <c r="AA66" i="29" s="1"/>
  <c r="AB66" i="29" s="1"/>
  <c r="V66" i="29"/>
  <c r="R66" i="29"/>
  <c r="S66" i="29" s="1"/>
  <c r="T66" i="29" s="1"/>
  <c r="N66" i="29"/>
  <c r="O66" i="29" s="1"/>
  <c r="P66" i="29" s="1"/>
  <c r="Q66" i="29" s="1"/>
  <c r="I66" i="29"/>
  <c r="J66" i="29" s="1"/>
  <c r="K66" i="29" s="1"/>
  <c r="L66" i="29" s="1"/>
  <c r="H66" i="29"/>
  <c r="G66" i="29"/>
  <c r="F66" i="29"/>
  <c r="AP65" i="29"/>
  <c r="AQ65" i="29" s="1"/>
  <c r="AR65" i="29" s="1"/>
  <c r="AL65" i="29"/>
  <c r="AM65" i="29" s="1"/>
  <c r="AN65" i="29" s="1"/>
  <c r="AO65" i="29" s="1"/>
  <c r="AG65" i="29"/>
  <c r="AH65" i="29" s="1"/>
  <c r="AI65" i="29" s="1"/>
  <c r="AJ65" i="29" s="1"/>
  <c r="AF65" i="29"/>
  <c r="AE65" i="29"/>
  <c r="AD65" i="29"/>
  <c r="AB65" i="29"/>
  <c r="X65" i="29"/>
  <c r="Y65" i="29" s="1"/>
  <c r="Z65" i="29" s="1"/>
  <c r="AA65" i="29" s="1"/>
  <c r="W65" i="29"/>
  <c r="V65" i="29"/>
  <c r="N65" i="29"/>
  <c r="O65" i="29" s="1"/>
  <c r="P65" i="29" s="1"/>
  <c r="Q65" i="29" s="1"/>
  <c r="R65" i="29" s="1"/>
  <c r="S65" i="29" s="1"/>
  <c r="T65" i="29" s="1"/>
  <c r="F65" i="29"/>
  <c r="AM64" i="29"/>
  <c r="AN64" i="29" s="1"/>
  <c r="AO64" i="29" s="1"/>
  <c r="AP64" i="29" s="1"/>
  <c r="AQ64" i="29" s="1"/>
  <c r="AR64" i="29" s="1"/>
  <c r="AL64" i="29"/>
  <c r="AH64" i="29"/>
  <c r="AI64" i="29" s="1"/>
  <c r="AJ64" i="29" s="1"/>
  <c r="AD64" i="29"/>
  <c r="AE64" i="29" s="1"/>
  <c r="AF64" i="29" s="1"/>
  <c r="AG64" i="29" s="1"/>
  <c r="Y64" i="29"/>
  <c r="Z64" i="29" s="1"/>
  <c r="AA64" i="29" s="1"/>
  <c r="AB64" i="29" s="1"/>
  <c r="X64" i="29"/>
  <c r="W64" i="29"/>
  <c r="V64" i="29"/>
  <c r="T64" i="29"/>
  <c r="P64" i="29"/>
  <c r="Q64" i="29" s="1"/>
  <c r="R64" i="29" s="1"/>
  <c r="S64" i="29" s="1"/>
  <c r="O64" i="29"/>
  <c r="N64" i="29"/>
  <c r="K64" i="29"/>
  <c r="L64" i="29" s="1"/>
  <c r="G64" i="29"/>
  <c r="H64" i="29" s="1"/>
  <c r="I64" i="29" s="1"/>
  <c r="J64" i="29" s="1"/>
  <c r="F64" i="29"/>
  <c r="AR63" i="29"/>
  <c r="AN63" i="29"/>
  <c r="AO63" i="29" s="1"/>
  <c r="AP63" i="29" s="1"/>
  <c r="AQ63" i="29" s="1"/>
  <c r="AM63" i="29"/>
  <c r="AL63" i="29"/>
  <c r="AI63" i="29"/>
  <c r="AJ63" i="29" s="1"/>
  <c r="AE63" i="29"/>
  <c r="AF63" i="29" s="1"/>
  <c r="AG63" i="29" s="1"/>
  <c r="AH63" i="29" s="1"/>
  <c r="AD63" i="29"/>
  <c r="V63" i="29"/>
  <c r="W63" i="29" s="1"/>
  <c r="X63" i="29" s="1"/>
  <c r="Y63" i="29" s="1"/>
  <c r="Z63" i="29" s="1"/>
  <c r="AA63" i="29" s="1"/>
  <c r="AB63" i="29" s="1"/>
  <c r="Q63" i="29"/>
  <c r="R63" i="29" s="1"/>
  <c r="S63" i="29" s="1"/>
  <c r="T63" i="29" s="1"/>
  <c r="P63" i="29"/>
  <c r="O63" i="29"/>
  <c r="N63" i="29"/>
  <c r="H63" i="29"/>
  <c r="I63" i="29" s="1"/>
  <c r="J63" i="29" s="1"/>
  <c r="K63" i="29" s="1"/>
  <c r="L63" i="29" s="1"/>
  <c r="G63" i="29"/>
  <c r="F63" i="29"/>
  <c r="AO62" i="29"/>
  <c r="AP62" i="29" s="1"/>
  <c r="AQ62" i="29" s="1"/>
  <c r="AR62" i="29" s="1"/>
  <c r="AN62" i="29"/>
  <c r="AM62" i="29"/>
  <c r="AL62" i="29"/>
  <c r="AD62" i="29"/>
  <c r="AE62" i="29" s="1"/>
  <c r="AF62" i="29" s="1"/>
  <c r="AG62" i="29" s="1"/>
  <c r="AH62" i="29" s="1"/>
  <c r="AI62" i="29" s="1"/>
  <c r="AJ62" i="29" s="1"/>
  <c r="AA62" i="29"/>
  <c r="AB62" i="29" s="1"/>
  <c r="W62" i="29"/>
  <c r="X62" i="29" s="1"/>
  <c r="Y62" i="29" s="1"/>
  <c r="Z62" i="29" s="1"/>
  <c r="V62" i="29"/>
  <c r="N62" i="29"/>
  <c r="O62" i="29" s="1"/>
  <c r="P62" i="29" s="1"/>
  <c r="Q62" i="29" s="1"/>
  <c r="R62" i="29" s="1"/>
  <c r="S62" i="29" s="1"/>
  <c r="T62" i="29" s="1"/>
  <c r="H62" i="29"/>
  <c r="I62" i="29" s="1"/>
  <c r="J62" i="29" s="1"/>
  <c r="K62" i="29" s="1"/>
  <c r="L62" i="29" s="1"/>
  <c r="G62" i="29"/>
  <c r="F62" i="29"/>
  <c r="AL61" i="29"/>
  <c r="AM61" i="29" s="1"/>
  <c r="AN61" i="29" s="1"/>
  <c r="AO61" i="29" s="1"/>
  <c r="AP61" i="29" s="1"/>
  <c r="AQ61" i="29" s="1"/>
  <c r="AR61" i="29" s="1"/>
  <c r="AG61" i="29"/>
  <c r="AH61" i="29" s="1"/>
  <c r="AI61" i="29" s="1"/>
  <c r="AJ61" i="29" s="1"/>
  <c r="AF61" i="29"/>
  <c r="AE61" i="29"/>
  <c r="AD61" i="29"/>
  <c r="X61" i="29"/>
  <c r="Y61" i="29" s="1"/>
  <c r="Z61" i="29" s="1"/>
  <c r="AA61" i="29" s="1"/>
  <c r="AB61" i="29" s="1"/>
  <c r="W61" i="29"/>
  <c r="V61" i="29"/>
  <c r="O61" i="29"/>
  <c r="P61" i="29" s="1"/>
  <c r="Q61" i="29" s="1"/>
  <c r="R61" i="29" s="1"/>
  <c r="S61" i="29" s="1"/>
  <c r="T61" i="29" s="1"/>
  <c r="N61" i="29"/>
  <c r="F61" i="29"/>
  <c r="AQ60" i="29"/>
  <c r="AR60" i="29" s="1"/>
  <c r="AM60" i="29"/>
  <c r="AN60" i="29" s="1"/>
  <c r="AO60" i="29" s="1"/>
  <c r="AP60" i="29" s="1"/>
  <c r="AL60" i="29"/>
  <c r="AD60" i="29"/>
  <c r="AE60" i="29" s="1"/>
  <c r="AF60" i="29" s="1"/>
  <c r="AG60" i="29" s="1"/>
  <c r="AH60" i="29" s="1"/>
  <c r="AI60" i="29" s="1"/>
  <c r="AJ60" i="29" s="1"/>
  <c r="Y60" i="29"/>
  <c r="Z60" i="29" s="1"/>
  <c r="AA60" i="29" s="1"/>
  <c r="AB60" i="29" s="1"/>
  <c r="X60" i="29"/>
  <c r="W60" i="29"/>
  <c r="V60" i="29"/>
  <c r="P60" i="29"/>
  <c r="Q60" i="29" s="1"/>
  <c r="R60" i="29" s="1"/>
  <c r="S60" i="29" s="1"/>
  <c r="T60" i="29" s="1"/>
  <c r="O60" i="29"/>
  <c r="N60" i="29"/>
  <c r="G60" i="29"/>
  <c r="H60" i="29" s="1"/>
  <c r="I60" i="29" s="1"/>
  <c r="J60" i="29" s="1"/>
  <c r="K60" i="29" s="1"/>
  <c r="L60" i="29" s="1"/>
  <c r="F60" i="29"/>
  <c r="AN59" i="29"/>
  <c r="AO59" i="29" s="1"/>
  <c r="AP59" i="29" s="1"/>
  <c r="AQ59" i="29" s="1"/>
  <c r="AR59" i="29" s="1"/>
  <c r="AM59" i="29"/>
  <c r="AL59" i="29"/>
  <c r="AE59" i="29"/>
  <c r="AF59" i="29" s="1"/>
  <c r="AG59" i="29" s="1"/>
  <c r="AH59" i="29" s="1"/>
  <c r="AI59" i="29" s="1"/>
  <c r="AJ59" i="29" s="1"/>
  <c r="AD59" i="29"/>
  <c r="Z59" i="29"/>
  <c r="AA59" i="29" s="1"/>
  <c r="AB59" i="29" s="1"/>
  <c r="V59" i="29"/>
  <c r="W59" i="29" s="1"/>
  <c r="X59" i="29" s="1"/>
  <c r="Y59" i="29" s="1"/>
  <c r="Q59" i="29"/>
  <c r="R59" i="29" s="1"/>
  <c r="S59" i="29" s="1"/>
  <c r="T59" i="29" s="1"/>
  <c r="P59" i="29"/>
  <c r="O59" i="29"/>
  <c r="N59" i="29"/>
  <c r="L59" i="29"/>
  <c r="H59" i="29"/>
  <c r="I59" i="29" s="1"/>
  <c r="J59" i="29" s="1"/>
  <c r="K59" i="29" s="1"/>
  <c r="G59" i="29"/>
  <c r="F59" i="29"/>
  <c r="AO58" i="29"/>
  <c r="AP58" i="29" s="1"/>
  <c r="AQ58" i="29" s="1"/>
  <c r="AR58" i="29" s="1"/>
  <c r="AN58" i="29"/>
  <c r="AM58" i="29"/>
  <c r="AL58" i="29"/>
  <c r="AF58" i="29"/>
  <c r="AG58" i="29" s="1"/>
  <c r="AH58" i="29" s="1"/>
  <c r="AI58" i="29" s="1"/>
  <c r="AJ58" i="29" s="1"/>
  <c r="AE58" i="29"/>
  <c r="AD58" i="29"/>
  <c r="W58" i="29"/>
  <c r="X58" i="29" s="1"/>
  <c r="Y58" i="29" s="1"/>
  <c r="Z58" i="29" s="1"/>
  <c r="AA58" i="29" s="1"/>
  <c r="AB58" i="29" s="1"/>
  <c r="V58" i="29"/>
  <c r="R58" i="29"/>
  <c r="S58" i="29" s="1"/>
  <c r="T58" i="29" s="1"/>
  <c r="N58" i="29"/>
  <c r="O58" i="29" s="1"/>
  <c r="P58" i="29" s="1"/>
  <c r="Q58" i="29" s="1"/>
  <c r="I58" i="29"/>
  <c r="J58" i="29" s="1"/>
  <c r="K58" i="29" s="1"/>
  <c r="L58" i="29" s="1"/>
  <c r="H58" i="29"/>
  <c r="G58" i="29"/>
  <c r="F58" i="29"/>
  <c r="AP57" i="29"/>
  <c r="AQ57" i="29" s="1"/>
  <c r="AR57" i="29" s="1"/>
  <c r="AL57" i="29"/>
  <c r="AM57" i="29" s="1"/>
  <c r="AN57" i="29" s="1"/>
  <c r="AO57" i="29" s="1"/>
  <c r="AG57" i="29"/>
  <c r="AH57" i="29" s="1"/>
  <c r="AI57" i="29" s="1"/>
  <c r="AJ57" i="29" s="1"/>
  <c r="AF57" i="29"/>
  <c r="AE57" i="29"/>
  <c r="AD57" i="29"/>
  <c r="AB57" i="29"/>
  <c r="W57" i="29"/>
  <c r="X57" i="29" s="1"/>
  <c r="Y57" i="29" s="1"/>
  <c r="Z57" i="29" s="1"/>
  <c r="AA57" i="29" s="1"/>
  <c r="V57" i="29"/>
  <c r="O57" i="29"/>
  <c r="P57" i="29" s="1"/>
  <c r="Q57" i="29" s="1"/>
  <c r="R57" i="29" s="1"/>
  <c r="S57" i="29" s="1"/>
  <c r="T57" i="29" s="1"/>
  <c r="N57" i="29"/>
  <c r="F57" i="29"/>
  <c r="AM56" i="29"/>
  <c r="AN56" i="29" s="1"/>
  <c r="AO56" i="29" s="1"/>
  <c r="AP56" i="29" s="1"/>
  <c r="AQ56" i="29" s="1"/>
  <c r="AR56" i="29" s="1"/>
  <c r="AL56" i="29"/>
  <c r="AD56" i="29"/>
  <c r="AE56" i="29" s="1"/>
  <c r="AF56" i="29" s="1"/>
  <c r="AG56" i="29" s="1"/>
  <c r="AH56" i="29" s="1"/>
  <c r="AI56" i="29" s="1"/>
  <c r="AJ56" i="29" s="1"/>
  <c r="X56" i="29"/>
  <c r="Y56" i="29" s="1"/>
  <c r="Z56" i="29" s="1"/>
  <c r="AA56" i="29" s="1"/>
  <c r="AB56" i="29" s="1"/>
  <c r="W56" i="29"/>
  <c r="V56" i="29"/>
  <c r="S56" i="29"/>
  <c r="T56" i="29" s="1"/>
  <c r="N56" i="29"/>
  <c r="O56" i="29" s="1"/>
  <c r="P56" i="29" s="1"/>
  <c r="Q56" i="29" s="1"/>
  <c r="R56" i="29" s="1"/>
  <c r="G56" i="29"/>
  <c r="H56" i="29" s="1"/>
  <c r="I56" i="29" s="1"/>
  <c r="J56" i="29" s="1"/>
  <c r="K56" i="29" s="1"/>
  <c r="L56" i="29" s="1"/>
  <c r="F56" i="29"/>
  <c r="AR55" i="29"/>
  <c r="AN55" i="29"/>
  <c r="AO55" i="29" s="1"/>
  <c r="AP55" i="29" s="1"/>
  <c r="AQ55" i="29" s="1"/>
  <c r="AL55" i="29"/>
  <c r="AM55" i="29" s="1"/>
  <c r="AE55" i="29"/>
  <c r="AF55" i="29" s="1"/>
  <c r="AG55" i="29" s="1"/>
  <c r="AH55" i="29" s="1"/>
  <c r="AI55" i="29" s="1"/>
  <c r="AJ55" i="29" s="1"/>
  <c r="AD55" i="29"/>
  <c r="V55" i="29"/>
  <c r="W55" i="29" s="1"/>
  <c r="X55" i="29" s="1"/>
  <c r="Y55" i="29" s="1"/>
  <c r="Z55" i="29" s="1"/>
  <c r="AA55" i="29" s="1"/>
  <c r="AB55" i="29" s="1"/>
  <c r="O55" i="29"/>
  <c r="P55" i="29" s="1"/>
  <c r="Q55" i="29" s="1"/>
  <c r="R55" i="29" s="1"/>
  <c r="S55" i="29" s="1"/>
  <c r="T55" i="29" s="1"/>
  <c r="N55" i="29"/>
  <c r="H55" i="29"/>
  <c r="I55" i="29" s="1"/>
  <c r="J55" i="29" s="1"/>
  <c r="K55" i="29" s="1"/>
  <c r="L55" i="29" s="1"/>
  <c r="F55" i="29"/>
  <c r="G55" i="29" s="1"/>
  <c r="AO54" i="29"/>
  <c r="AP54" i="29" s="1"/>
  <c r="AQ54" i="29" s="1"/>
  <c r="AR54" i="29" s="1"/>
  <c r="AM54" i="29"/>
  <c r="AN54" i="29" s="1"/>
  <c r="AL54" i="29"/>
  <c r="AF54" i="29"/>
  <c r="AG54" i="29" s="1"/>
  <c r="AH54" i="29" s="1"/>
  <c r="AI54" i="29" s="1"/>
  <c r="AJ54" i="29" s="1"/>
  <c r="AD54" i="29"/>
  <c r="AE54" i="29" s="1"/>
  <c r="V54" i="29"/>
  <c r="W54" i="29" s="1"/>
  <c r="X54" i="29" s="1"/>
  <c r="Y54" i="29" s="1"/>
  <c r="Z54" i="29" s="1"/>
  <c r="AA54" i="29" s="1"/>
  <c r="AB54" i="29" s="1"/>
  <c r="N54" i="29"/>
  <c r="O54" i="29" s="1"/>
  <c r="P54" i="29" s="1"/>
  <c r="Q54" i="29" s="1"/>
  <c r="R54" i="29" s="1"/>
  <c r="S54" i="29" s="1"/>
  <c r="T54" i="29" s="1"/>
  <c r="G54" i="29"/>
  <c r="F54" i="29"/>
  <c r="AL53" i="29"/>
  <c r="AM53" i="29" s="1"/>
  <c r="AN53" i="29" s="1"/>
  <c r="AO53" i="29" s="1"/>
  <c r="AP53" i="29" s="1"/>
  <c r="AQ53" i="29" s="1"/>
  <c r="AR53" i="29" s="1"/>
  <c r="AG53" i="29"/>
  <c r="AH53" i="29" s="1"/>
  <c r="AI53" i="29" s="1"/>
  <c r="AJ53" i="29" s="1"/>
  <c r="AE53" i="29"/>
  <c r="AF53" i="29" s="1"/>
  <c r="AD53" i="29"/>
  <c r="AB53" i="29"/>
  <c r="X53" i="29"/>
  <c r="Y53" i="29" s="1"/>
  <c r="Z53" i="29" s="1"/>
  <c r="AA53" i="29" s="1"/>
  <c r="V53" i="29"/>
  <c r="W53" i="29" s="1"/>
  <c r="O53" i="29"/>
  <c r="P53" i="29" s="1"/>
  <c r="Q53" i="29" s="1"/>
  <c r="R53" i="29" s="1"/>
  <c r="S53" i="29" s="1"/>
  <c r="T53" i="29" s="1"/>
  <c r="N53" i="29"/>
  <c r="F53" i="29"/>
  <c r="AM52" i="29"/>
  <c r="AN52" i="29" s="1"/>
  <c r="AO52" i="29" s="1"/>
  <c r="AP52" i="29" s="1"/>
  <c r="AQ52" i="29" s="1"/>
  <c r="AR52" i="29" s="1"/>
  <c r="AL52" i="29"/>
  <c r="AD52" i="29"/>
  <c r="AE52" i="29" s="1"/>
  <c r="AF52" i="29" s="1"/>
  <c r="AG52" i="29" s="1"/>
  <c r="AH52" i="29" s="1"/>
  <c r="AI52" i="29" s="1"/>
  <c r="AJ52" i="29" s="1"/>
  <c r="Y52" i="29"/>
  <c r="Z52" i="29" s="1"/>
  <c r="AA52" i="29" s="1"/>
  <c r="AB52" i="29" s="1"/>
  <c r="W52" i="29"/>
  <c r="X52" i="29" s="1"/>
  <c r="V52" i="29"/>
  <c r="N52" i="29"/>
  <c r="O52" i="29" s="1"/>
  <c r="P52" i="29" s="1"/>
  <c r="Q52" i="29" s="1"/>
  <c r="R52" i="29" s="1"/>
  <c r="S52" i="29" s="1"/>
  <c r="T52" i="29" s="1"/>
  <c r="G52" i="29"/>
  <c r="H52" i="29" s="1"/>
  <c r="I52" i="29" s="1"/>
  <c r="J52" i="29" s="1"/>
  <c r="K52" i="29" s="1"/>
  <c r="L52" i="29" s="1"/>
  <c r="F52" i="29"/>
  <c r="AR51" i="29"/>
  <c r="AL51" i="29"/>
  <c r="AM51" i="29" s="1"/>
  <c r="AN51" i="29" s="1"/>
  <c r="AO51" i="29" s="1"/>
  <c r="AP51" i="29" s="1"/>
  <c r="AQ51" i="29" s="1"/>
  <c r="AE51" i="29"/>
  <c r="AF51" i="29" s="1"/>
  <c r="AG51" i="29" s="1"/>
  <c r="AH51" i="29" s="1"/>
  <c r="AI51" i="29" s="1"/>
  <c r="AJ51" i="29" s="1"/>
  <c r="AD51" i="29"/>
  <c r="V51" i="29"/>
  <c r="W51" i="29" s="1"/>
  <c r="X51" i="29" s="1"/>
  <c r="Y51" i="29" s="1"/>
  <c r="Z51" i="29" s="1"/>
  <c r="AA51" i="29" s="1"/>
  <c r="AB51" i="29" s="1"/>
  <c r="Q51" i="29"/>
  <c r="R51" i="29" s="1"/>
  <c r="S51" i="29" s="1"/>
  <c r="T51" i="29" s="1"/>
  <c r="O51" i="29"/>
  <c r="P51" i="29" s="1"/>
  <c r="N51" i="29"/>
  <c r="H51" i="29"/>
  <c r="F51" i="29"/>
  <c r="G51" i="29" s="1"/>
  <c r="AM50" i="29"/>
  <c r="AN50" i="29" s="1"/>
  <c r="AO50" i="29" s="1"/>
  <c r="AP50" i="29" s="1"/>
  <c r="AQ50" i="29" s="1"/>
  <c r="AR50" i="29" s="1"/>
  <c r="AL50" i="29"/>
  <c r="AD50" i="29"/>
  <c r="AE50" i="29" s="1"/>
  <c r="AF50" i="29" s="1"/>
  <c r="AG50" i="29" s="1"/>
  <c r="AH50" i="29" s="1"/>
  <c r="AI50" i="29" s="1"/>
  <c r="AJ50" i="29" s="1"/>
  <c r="W50" i="29"/>
  <c r="X50" i="29" s="1"/>
  <c r="Y50" i="29" s="1"/>
  <c r="Z50" i="29" s="1"/>
  <c r="AA50" i="29" s="1"/>
  <c r="AB50" i="29" s="1"/>
  <c r="V50" i="29"/>
  <c r="N50" i="29"/>
  <c r="O50" i="29" s="1"/>
  <c r="P50" i="29" s="1"/>
  <c r="Q50" i="29" s="1"/>
  <c r="R50" i="29" s="1"/>
  <c r="S50" i="29" s="1"/>
  <c r="T50" i="29" s="1"/>
  <c r="I50" i="29"/>
  <c r="J50" i="29" s="1"/>
  <c r="K50" i="29" s="1"/>
  <c r="L50" i="29" s="1"/>
  <c r="H50" i="29"/>
  <c r="G50" i="29"/>
  <c r="F50" i="29"/>
  <c r="AP49" i="29"/>
  <c r="AQ49" i="29" s="1"/>
  <c r="AR49" i="29" s="1"/>
  <c r="AL49" i="29"/>
  <c r="AM49" i="29" s="1"/>
  <c r="AN49" i="29" s="1"/>
  <c r="AO49" i="29" s="1"/>
  <c r="AG49" i="29"/>
  <c r="AH49" i="29" s="1"/>
  <c r="AI49" i="29" s="1"/>
  <c r="AJ49" i="29" s="1"/>
  <c r="AF49" i="29"/>
  <c r="AE49" i="29"/>
  <c r="AD49" i="29"/>
  <c r="X49" i="29"/>
  <c r="Y49" i="29" s="1"/>
  <c r="Z49" i="29" s="1"/>
  <c r="AA49" i="29" s="1"/>
  <c r="AB49" i="29" s="1"/>
  <c r="W49" i="29"/>
  <c r="V49" i="29"/>
  <c r="O49" i="29"/>
  <c r="P49" i="29" s="1"/>
  <c r="Q49" i="29" s="1"/>
  <c r="R49" i="29" s="1"/>
  <c r="S49" i="29" s="1"/>
  <c r="T49" i="29" s="1"/>
  <c r="N49" i="29"/>
  <c r="F49" i="29"/>
  <c r="AM48" i="29"/>
  <c r="AN48" i="29" s="1"/>
  <c r="AO48" i="29" s="1"/>
  <c r="AP48" i="29" s="1"/>
  <c r="AQ48" i="29" s="1"/>
  <c r="AR48" i="29" s="1"/>
  <c r="AL48" i="29"/>
  <c r="AD48" i="29"/>
  <c r="AE48" i="29" s="1"/>
  <c r="AF48" i="29" s="1"/>
  <c r="AG48" i="29" s="1"/>
  <c r="AH48" i="29" s="1"/>
  <c r="AI48" i="29" s="1"/>
  <c r="AJ48" i="29" s="1"/>
  <c r="Y48" i="29"/>
  <c r="Z48" i="29" s="1"/>
  <c r="AA48" i="29" s="1"/>
  <c r="AB48" i="29" s="1"/>
  <c r="X48" i="29"/>
  <c r="W48" i="29"/>
  <c r="V48" i="29"/>
  <c r="T48" i="29"/>
  <c r="P48" i="29"/>
  <c r="Q48" i="29" s="1"/>
  <c r="R48" i="29" s="1"/>
  <c r="S48" i="29" s="1"/>
  <c r="O48" i="29"/>
  <c r="N48" i="29"/>
  <c r="K48" i="29"/>
  <c r="L48" i="29" s="1"/>
  <c r="G48" i="29"/>
  <c r="H48" i="29" s="1"/>
  <c r="I48" i="29" s="1"/>
  <c r="J48" i="29" s="1"/>
  <c r="F48" i="29"/>
  <c r="AR47" i="29"/>
  <c r="AN47" i="29"/>
  <c r="AO47" i="29" s="1"/>
  <c r="AP47" i="29" s="1"/>
  <c r="AQ47" i="29" s="1"/>
  <c r="AM47" i="29"/>
  <c r="AL47" i="29"/>
  <c r="AI47" i="29"/>
  <c r="AJ47" i="29" s="1"/>
  <c r="AE47" i="29"/>
  <c r="AF47" i="29" s="1"/>
  <c r="AG47" i="29" s="1"/>
  <c r="AH47" i="29" s="1"/>
  <c r="AD47" i="29"/>
  <c r="V47" i="29"/>
  <c r="W47" i="29" s="1"/>
  <c r="X47" i="29" s="1"/>
  <c r="Y47" i="29" s="1"/>
  <c r="Z47" i="29" s="1"/>
  <c r="AA47" i="29" s="1"/>
  <c r="AB47" i="29" s="1"/>
  <c r="Q47" i="29"/>
  <c r="R47" i="29" s="1"/>
  <c r="S47" i="29" s="1"/>
  <c r="T47" i="29" s="1"/>
  <c r="P47" i="29"/>
  <c r="O47" i="29"/>
  <c r="N47" i="29"/>
  <c r="H47" i="29"/>
  <c r="I47" i="29" s="1"/>
  <c r="J47" i="29" s="1"/>
  <c r="K47" i="29" s="1"/>
  <c r="L47" i="29" s="1"/>
  <c r="BA47" i="29" s="1"/>
  <c r="BB47" i="29" s="1"/>
  <c r="G47" i="29"/>
  <c r="F47" i="29"/>
  <c r="AO46" i="29"/>
  <c r="AP46" i="29" s="1"/>
  <c r="AQ46" i="29" s="1"/>
  <c r="AR46" i="29" s="1"/>
  <c r="AN46" i="29"/>
  <c r="AM46" i="29"/>
  <c r="AL46" i="29"/>
  <c r="AJ46" i="29"/>
  <c r="AF46" i="29"/>
  <c r="AG46" i="29" s="1"/>
  <c r="AH46" i="29" s="1"/>
  <c r="AI46" i="29" s="1"/>
  <c r="AE46" i="29"/>
  <c r="AD46" i="29"/>
  <c r="AA46" i="29"/>
  <c r="AB46" i="29" s="1"/>
  <c r="W46" i="29"/>
  <c r="X46" i="29" s="1"/>
  <c r="Y46" i="29" s="1"/>
  <c r="Z46" i="29" s="1"/>
  <c r="V46" i="29"/>
  <c r="N46" i="29"/>
  <c r="O46" i="29" s="1"/>
  <c r="P46" i="29" s="1"/>
  <c r="Q46" i="29" s="1"/>
  <c r="R46" i="29" s="1"/>
  <c r="S46" i="29" s="1"/>
  <c r="T46" i="29" s="1"/>
  <c r="I46" i="29"/>
  <c r="J46" i="29" s="1"/>
  <c r="K46" i="29" s="1"/>
  <c r="L46" i="29" s="1"/>
  <c r="H46" i="29"/>
  <c r="G46" i="29"/>
  <c r="F46" i="29"/>
  <c r="AL45" i="29"/>
  <c r="AM45" i="29" s="1"/>
  <c r="AN45" i="29" s="1"/>
  <c r="AO45" i="29" s="1"/>
  <c r="AP45" i="29" s="1"/>
  <c r="AQ45" i="29" s="1"/>
  <c r="AR45" i="29" s="1"/>
  <c r="AG45" i="29"/>
  <c r="AH45" i="29" s="1"/>
  <c r="AI45" i="29" s="1"/>
  <c r="AJ45" i="29" s="1"/>
  <c r="AF45" i="29"/>
  <c r="AE45" i="29"/>
  <c r="AD45" i="29"/>
  <c r="X45" i="29"/>
  <c r="Y45" i="29" s="1"/>
  <c r="Z45" i="29" s="1"/>
  <c r="AA45" i="29" s="1"/>
  <c r="AB45" i="29" s="1"/>
  <c r="W45" i="29"/>
  <c r="V45" i="29"/>
  <c r="O45" i="29"/>
  <c r="P45" i="29" s="1"/>
  <c r="Q45" i="29" s="1"/>
  <c r="R45" i="29" s="1"/>
  <c r="S45" i="29" s="1"/>
  <c r="T45" i="29" s="1"/>
  <c r="N45" i="29"/>
  <c r="F45" i="29"/>
  <c r="AQ44" i="29"/>
  <c r="AR44" i="29" s="1"/>
  <c r="AM44" i="29"/>
  <c r="AN44" i="29" s="1"/>
  <c r="AO44" i="29" s="1"/>
  <c r="AP44" i="29" s="1"/>
  <c r="AL44" i="29"/>
  <c r="AD44" i="29"/>
  <c r="AE44" i="29" s="1"/>
  <c r="AF44" i="29" s="1"/>
  <c r="AG44" i="29" s="1"/>
  <c r="AH44" i="29" s="1"/>
  <c r="AI44" i="29" s="1"/>
  <c r="AJ44" i="29" s="1"/>
  <c r="Y44" i="29"/>
  <c r="Z44" i="29" s="1"/>
  <c r="AA44" i="29" s="1"/>
  <c r="AB44" i="29" s="1"/>
  <c r="X44" i="29"/>
  <c r="W44" i="29"/>
  <c r="V44" i="29"/>
  <c r="P44" i="29"/>
  <c r="Q44" i="29" s="1"/>
  <c r="R44" i="29" s="1"/>
  <c r="S44" i="29" s="1"/>
  <c r="T44" i="29" s="1"/>
  <c r="O44" i="29"/>
  <c r="N44" i="29"/>
  <c r="G44" i="29"/>
  <c r="H44" i="29" s="1"/>
  <c r="I44" i="29" s="1"/>
  <c r="J44" i="29" s="1"/>
  <c r="K44" i="29" s="1"/>
  <c r="L44" i="29" s="1"/>
  <c r="F44" i="29"/>
  <c r="BA44" i="29" s="1"/>
  <c r="BB44" i="29" s="1"/>
  <c r="AN43" i="29"/>
  <c r="AO43" i="29" s="1"/>
  <c r="AP43" i="29" s="1"/>
  <c r="AQ43" i="29" s="1"/>
  <c r="AR43" i="29" s="1"/>
  <c r="AM43" i="29"/>
  <c r="AL43" i="29"/>
  <c r="AD43" i="29"/>
  <c r="AE43" i="29" s="1"/>
  <c r="AF43" i="29" s="1"/>
  <c r="AG43" i="29" s="1"/>
  <c r="AH43" i="29" s="1"/>
  <c r="AI43" i="29" s="1"/>
  <c r="AJ43" i="29" s="1"/>
  <c r="Z43" i="29"/>
  <c r="AA43" i="29" s="1"/>
  <c r="AB43" i="29" s="1"/>
  <c r="Y43" i="29"/>
  <c r="V43" i="29"/>
  <c r="W43" i="29" s="1"/>
  <c r="X43" i="29" s="1"/>
  <c r="P43" i="29"/>
  <c r="Q43" i="29" s="1"/>
  <c r="R43" i="29" s="1"/>
  <c r="S43" i="29" s="1"/>
  <c r="T43" i="29" s="1"/>
  <c r="O43" i="29"/>
  <c r="N43" i="29"/>
  <c r="K43" i="29"/>
  <c r="L43" i="29" s="1"/>
  <c r="G43" i="29"/>
  <c r="H43" i="29" s="1"/>
  <c r="I43" i="29" s="1"/>
  <c r="J43" i="29" s="1"/>
  <c r="F43" i="29"/>
  <c r="AM42" i="29"/>
  <c r="AN42" i="29" s="1"/>
  <c r="AO42" i="29" s="1"/>
  <c r="AP42" i="29" s="1"/>
  <c r="AQ42" i="29" s="1"/>
  <c r="AR42" i="29" s="1"/>
  <c r="AL42" i="29"/>
  <c r="AD42" i="29"/>
  <c r="AE42" i="29" s="1"/>
  <c r="AF42" i="29" s="1"/>
  <c r="AG42" i="29" s="1"/>
  <c r="AH42" i="29" s="1"/>
  <c r="AI42" i="29" s="1"/>
  <c r="AJ42" i="29" s="1"/>
  <c r="V42" i="29"/>
  <c r="W42" i="29" s="1"/>
  <c r="X42" i="29" s="1"/>
  <c r="Y42" i="29" s="1"/>
  <c r="Z42" i="29" s="1"/>
  <c r="AA42" i="29" s="1"/>
  <c r="AB42" i="29" s="1"/>
  <c r="P42" i="29"/>
  <c r="Q42" i="29" s="1"/>
  <c r="R42" i="29" s="1"/>
  <c r="S42" i="29" s="1"/>
  <c r="T42" i="29" s="1"/>
  <c r="N42" i="29"/>
  <c r="O42" i="29" s="1"/>
  <c r="G42" i="29"/>
  <c r="F42" i="29"/>
  <c r="AL41" i="29"/>
  <c r="AM41" i="29" s="1"/>
  <c r="AN41" i="29" s="1"/>
  <c r="AO41" i="29" s="1"/>
  <c r="AP41" i="29" s="1"/>
  <c r="AQ41" i="29" s="1"/>
  <c r="AR41" i="29" s="1"/>
  <c r="AF41" i="29"/>
  <c r="AG41" i="29" s="1"/>
  <c r="AH41" i="29" s="1"/>
  <c r="AI41" i="29" s="1"/>
  <c r="AJ41" i="29" s="1"/>
  <c r="AE41" i="29"/>
  <c r="AD41" i="29"/>
  <c r="V41" i="29"/>
  <c r="W41" i="29" s="1"/>
  <c r="X41" i="29" s="1"/>
  <c r="Y41" i="29" s="1"/>
  <c r="Z41" i="29" s="1"/>
  <c r="AA41" i="29" s="1"/>
  <c r="AB41" i="29" s="1"/>
  <c r="O41" i="29"/>
  <c r="P41" i="29" s="1"/>
  <c r="Q41" i="29" s="1"/>
  <c r="R41" i="29" s="1"/>
  <c r="S41" i="29" s="1"/>
  <c r="T41" i="29" s="1"/>
  <c r="N41" i="29"/>
  <c r="F41" i="29"/>
  <c r="G41" i="29" s="1"/>
  <c r="H41" i="29" s="1"/>
  <c r="I41" i="29" s="1"/>
  <c r="J41" i="29" s="1"/>
  <c r="K41" i="29" s="1"/>
  <c r="L41" i="29" s="1"/>
  <c r="AR40" i="29"/>
  <c r="AL40" i="29"/>
  <c r="AM40" i="29" s="1"/>
  <c r="AN40" i="29" s="1"/>
  <c r="AO40" i="29" s="1"/>
  <c r="AP40" i="29" s="1"/>
  <c r="AQ40" i="29" s="1"/>
  <c r="AE40" i="29"/>
  <c r="AF40" i="29" s="1"/>
  <c r="AG40" i="29" s="1"/>
  <c r="AH40" i="29" s="1"/>
  <c r="AI40" i="29" s="1"/>
  <c r="AJ40" i="29" s="1"/>
  <c r="AD40" i="29"/>
  <c r="V40" i="29"/>
  <c r="W40" i="29" s="1"/>
  <c r="X40" i="29" s="1"/>
  <c r="Y40" i="29" s="1"/>
  <c r="Z40" i="29" s="1"/>
  <c r="AA40" i="29" s="1"/>
  <c r="AB40" i="29" s="1"/>
  <c r="N40" i="29"/>
  <c r="O40" i="29" s="1"/>
  <c r="P40" i="29" s="1"/>
  <c r="Q40" i="29" s="1"/>
  <c r="R40" i="29" s="1"/>
  <c r="S40" i="29" s="1"/>
  <c r="T40" i="29" s="1"/>
  <c r="F40" i="29"/>
  <c r="AL39" i="29"/>
  <c r="AM39" i="29" s="1"/>
  <c r="AN39" i="29" s="1"/>
  <c r="AO39" i="29" s="1"/>
  <c r="AP39" i="29" s="1"/>
  <c r="AQ39" i="29" s="1"/>
  <c r="AR39" i="29" s="1"/>
  <c r="AF39" i="29"/>
  <c r="AG39" i="29" s="1"/>
  <c r="AH39" i="29" s="1"/>
  <c r="AI39" i="29" s="1"/>
  <c r="AJ39" i="29" s="1"/>
  <c r="AD39" i="29"/>
  <c r="AE39" i="29" s="1"/>
  <c r="V39" i="29"/>
  <c r="W39" i="29" s="1"/>
  <c r="X39" i="29" s="1"/>
  <c r="Y39" i="29" s="1"/>
  <c r="Z39" i="29" s="1"/>
  <c r="AA39" i="29" s="1"/>
  <c r="AB39" i="29" s="1"/>
  <c r="O39" i="29"/>
  <c r="P39" i="29" s="1"/>
  <c r="Q39" i="29" s="1"/>
  <c r="R39" i="29" s="1"/>
  <c r="S39" i="29" s="1"/>
  <c r="T39" i="29" s="1"/>
  <c r="N39" i="29"/>
  <c r="F39" i="29"/>
  <c r="AL38" i="29"/>
  <c r="AM38" i="29" s="1"/>
  <c r="AN38" i="29" s="1"/>
  <c r="AO38" i="29" s="1"/>
  <c r="AP38" i="29" s="1"/>
  <c r="AQ38" i="29" s="1"/>
  <c r="AR38" i="29" s="1"/>
  <c r="AG38" i="29"/>
  <c r="AH38" i="29" s="1"/>
  <c r="AI38" i="29" s="1"/>
  <c r="AJ38" i="29" s="1"/>
  <c r="AD38" i="29"/>
  <c r="AE38" i="29" s="1"/>
  <c r="AF38" i="29" s="1"/>
  <c r="X38" i="29"/>
  <c r="Y38" i="29" s="1"/>
  <c r="Z38" i="29" s="1"/>
  <c r="AA38" i="29" s="1"/>
  <c r="AB38" i="29" s="1"/>
  <c r="V38" i="29"/>
  <c r="W38" i="29" s="1"/>
  <c r="P38" i="29"/>
  <c r="Q38" i="29" s="1"/>
  <c r="R38" i="29" s="1"/>
  <c r="S38" i="29" s="1"/>
  <c r="T38" i="29" s="1"/>
  <c r="O38" i="29"/>
  <c r="N38" i="29"/>
  <c r="F38" i="29"/>
  <c r="AM37" i="29"/>
  <c r="AN37" i="29" s="1"/>
  <c r="AO37" i="29" s="1"/>
  <c r="AP37" i="29" s="1"/>
  <c r="AQ37" i="29" s="1"/>
  <c r="AR37" i="29" s="1"/>
  <c r="AL37" i="29"/>
  <c r="AE37" i="29"/>
  <c r="AF37" i="29" s="1"/>
  <c r="AG37" i="29" s="1"/>
  <c r="AH37" i="29" s="1"/>
  <c r="AI37" i="29" s="1"/>
  <c r="AJ37" i="29" s="1"/>
  <c r="AD37" i="29"/>
  <c r="V37" i="29"/>
  <c r="W37" i="29" s="1"/>
  <c r="X37" i="29" s="1"/>
  <c r="Y37" i="29" s="1"/>
  <c r="Z37" i="29" s="1"/>
  <c r="AA37" i="29" s="1"/>
  <c r="AB37" i="29" s="1"/>
  <c r="N37" i="29"/>
  <c r="O37" i="29" s="1"/>
  <c r="P37" i="29" s="1"/>
  <c r="Q37" i="29" s="1"/>
  <c r="R37" i="29" s="1"/>
  <c r="S37" i="29" s="1"/>
  <c r="T37" i="29" s="1"/>
  <c r="G37" i="29"/>
  <c r="H37" i="29" s="1"/>
  <c r="I37" i="29" s="1"/>
  <c r="J37" i="29" s="1"/>
  <c r="K37" i="29" s="1"/>
  <c r="L37" i="29" s="1"/>
  <c r="F37" i="29"/>
  <c r="AN36" i="29"/>
  <c r="AO36" i="29" s="1"/>
  <c r="AP36" i="29" s="1"/>
  <c r="AQ36" i="29" s="1"/>
  <c r="AR36" i="29" s="1"/>
  <c r="AL36" i="29"/>
  <c r="AM36" i="29" s="1"/>
  <c r="AF36" i="29"/>
  <c r="AG36" i="29" s="1"/>
  <c r="AH36" i="29" s="1"/>
  <c r="AI36" i="29" s="1"/>
  <c r="AJ36" i="29" s="1"/>
  <c r="AE36" i="29"/>
  <c r="AD36" i="29"/>
  <c r="V36" i="29"/>
  <c r="W36" i="29" s="1"/>
  <c r="X36" i="29" s="1"/>
  <c r="Y36" i="29" s="1"/>
  <c r="Z36" i="29" s="1"/>
  <c r="AA36" i="29" s="1"/>
  <c r="AB36" i="29" s="1"/>
  <c r="Q36" i="29"/>
  <c r="R36" i="29" s="1"/>
  <c r="S36" i="29" s="1"/>
  <c r="T36" i="29" s="1"/>
  <c r="N36" i="29"/>
  <c r="O36" i="29" s="1"/>
  <c r="P36" i="29" s="1"/>
  <c r="I36" i="29"/>
  <c r="J36" i="29" s="1"/>
  <c r="K36" i="29" s="1"/>
  <c r="L36" i="29" s="1"/>
  <c r="H36" i="29"/>
  <c r="F36" i="29"/>
  <c r="G36" i="29" s="1"/>
  <c r="AL35" i="29"/>
  <c r="AM35" i="29" s="1"/>
  <c r="AN35" i="29" s="1"/>
  <c r="AO35" i="29" s="1"/>
  <c r="AP35" i="29" s="1"/>
  <c r="AQ35" i="29" s="1"/>
  <c r="AR35" i="29" s="1"/>
  <c r="AD35" i="29"/>
  <c r="AE35" i="29" s="1"/>
  <c r="AF35" i="29" s="1"/>
  <c r="AG35" i="29" s="1"/>
  <c r="AH35" i="29" s="1"/>
  <c r="AI35" i="29" s="1"/>
  <c r="AJ35" i="29" s="1"/>
  <c r="AA35" i="29"/>
  <c r="AB35" i="29" s="1"/>
  <c r="W35" i="29"/>
  <c r="X35" i="29" s="1"/>
  <c r="Y35" i="29" s="1"/>
  <c r="Z35" i="29" s="1"/>
  <c r="V35" i="29"/>
  <c r="N35" i="29"/>
  <c r="O35" i="29" s="1"/>
  <c r="P35" i="29" s="1"/>
  <c r="Q35" i="29" s="1"/>
  <c r="R35" i="29" s="1"/>
  <c r="S35" i="29" s="1"/>
  <c r="T35" i="29" s="1"/>
  <c r="F35" i="29"/>
  <c r="AL34" i="29"/>
  <c r="AM34" i="29" s="1"/>
  <c r="AN34" i="29" s="1"/>
  <c r="AO34" i="29" s="1"/>
  <c r="AP34" i="29" s="1"/>
  <c r="AQ34" i="29" s="1"/>
  <c r="AR34" i="29" s="1"/>
  <c r="AD34" i="29"/>
  <c r="AE34" i="29" s="1"/>
  <c r="AF34" i="29" s="1"/>
  <c r="AG34" i="29" s="1"/>
  <c r="AH34" i="29" s="1"/>
  <c r="AI34" i="29" s="1"/>
  <c r="AJ34" i="29" s="1"/>
  <c r="V34" i="29"/>
  <c r="W34" i="29" s="1"/>
  <c r="X34" i="29" s="1"/>
  <c r="Y34" i="29" s="1"/>
  <c r="Z34" i="29" s="1"/>
  <c r="AA34" i="29" s="1"/>
  <c r="AB34" i="29" s="1"/>
  <c r="T34" i="29"/>
  <c r="O34" i="29"/>
  <c r="P34" i="29" s="1"/>
  <c r="Q34" i="29" s="1"/>
  <c r="R34" i="29" s="1"/>
  <c r="S34" i="29" s="1"/>
  <c r="N34" i="29"/>
  <c r="F34" i="29"/>
  <c r="AQ33" i="29"/>
  <c r="AR33" i="29" s="1"/>
  <c r="AN33" i="29"/>
  <c r="AO33" i="29" s="1"/>
  <c r="AP33" i="29" s="1"/>
  <c r="AM33" i="29"/>
  <c r="AL33" i="29"/>
  <c r="AD33" i="29"/>
  <c r="AE33" i="29" s="1"/>
  <c r="AF33" i="29" s="1"/>
  <c r="AG33" i="29" s="1"/>
  <c r="AH33" i="29" s="1"/>
  <c r="AI33" i="29" s="1"/>
  <c r="AJ33" i="29" s="1"/>
  <c r="Y33" i="29"/>
  <c r="Z33" i="29" s="1"/>
  <c r="AA33" i="29" s="1"/>
  <c r="AB33" i="29" s="1"/>
  <c r="V33" i="29"/>
  <c r="W33" i="29" s="1"/>
  <c r="X33" i="29" s="1"/>
  <c r="P33" i="29"/>
  <c r="Q33" i="29" s="1"/>
  <c r="R33" i="29" s="1"/>
  <c r="S33" i="29" s="1"/>
  <c r="T33" i="29" s="1"/>
  <c r="N33" i="29"/>
  <c r="O33" i="29" s="1"/>
  <c r="H33" i="29"/>
  <c r="I33" i="29" s="1"/>
  <c r="J33" i="29" s="1"/>
  <c r="K33" i="29" s="1"/>
  <c r="L33" i="29" s="1"/>
  <c r="G33" i="29"/>
  <c r="F33" i="29"/>
  <c r="AR32" i="29"/>
  <c r="AL32" i="29"/>
  <c r="AM32" i="29" s="1"/>
  <c r="AN32" i="29" s="1"/>
  <c r="AO32" i="29" s="1"/>
  <c r="AP32" i="29" s="1"/>
  <c r="AQ32" i="29" s="1"/>
  <c r="AE32" i="29"/>
  <c r="AF32" i="29" s="1"/>
  <c r="AG32" i="29" s="1"/>
  <c r="AH32" i="29" s="1"/>
  <c r="AI32" i="29" s="1"/>
  <c r="AJ32" i="29" s="1"/>
  <c r="AD32" i="29"/>
  <c r="V32" i="29"/>
  <c r="W32" i="29" s="1"/>
  <c r="X32" i="29" s="1"/>
  <c r="Y32" i="29" s="1"/>
  <c r="Z32" i="29" s="1"/>
  <c r="AA32" i="29" s="1"/>
  <c r="AB32" i="29" s="1"/>
  <c r="N32" i="29"/>
  <c r="O32" i="29" s="1"/>
  <c r="P32" i="29" s="1"/>
  <c r="Q32" i="29" s="1"/>
  <c r="R32" i="29" s="1"/>
  <c r="S32" i="29" s="1"/>
  <c r="T32" i="29" s="1"/>
  <c r="L32" i="29"/>
  <c r="BA32" i="29" s="1"/>
  <c r="BB32" i="29" s="1"/>
  <c r="F32" i="29"/>
  <c r="G32" i="29" s="1"/>
  <c r="H32" i="29" s="1"/>
  <c r="I32" i="29" s="1"/>
  <c r="J32" i="29" s="1"/>
  <c r="K32" i="29" s="1"/>
  <c r="AL31" i="29"/>
  <c r="AM31" i="29" s="1"/>
  <c r="AN31" i="29" s="1"/>
  <c r="AO31" i="29" s="1"/>
  <c r="AP31" i="29" s="1"/>
  <c r="AQ31" i="29" s="1"/>
  <c r="AR31" i="29" s="1"/>
  <c r="AF31" i="29"/>
  <c r="AG31" i="29" s="1"/>
  <c r="AH31" i="29" s="1"/>
  <c r="AI31" i="29" s="1"/>
  <c r="AJ31" i="29" s="1"/>
  <c r="AD31" i="29"/>
  <c r="AE31" i="29" s="1"/>
  <c r="W31" i="29"/>
  <c r="X31" i="29" s="1"/>
  <c r="Y31" i="29" s="1"/>
  <c r="Z31" i="29" s="1"/>
  <c r="AA31" i="29" s="1"/>
  <c r="AB31" i="29" s="1"/>
  <c r="V31" i="29"/>
  <c r="O31" i="29"/>
  <c r="P31" i="29" s="1"/>
  <c r="Q31" i="29" s="1"/>
  <c r="R31" i="29" s="1"/>
  <c r="S31" i="29" s="1"/>
  <c r="T31" i="29" s="1"/>
  <c r="N31" i="29"/>
  <c r="F31" i="29"/>
  <c r="AL30" i="29"/>
  <c r="AM30" i="29" s="1"/>
  <c r="AN30" i="29" s="1"/>
  <c r="AO30" i="29" s="1"/>
  <c r="AP30" i="29" s="1"/>
  <c r="AQ30" i="29" s="1"/>
  <c r="AR30" i="29" s="1"/>
  <c r="AG30" i="29"/>
  <c r="AH30" i="29" s="1"/>
  <c r="AI30" i="29" s="1"/>
  <c r="AJ30" i="29" s="1"/>
  <c r="AD30" i="29"/>
  <c r="AE30" i="29" s="1"/>
  <c r="AF30" i="29" s="1"/>
  <c r="V30" i="29"/>
  <c r="W30" i="29" s="1"/>
  <c r="X30" i="29" s="1"/>
  <c r="Y30" i="29" s="1"/>
  <c r="Z30" i="29" s="1"/>
  <c r="AA30" i="29" s="1"/>
  <c r="AB30" i="29" s="1"/>
  <c r="P30" i="29"/>
  <c r="Q30" i="29" s="1"/>
  <c r="R30" i="29" s="1"/>
  <c r="S30" i="29" s="1"/>
  <c r="T30" i="29" s="1"/>
  <c r="O30" i="29"/>
  <c r="N30" i="29"/>
  <c r="F30" i="29"/>
  <c r="AM29" i="29"/>
  <c r="AN29" i="29" s="1"/>
  <c r="AO29" i="29" s="1"/>
  <c r="AP29" i="29" s="1"/>
  <c r="AQ29" i="29" s="1"/>
  <c r="AR29" i="29" s="1"/>
  <c r="AL29" i="29"/>
  <c r="AE29" i="29"/>
  <c r="AF29" i="29" s="1"/>
  <c r="AG29" i="29" s="1"/>
  <c r="AH29" i="29" s="1"/>
  <c r="AI29" i="29" s="1"/>
  <c r="AJ29" i="29" s="1"/>
  <c r="AD29" i="29"/>
  <c r="V29" i="29"/>
  <c r="W29" i="29" s="1"/>
  <c r="X29" i="29" s="1"/>
  <c r="Y29" i="29" s="1"/>
  <c r="Z29" i="29" s="1"/>
  <c r="AA29" i="29" s="1"/>
  <c r="AB29" i="29" s="1"/>
  <c r="N29" i="29"/>
  <c r="O29" i="29" s="1"/>
  <c r="P29" i="29" s="1"/>
  <c r="Q29" i="29" s="1"/>
  <c r="R29" i="29" s="1"/>
  <c r="S29" i="29" s="1"/>
  <c r="T29" i="29" s="1"/>
  <c r="G29" i="29"/>
  <c r="H29" i="29" s="1"/>
  <c r="I29" i="29" s="1"/>
  <c r="J29" i="29" s="1"/>
  <c r="K29" i="29" s="1"/>
  <c r="L29" i="29" s="1"/>
  <c r="F29" i="29"/>
  <c r="AN28" i="29"/>
  <c r="AO28" i="29" s="1"/>
  <c r="AP28" i="29" s="1"/>
  <c r="AQ28" i="29" s="1"/>
  <c r="AR28" i="29" s="1"/>
  <c r="AL28" i="29"/>
  <c r="AM28" i="29" s="1"/>
  <c r="AD28" i="29"/>
  <c r="AE28" i="29" s="1"/>
  <c r="AF28" i="29" s="1"/>
  <c r="AG28" i="29" s="1"/>
  <c r="AH28" i="29" s="1"/>
  <c r="AI28" i="29" s="1"/>
  <c r="AJ28" i="29" s="1"/>
  <c r="W28" i="29"/>
  <c r="X28" i="29" s="1"/>
  <c r="Y28" i="29" s="1"/>
  <c r="Z28" i="29" s="1"/>
  <c r="AA28" i="29" s="1"/>
  <c r="AB28" i="29" s="1"/>
  <c r="V28" i="29"/>
  <c r="N28" i="29"/>
  <c r="O28" i="29" s="1"/>
  <c r="P28" i="29" s="1"/>
  <c r="Q28" i="29" s="1"/>
  <c r="R28" i="29" s="1"/>
  <c r="S28" i="29" s="1"/>
  <c r="T28" i="29" s="1"/>
  <c r="F28" i="29"/>
  <c r="AL27" i="29"/>
  <c r="AM27" i="29" s="1"/>
  <c r="AN27" i="29" s="1"/>
  <c r="AO27" i="29" s="1"/>
  <c r="AP27" i="29" s="1"/>
  <c r="AQ27" i="29" s="1"/>
  <c r="AR27" i="29" s="1"/>
  <c r="AF27" i="29"/>
  <c r="AG27" i="29" s="1"/>
  <c r="AH27" i="29" s="1"/>
  <c r="AI27" i="29" s="1"/>
  <c r="AJ27" i="29" s="1"/>
  <c r="AD27" i="29"/>
  <c r="AE27" i="29" s="1"/>
  <c r="V27" i="29"/>
  <c r="W27" i="29" s="1"/>
  <c r="X27" i="29" s="1"/>
  <c r="Y27" i="29" s="1"/>
  <c r="Z27" i="29" s="1"/>
  <c r="AA27" i="29" s="1"/>
  <c r="AB27" i="29" s="1"/>
  <c r="N27" i="29"/>
  <c r="O27" i="29" s="1"/>
  <c r="P27" i="29" s="1"/>
  <c r="Q27" i="29" s="1"/>
  <c r="R27" i="29" s="1"/>
  <c r="S27" i="29" s="1"/>
  <c r="T27" i="29" s="1"/>
  <c r="G27" i="29"/>
  <c r="H27" i="29" s="1"/>
  <c r="I27" i="29" s="1"/>
  <c r="J27" i="29" s="1"/>
  <c r="K27" i="29" s="1"/>
  <c r="L27" i="29" s="1"/>
  <c r="F27" i="29"/>
  <c r="AL26" i="29"/>
  <c r="AM26" i="29" s="1"/>
  <c r="AN26" i="29" s="1"/>
  <c r="AO26" i="29" s="1"/>
  <c r="AP26" i="29" s="1"/>
  <c r="AQ26" i="29" s="1"/>
  <c r="AR26" i="29" s="1"/>
  <c r="AE26" i="29"/>
  <c r="AF26" i="29" s="1"/>
  <c r="AG26" i="29" s="1"/>
  <c r="AH26" i="29" s="1"/>
  <c r="AI26" i="29" s="1"/>
  <c r="AJ26" i="29" s="1"/>
  <c r="AD26" i="29"/>
  <c r="V26" i="29"/>
  <c r="W26" i="29" s="1"/>
  <c r="X26" i="29" s="1"/>
  <c r="Y26" i="29" s="1"/>
  <c r="Z26" i="29" s="1"/>
  <c r="AA26" i="29" s="1"/>
  <c r="AB26" i="29" s="1"/>
  <c r="N26" i="29"/>
  <c r="O26" i="29" s="1"/>
  <c r="P26" i="29" s="1"/>
  <c r="Q26" i="29" s="1"/>
  <c r="R26" i="29" s="1"/>
  <c r="S26" i="29" s="1"/>
  <c r="T26" i="29" s="1"/>
  <c r="F26" i="29"/>
  <c r="G26" i="29" s="1"/>
  <c r="H26" i="29" s="1"/>
  <c r="AL25" i="29"/>
  <c r="AM25" i="29" s="1"/>
  <c r="AN25" i="29" s="1"/>
  <c r="AO25" i="29" s="1"/>
  <c r="AP25" i="29" s="1"/>
  <c r="AQ25" i="29" s="1"/>
  <c r="AR25" i="29" s="1"/>
  <c r="AD25" i="29"/>
  <c r="AE25" i="29" s="1"/>
  <c r="AF25" i="29" s="1"/>
  <c r="AG25" i="29" s="1"/>
  <c r="AH25" i="29" s="1"/>
  <c r="AI25" i="29" s="1"/>
  <c r="AJ25" i="29" s="1"/>
  <c r="W25" i="29"/>
  <c r="X25" i="29" s="1"/>
  <c r="Y25" i="29" s="1"/>
  <c r="Z25" i="29" s="1"/>
  <c r="AA25" i="29" s="1"/>
  <c r="AB25" i="29" s="1"/>
  <c r="V25" i="29"/>
  <c r="N25" i="29"/>
  <c r="O25" i="29" s="1"/>
  <c r="P25" i="29" s="1"/>
  <c r="Q25" i="29" s="1"/>
  <c r="R25" i="29" s="1"/>
  <c r="S25" i="29" s="1"/>
  <c r="T25" i="29" s="1"/>
  <c r="F25" i="29"/>
  <c r="AM24" i="29"/>
  <c r="AN24" i="29" s="1"/>
  <c r="AO24" i="29" s="1"/>
  <c r="AP24" i="29" s="1"/>
  <c r="AQ24" i="29" s="1"/>
  <c r="AR24" i="29" s="1"/>
  <c r="AL24" i="29"/>
  <c r="AD24" i="29"/>
  <c r="AE24" i="29" s="1"/>
  <c r="AF24" i="29" s="1"/>
  <c r="AG24" i="29" s="1"/>
  <c r="AH24" i="29" s="1"/>
  <c r="AI24" i="29" s="1"/>
  <c r="AJ24" i="29" s="1"/>
  <c r="V24" i="29"/>
  <c r="W24" i="29" s="1"/>
  <c r="X24" i="29" s="1"/>
  <c r="Y24" i="29" s="1"/>
  <c r="Z24" i="29" s="1"/>
  <c r="AA24" i="29" s="1"/>
  <c r="AB24" i="29" s="1"/>
  <c r="O24" i="29"/>
  <c r="P24" i="29" s="1"/>
  <c r="Q24" i="29" s="1"/>
  <c r="R24" i="29" s="1"/>
  <c r="S24" i="29" s="1"/>
  <c r="T24" i="29" s="1"/>
  <c r="N24" i="29"/>
  <c r="G24" i="29"/>
  <c r="H24" i="29" s="1"/>
  <c r="I24" i="29" s="1"/>
  <c r="J24" i="29" s="1"/>
  <c r="K24" i="29" s="1"/>
  <c r="L24" i="29" s="1"/>
  <c r="F24" i="29"/>
  <c r="AM23" i="29"/>
  <c r="AN23" i="29" s="1"/>
  <c r="AO23" i="29" s="1"/>
  <c r="AP23" i="29" s="1"/>
  <c r="AQ23" i="29" s="1"/>
  <c r="AR23" i="29" s="1"/>
  <c r="AL23" i="29"/>
  <c r="AD23" i="29"/>
  <c r="AE23" i="29" s="1"/>
  <c r="AF23" i="29" s="1"/>
  <c r="AG23" i="29" s="1"/>
  <c r="AH23" i="29" s="1"/>
  <c r="AI23" i="29" s="1"/>
  <c r="AJ23" i="29" s="1"/>
  <c r="V23" i="29"/>
  <c r="W23" i="29" s="1"/>
  <c r="X23" i="29" s="1"/>
  <c r="Y23" i="29" s="1"/>
  <c r="Z23" i="29" s="1"/>
  <c r="AA23" i="29" s="1"/>
  <c r="AB23" i="29" s="1"/>
  <c r="N23" i="29"/>
  <c r="O23" i="29" s="1"/>
  <c r="P23" i="29" s="1"/>
  <c r="Q23" i="29" s="1"/>
  <c r="R23" i="29" s="1"/>
  <c r="S23" i="29" s="1"/>
  <c r="T23" i="29" s="1"/>
  <c r="G23" i="29"/>
  <c r="H23" i="29" s="1"/>
  <c r="I23" i="29" s="1"/>
  <c r="J23" i="29" s="1"/>
  <c r="K23" i="29" s="1"/>
  <c r="L23" i="29" s="1"/>
  <c r="F23" i="29"/>
  <c r="AL22" i="29"/>
  <c r="AM22" i="29" s="1"/>
  <c r="AN22" i="29" s="1"/>
  <c r="AO22" i="29" s="1"/>
  <c r="AP22" i="29" s="1"/>
  <c r="AQ22" i="29" s="1"/>
  <c r="AR22" i="29" s="1"/>
  <c r="AE22" i="29"/>
  <c r="AF22" i="29" s="1"/>
  <c r="AG22" i="29" s="1"/>
  <c r="AH22" i="29" s="1"/>
  <c r="AI22" i="29" s="1"/>
  <c r="AJ22" i="29" s="1"/>
  <c r="AD22" i="29"/>
  <c r="W22" i="29"/>
  <c r="X22" i="29" s="1"/>
  <c r="Y22" i="29" s="1"/>
  <c r="Z22" i="29" s="1"/>
  <c r="AA22" i="29" s="1"/>
  <c r="AB22" i="29" s="1"/>
  <c r="V22" i="29"/>
  <c r="N22" i="29"/>
  <c r="O22" i="29" s="1"/>
  <c r="P22" i="29" s="1"/>
  <c r="Q22" i="29" s="1"/>
  <c r="R22" i="29" s="1"/>
  <c r="S22" i="29" s="1"/>
  <c r="T22" i="29" s="1"/>
  <c r="F22" i="29"/>
  <c r="G22" i="29" s="1"/>
  <c r="AO21" i="29"/>
  <c r="AP21" i="29" s="1"/>
  <c r="AQ21" i="29" s="1"/>
  <c r="AR21" i="29" s="1"/>
  <c r="AL21" i="29"/>
  <c r="AM21" i="29" s="1"/>
  <c r="AN21" i="29" s="1"/>
  <c r="AF21" i="29"/>
  <c r="AG21" i="29" s="1"/>
  <c r="AH21" i="29" s="1"/>
  <c r="AI21" i="29" s="1"/>
  <c r="AJ21" i="29" s="1"/>
  <c r="AD21" i="29"/>
  <c r="AE21" i="29" s="1"/>
  <c r="X21" i="29"/>
  <c r="Y21" i="29" s="1"/>
  <c r="Z21" i="29" s="1"/>
  <c r="AA21" i="29" s="1"/>
  <c r="AB21" i="29" s="1"/>
  <c r="W21" i="29"/>
  <c r="V21" i="29"/>
  <c r="N21" i="29"/>
  <c r="O21" i="29" s="1"/>
  <c r="P21" i="29" s="1"/>
  <c r="Q21" i="29" s="1"/>
  <c r="R21" i="29" s="1"/>
  <c r="S21" i="29" s="1"/>
  <c r="T21" i="29" s="1"/>
  <c r="F21" i="29"/>
  <c r="AL20" i="29"/>
  <c r="AM20" i="29" s="1"/>
  <c r="AN20" i="29" s="1"/>
  <c r="AO20" i="29" s="1"/>
  <c r="AP20" i="29" s="1"/>
  <c r="AQ20" i="29" s="1"/>
  <c r="AR20" i="29" s="1"/>
  <c r="AD20" i="29"/>
  <c r="AE20" i="29" s="1"/>
  <c r="AF20" i="29" s="1"/>
  <c r="AG20" i="29" s="1"/>
  <c r="AH20" i="29" s="1"/>
  <c r="AI20" i="29" s="1"/>
  <c r="AJ20" i="29" s="1"/>
  <c r="V20" i="29"/>
  <c r="W20" i="29" s="1"/>
  <c r="X20" i="29" s="1"/>
  <c r="Y20" i="29" s="1"/>
  <c r="Z20" i="29" s="1"/>
  <c r="AA20" i="29" s="1"/>
  <c r="AB20" i="29" s="1"/>
  <c r="O20" i="29"/>
  <c r="P20" i="29" s="1"/>
  <c r="Q20" i="29" s="1"/>
  <c r="R20" i="29" s="1"/>
  <c r="S20" i="29" s="1"/>
  <c r="T20" i="29" s="1"/>
  <c r="N20" i="29"/>
  <c r="F20" i="29"/>
  <c r="AM19" i="29"/>
  <c r="AN19" i="29" s="1"/>
  <c r="AO19" i="29" s="1"/>
  <c r="AP19" i="29" s="1"/>
  <c r="AQ19" i="29" s="1"/>
  <c r="AR19" i="29" s="1"/>
  <c r="AL19" i="29"/>
  <c r="AD19" i="29"/>
  <c r="AE19" i="29" s="1"/>
  <c r="AF19" i="29" s="1"/>
  <c r="AG19" i="29" s="1"/>
  <c r="AH19" i="29" s="1"/>
  <c r="AI19" i="29" s="1"/>
  <c r="AJ19" i="29" s="1"/>
  <c r="V19" i="29"/>
  <c r="W19" i="29" s="1"/>
  <c r="X19" i="29" s="1"/>
  <c r="Y19" i="29" s="1"/>
  <c r="Z19" i="29" s="1"/>
  <c r="AA19" i="29" s="1"/>
  <c r="AB19" i="29" s="1"/>
  <c r="N19" i="29"/>
  <c r="O19" i="29" s="1"/>
  <c r="P19" i="29" s="1"/>
  <c r="Q19" i="29" s="1"/>
  <c r="R19" i="29" s="1"/>
  <c r="S19" i="29" s="1"/>
  <c r="T19" i="29" s="1"/>
  <c r="G19" i="29"/>
  <c r="H19" i="29" s="1"/>
  <c r="I19" i="29" s="1"/>
  <c r="J19" i="29" s="1"/>
  <c r="K19" i="29" s="1"/>
  <c r="L19" i="29" s="1"/>
  <c r="F19" i="29"/>
  <c r="AL18" i="29"/>
  <c r="AM18" i="29" s="1"/>
  <c r="AN18" i="29" s="1"/>
  <c r="AO18" i="29" s="1"/>
  <c r="AP18" i="29" s="1"/>
  <c r="AQ18" i="29" s="1"/>
  <c r="AR18" i="29" s="1"/>
  <c r="AD18" i="29"/>
  <c r="AE18" i="29" s="1"/>
  <c r="AF18" i="29" s="1"/>
  <c r="AG18" i="29" s="1"/>
  <c r="AH18" i="29" s="1"/>
  <c r="AI18" i="29" s="1"/>
  <c r="AJ18" i="29" s="1"/>
  <c r="V18" i="29"/>
  <c r="W18" i="29" s="1"/>
  <c r="X18" i="29" s="1"/>
  <c r="Y18" i="29" s="1"/>
  <c r="Z18" i="29" s="1"/>
  <c r="AA18" i="29" s="1"/>
  <c r="AB18" i="29" s="1"/>
  <c r="N18" i="29"/>
  <c r="O18" i="29" s="1"/>
  <c r="P18" i="29" s="1"/>
  <c r="Q18" i="29" s="1"/>
  <c r="R18" i="29" s="1"/>
  <c r="S18" i="29" s="1"/>
  <c r="T18" i="29" s="1"/>
  <c r="F18" i="29"/>
  <c r="G18" i="29" s="1"/>
  <c r="AL17" i="29"/>
  <c r="AM17" i="29" s="1"/>
  <c r="AN17" i="29" s="1"/>
  <c r="AO17" i="29" s="1"/>
  <c r="AP17" i="29" s="1"/>
  <c r="AQ17" i="29" s="1"/>
  <c r="AR17" i="29" s="1"/>
  <c r="AD17" i="29"/>
  <c r="AE17" i="29" s="1"/>
  <c r="AF17" i="29" s="1"/>
  <c r="AG17" i="29" s="1"/>
  <c r="AH17" i="29" s="1"/>
  <c r="AI17" i="29" s="1"/>
  <c r="AJ17" i="29" s="1"/>
  <c r="V17" i="29"/>
  <c r="W17" i="29" s="1"/>
  <c r="X17" i="29" s="1"/>
  <c r="Y17" i="29" s="1"/>
  <c r="Z17" i="29" s="1"/>
  <c r="AA17" i="29" s="1"/>
  <c r="AB17" i="29" s="1"/>
  <c r="O17" i="29"/>
  <c r="P17" i="29" s="1"/>
  <c r="Q17" i="29" s="1"/>
  <c r="R17" i="29" s="1"/>
  <c r="S17" i="29" s="1"/>
  <c r="T17" i="29" s="1"/>
  <c r="N17" i="29"/>
  <c r="F17" i="29"/>
  <c r="G17" i="29" s="1"/>
  <c r="H17" i="29" s="1"/>
  <c r="I17" i="29" s="1"/>
  <c r="J17" i="29" s="1"/>
  <c r="K17" i="29" s="1"/>
  <c r="L17" i="29" s="1"/>
  <c r="AM16" i="29"/>
  <c r="AN16" i="29" s="1"/>
  <c r="AO16" i="29" s="1"/>
  <c r="AP16" i="29" s="1"/>
  <c r="AQ16" i="29" s="1"/>
  <c r="AR16" i="29" s="1"/>
  <c r="AL16" i="29"/>
  <c r="AD16" i="29"/>
  <c r="AE16" i="29" s="1"/>
  <c r="AF16" i="29" s="1"/>
  <c r="AG16" i="29" s="1"/>
  <c r="AH16" i="29" s="1"/>
  <c r="AI16" i="29" s="1"/>
  <c r="AJ16" i="29" s="1"/>
  <c r="V16" i="29"/>
  <c r="W16" i="29" s="1"/>
  <c r="X16" i="29" s="1"/>
  <c r="Y16" i="29" s="1"/>
  <c r="Z16" i="29" s="1"/>
  <c r="AA16" i="29" s="1"/>
  <c r="AB16" i="29" s="1"/>
  <c r="N16" i="29"/>
  <c r="O16" i="29" s="1"/>
  <c r="P16" i="29" s="1"/>
  <c r="Q16" i="29" s="1"/>
  <c r="R16" i="29" s="1"/>
  <c r="S16" i="29" s="1"/>
  <c r="T16" i="29" s="1"/>
  <c r="G16" i="29"/>
  <c r="F16" i="29"/>
  <c r="AL15" i="29"/>
  <c r="AM15" i="29" s="1"/>
  <c r="AN15" i="29" s="1"/>
  <c r="AO15" i="29" s="1"/>
  <c r="AP15" i="29" s="1"/>
  <c r="AQ15" i="29" s="1"/>
  <c r="AR15" i="29" s="1"/>
  <c r="AD15" i="29"/>
  <c r="AE15" i="29" s="1"/>
  <c r="AF15" i="29" s="1"/>
  <c r="AG15" i="29" s="1"/>
  <c r="AH15" i="29" s="1"/>
  <c r="AI15" i="29" s="1"/>
  <c r="AJ15" i="29" s="1"/>
  <c r="V15" i="29"/>
  <c r="W15" i="29" s="1"/>
  <c r="X15" i="29" s="1"/>
  <c r="Y15" i="29" s="1"/>
  <c r="Z15" i="29" s="1"/>
  <c r="AA15" i="29" s="1"/>
  <c r="AB15" i="29" s="1"/>
  <c r="N15" i="29"/>
  <c r="O15" i="29" s="1"/>
  <c r="P15" i="29" s="1"/>
  <c r="Q15" i="29" s="1"/>
  <c r="R15" i="29" s="1"/>
  <c r="S15" i="29" s="1"/>
  <c r="T15" i="29" s="1"/>
  <c r="F15" i="29"/>
  <c r="G15" i="29" s="1"/>
  <c r="AL14" i="29"/>
  <c r="AM14" i="29" s="1"/>
  <c r="AN14" i="29" s="1"/>
  <c r="AO14" i="29" s="1"/>
  <c r="AP14" i="29" s="1"/>
  <c r="AQ14" i="29" s="1"/>
  <c r="AR14" i="29" s="1"/>
  <c r="AD14" i="29"/>
  <c r="AE14" i="29" s="1"/>
  <c r="AF14" i="29" s="1"/>
  <c r="AG14" i="29" s="1"/>
  <c r="AH14" i="29" s="1"/>
  <c r="AI14" i="29" s="1"/>
  <c r="AJ14" i="29" s="1"/>
  <c r="W14" i="29"/>
  <c r="X14" i="29" s="1"/>
  <c r="Y14" i="29" s="1"/>
  <c r="Z14" i="29" s="1"/>
  <c r="AA14" i="29" s="1"/>
  <c r="AB14" i="29" s="1"/>
  <c r="V14" i="29"/>
  <c r="N14" i="29"/>
  <c r="O14" i="29" s="1"/>
  <c r="P14" i="29" s="1"/>
  <c r="Q14" i="29" s="1"/>
  <c r="R14" i="29" s="1"/>
  <c r="S14" i="29" s="1"/>
  <c r="T14" i="29" s="1"/>
  <c r="F14" i="29"/>
  <c r="AL13" i="29"/>
  <c r="AM13" i="29" s="1"/>
  <c r="AN13" i="29" s="1"/>
  <c r="AO13" i="29" s="1"/>
  <c r="AP13" i="29" s="1"/>
  <c r="AQ13" i="29" s="1"/>
  <c r="AR13" i="29" s="1"/>
  <c r="AD13" i="29"/>
  <c r="AE13" i="29" s="1"/>
  <c r="AF13" i="29" s="1"/>
  <c r="AG13" i="29" s="1"/>
  <c r="AH13" i="29" s="1"/>
  <c r="AI13" i="29" s="1"/>
  <c r="AJ13" i="29" s="1"/>
  <c r="V13" i="29"/>
  <c r="W13" i="29" s="1"/>
  <c r="X13" i="29" s="1"/>
  <c r="Y13" i="29" s="1"/>
  <c r="Z13" i="29" s="1"/>
  <c r="AA13" i="29" s="1"/>
  <c r="AB13" i="29" s="1"/>
  <c r="O13" i="29"/>
  <c r="P13" i="29" s="1"/>
  <c r="Q13" i="29" s="1"/>
  <c r="R13" i="29" s="1"/>
  <c r="S13" i="29" s="1"/>
  <c r="T13" i="29" s="1"/>
  <c r="N13" i="29"/>
  <c r="F13" i="29"/>
  <c r="AM12" i="29"/>
  <c r="AN12" i="29" s="1"/>
  <c r="AO12" i="29" s="1"/>
  <c r="AP12" i="29" s="1"/>
  <c r="AQ12" i="29" s="1"/>
  <c r="AR12" i="29" s="1"/>
  <c r="AL12" i="29"/>
  <c r="AD12" i="29"/>
  <c r="AE12" i="29" s="1"/>
  <c r="AF12" i="29" s="1"/>
  <c r="AG12" i="29" s="1"/>
  <c r="AH12" i="29" s="1"/>
  <c r="AI12" i="29" s="1"/>
  <c r="AJ12" i="29" s="1"/>
  <c r="V12" i="29"/>
  <c r="W12" i="29" s="1"/>
  <c r="X12" i="29" s="1"/>
  <c r="Y12" i="29" s="1"/>
  <c r="Z12" i="29" s="1"/>
  <c r="AA12" i="29" s="1"/>
  <c r="AB12" i="29" s="1"/>
  <c r="N12" i="29"/>
  <c r="O12" i="29" s="1"/>
  <c r="P12" i="29" s="1"/>
  <c r="Q12" i="29" s="1"/>
  <c r="R12" i="29" s="1"/>
  <c r="S12" i="29" s="1"/>
  <c r="T12" i="29" s="1"/>
  <c r="G12" i="29"/>
  <c r="F12" i="29"/>
  <c r="AL11" i="29"/>
  <c r="AM11" i="29" s="1"/>
  <c r="AN11" i="29" s="1"/>
  <c r="AO11" i="29" s="1"/>
  <c r="AP11" i="29" s="1"/>
  <c r="AQ11" i="29" s="1"/>
  <c r="AR11" i="29" s="1"/>
  <c r="AE11" i="29"/>
  <c r="AF11" i="29" s="1"/>
  <c r="AG11" i="29" s="1"/>
  <c r="AH11" i="29" s="1"/>
  <c r="AI11" i="29" s="1"/>
  <c r="AJ11" i="29" s="1"/>
  <c r="AD11" i="29"/>
  <c r="V11" i="29"/>
  <c r="W11" i="29" s="1"/>
  <c r="X11" i="29" s="1"/>
  <c r="Y11" i="29" s="1"/>
  <c r="Z11" i="29" s="1"/>
  <c r="AA11" i="29" s="1"/>
  <c r="AB11" i="29" s="1"/>
  <c r="N11" i="29"/>
  <c r="O11" i="29" s="1"/>
  <c r="P11" i="29" s="1"/>
  <c r="Q11" i="29" s="1"/>
  <c r="R11" i="29" s="1"/>
  <c r="S11" i="29" s="1"/>
  <c r="T11" i="29" s="1"/>
  <c r="J11" i="29"/>
  <c r="K11" i="29" s="1"/>
  <c r="L11" i="29" s="1"/>
  <c r="G11" i="29"/>
  <c r="H11" i="29" s="1"/>
  <c r="F11" i="29"/>
  <c r="AL10" i="29"/>
  <c r="AE10" i="29"/>
  <c r="AD10" i="29"/>
  <c r="V10" i="29"/>
  <c r="N10" i="29"/>
  <c r="F10" i="29"/>
  <c r="BB5" i="29"/>
  <c r="AB75" i="28"/>
  <c r="AA75" i="28"/>
  <c r="Z75" i="28"/>
  <c r="Y75" i="28"/>
  <c r="Q75" i="28"/>
  <c r="P75" i="28"/>
  <c r="O75" i="28"/>
  <c r="N75" i="28"/>
  <c r="H75" i="28"/>
  <c r="G75" i="28"/>
  <c r="F75" i="28"/>
  <c r="AK74" i="28"/>
  <c r="U74" i="28"/>
  <c r="M74" i="28"/>
  <c r="E74" i="28"/>
  <c r="AL73" i="28"/>
  <c r="AM73" i="28" s="1"/>
  <c r="AN73" i="28" s="1"/>
  <c r="AO73" i="28" s="1"/>
  <c r="AP73" i="28" s="1"/>
  <c r="AQ73" i="28" s="1"/>
  <c r="AR73" i="28" s="1"/>
  <c r="V73" i="28"/>
  <c r="W73" i="28" s="1"/>
  <c r="X73" i="28" s="1"/>
  <c r="Y73" i="28" s="1"/>
  <c r="Z73" i="28" s="1"/>
  <c r="AA73" i="28" s="1"/>
  <c r="AB73" i="28" s="1"/>
  <c r="N73" i="28"/>
  <c r="O73" i="28" s="1"/>
  <c r="P73" i="28" s="1"/>
  <c r="Q73" i="28" s="1"/>
  <c r="R73" i="28" s="1"/>
  <c r="S73" i="28" s="1"/>
  <c r="T73" i="28" s="1"/>
  <c r="G73" i="28"/>
  <c r="H73" i="28" s="1"/>
  <c r="I73" i="28" s="1"/>
  <c r="J73" i="28" s="1"/>
  <c r="K73" i="28" s="1"/>
  <c r="L73" i="28" s="1"/>
  <c r="F73" i="28"/>
  <c r="AM72" i="28"/>
  <c r="AN72" i="28" s="1"/>
  <c r="AO72" i="28" s="1"/>
  <c r="AP72" i="28" s="1"/>
  <c r="AQ72" i="28" s="1"/>
  <c r="AR72" i="28" s="1"/>
  <c r="AL72" i="28"/>
  <c r="V72" i="28"/>
  <c r="W72" i="28" s="1"/>
  <c r="X72" i="28" s="1"/>
  <c r="Y72" i="28" s="1"/>
  <c r="Z72" i="28" s="1"/>
  <c r="AA72" i="28" s="1"/>
  <c r="N72" i="28"/>
  <c r="O72" i="28" s="1"/>
  <c r="P72" i="28" s="1"/>
  <c r="Q72" i="28" s="1"/>
  <c r="R72" i="28" s="1"/>
  <c r="S72" i="28" s="1"/>
  <c r="T72" i="28" s="1"/>
  <c r="F72" i="28"/>
  <c r="G72" i="28" s="1"/>
  <c r="H72" i="28" s="1"/>
  <c r="AL71" i="28"/>
  <c r="AM71" i="28" s="1"/>
  <c r="AN71" i="28" s="1"/>
  <c r="AO71" i="28" s="1"/>
  <c r="AP71" i="28" s="1"/>
  <c r="AQ71" i="28" s="1"/>
  <c r="AR71" i="28" s="1"/>
  <c r="W71" i="28"/>
  <c r="X71" i="28" s="1"/>
  <c r="Y71" i="28" s="1"/>
  <c r="Z71" i="28" s="1"/>
  <c r="AA71" i="28" s="1"/>
  <c r="AB71" i="28" s="1"/>
  <c r="V71" i="28"/>
  <c r="N71" i="28"/>
  <c r="O71" i="28" s="1"/>
  <c r="P71" i="28" s="1"/>
  <c r="Q71" i="28" s="1"/>
  <c r="R71" i="28" s="1"/>
  <c r="S71" i="28" s="1"/>
  <c r="T71" i="28" s="1"/>
  <c r="F71" i="28"/>
  <c r="AP70" i="28"/>
  <c r="AQ70" i="28" s="1"/>
  <c r="AR70" i="28" s="1"/>
  <c r="AL70" i="28"/>
  <c r="AM70" i="28" s="1"/>
  <c r="AN70" i="28" s="1"/>
  <c r="AO70" i="28" s="1"/>
  <c r="V70" i="28"/>
  <c r="W70" i="28" s="1"/>
  <c r="X70" i="28" s="1"/>
  <c r="Y70" i="28" s="1"/>
  <c r="Z70" i="28" s="1"/>
  <c r="AA70" i="28" s="1"/>
  <c r="AB70" i="28" s="1"/>
  <c r="O70" i="28"/>
  <c r="P70" i="28" s="1"/>
  <c r="Q70" i="28" s="1"/>
  <c r="R70" i="28" s="1"/>
  <c r="S70" i="28" s="1"/>
  <c r="T70" i="28" s="1"/>
  <c r="N70" i="28"/>
  <c r="F70" i="28"/>
  <c r="AL69" i="28"/>
  <c r="AM69" i="28" s="1"/>
  <c r="AN69" i="28" s="1"/>
  <c r="AO69" i="28" s="1"/>
  <c r="AP69" i="28" s="1"/>
  <c r="AQ69" i="28" s="1"/>
  <c r="AR69" i="28" s="1"/>
  <c r="Y69" i="28"/>
  <c r="Z69" i="28" s="1"/>
  <c r="AA69" i="28" s="1"/>
  <c r="AB69" i="28" s="1"/>
  <c r="V69" i="28"/>
  <c r="W69" i="28" s="1"/>
  <c r="X69" i="28" s="1"/>
  <c r="N69" i="28"/>
  <c r="O69" i="28" s="1"/>
  <c r="P69" i="28" s="1"/>
  <c r="Q69" i="28" s="1"/>
  <c r="R69" i="28" s="1"/>
  <c r="S69" i="28" s="1"/>
  <c r="T69" i="28" s="1"/>
  <c r="G69" i="28"/>
  <c r="H69" i="28" s="1"/>
  <c r="I69" i="28" s="1"/>
  <c r="J69" i="28" s="1"/>
  <c r="K69" i="28" s="1"/>
  <c r="L69" i="28" s="1"/>
  <c r="F69" i="28"/>
  <c r="AL68" i="28"/>
  <c r="AM68" i="28" s="1"/>
  <c r="AN68" i="28" s="1"/>
  <c r="AO68" i="28" s="1"/>
  <c r="AP68" i="28" s="1"/>
  <c r="AQ68" i="28" s="1"/>
  <c r="AR68" i="28" s="1"/>
  <c r="V68" i="28"/>
  <c r="W68" i="28" s="1"/>
  <c r="X68" i="28" s="1"/>
  <c r="Y68" i="28" s="1"/>
  <c r="Z68" i="28" s="1"/>
  <c r="AA68" i="28" s="1"/>
  <c r="AB68" i="28" s="1"/>
  <c r="N68" i="28"/>
  <c r="O68" i="28" s="1"/>
  <c r="P68" i="28" s="1"/>
  <c r="Q68" i="28" s="1"/>
  <c r="R68" i="28" s="1"/>
  <c r="S68" i="28" s="1"/>
  <c r="T68" i="28" s="1"/>
  <c r="F68" i="28"/>
  <c r="G68" i="28" s="1"/>
  <c r="AL67" i="28"/>
  <c r="AM67" i="28" s="1"/>
  <c r="AN67" i="28" s="1"/>
  <c r="AO67" i="28" s="1"/>
  <c r="AP67" i="28" s="1"/>
  <c r="AQ67" i="28" s="1"/>
  <c r="AR67" i="28" s="1"/>
  <c r="V67" i="28"/>
  <c r="W67" i="28" s="1"/>
  <c r="X67" i="28" s="1"/>
  <c r="Y67" i="28" s="1"/>
  <c r="Z67" i="28" s="1"/>
  <c r="AA67" i="28" s="1"/>
  <c r="AB67" i="28" s="1"/>
  <c r="N67" i="28"/>
  <c r="O67" i="28" s="1"/>
  <c r="P67" i="28" s="1"/>
  <c r="Q67" i="28" s="1"/>
  <c r="R67" i="28" s="1"/>
  <c r="S67" i="28" s="1"/>
  <c r="T67" i="28" s="1"/>
  <c r="F67" i="28"/>
  <c r="AL66" i="28"/>
  <c r="AM66" i="28" s="1"/>
  <c r="AN66" i="28" s="1"/>
  <c r="AO66" i="28" s="1"/>
  <c r="AP66" i="28" s="1"/>
  <c r="AQ66" i="28" s="1"/>
  <c r="AR66" i="28" s="1"/>
  <c r="V66" i="28"/>
  <c r="W66" i="28" s="1"/>
  <c r="X66" i="28" s="1"/>
  <c r="Y66" i="28" s="1"/>
  <c r="Z66" i="28" s="1"/>
  <c r="AA66" i="28" s="1"/>
  <c r="AB66" i="28" s="1"/>
  <c r="N66" i="28"/>
  <c r="O66" i="28" s="1"/>
  <c r="P66" i="28" s="1"/>
  <c r="Q66" i="28" s="1"/>
  <c r="R66" i="28" s="1"/>
  <c r="S66" i="28" s="1"/>
  <c r="T66" i="28" s="1"/>
  <c r="F66" i="28"/>
  <c r="AM65" i="28"/>
  <c r="AN65" i="28" s="1"/>
  <c r="AO65" i="28" s="1"/>
  <c r="AP65" i="28" s="1"/>
  <c r="AQ65" i="28" s="1"/>
  <c r="AR65" i="28" s="1"/>
  <c r="AL65" i="28"/>
  <c r="V65" i="28"/>
  <c r="W65" i="28" s="1"/>
  <c r="X65" i="28" s="1"/>
  <c r="Y65" i="28" s="1"/>
  <c r="Z65" i="28" s="1"/>
  <c r="AA65" i="28" s="1"/>
  <c r="AB65" i="28" s="1"/>
  <c r="N65" i="28"/>
  <c r="O65" i="28" s="1"/>
  <c r="P65" i="28" s="1"/>
  <c r="Q65" i="28" s="1"/>
  <c r="R65" i="28" s="1"/>
  <c r="S65" i="28" s="1"/>
  <c r="T65" i="28" s="1"/>
  <c r="F65" i="28"/>
  <c r="G65" i="28" s="1"/>
  <c r="H65" i="28" s="1"/>
  <c r="I65" i="28" s="1"/>
  <c r="J65" i="28" s="1"/>
  <c r="K65" i="28" s="1"/>
  <c r="L65" i="28" s="1"/>
  <c r="AM64" i="28"/>
  <c r="AN64" i="28" s="1"/>
  <c r="AO64" i="28" s="1"/>
  <c r="AP64" i="28" s="1"/>
  <c r="AQ64" i="28" s="1"/>
  <c r="AR64" i="28" s="1"/>
  <c r="AL64" i="28"/>
  <c r="V64" i="28"/>
  <c r="W64" i="28" s="1"/>
  <c r="X64" i="28" s="1"/>
  <c r="Y64" i="28" s="1"/>
  <c r="Z64" i="28" s="1"/>
  <c r="AA64" i="28" s="1"/>
  <c r="AB64" i="28" s="1"/>
  <c r="N64" i="28"/>
  <c r="O64" i="28" s="1"/>
  <c r="F64" i="28"/>
  <c r="G64" i="28" s="1"/>
  <c r="H64" i="28" s="1"/>
  <c r="I64" i="28" s="1"/>
  <c r="J64" i="28" s="1"/>
  <c r="K64" i="28" s="1"/>
  <c r="L64" i="28" s="1"/>
  <c r="AL63" i="28"/>
  <c r="AM63" i="28" s="1"/>
  <c r="AN63" i="28" s="1"/>
  <c r="AO63" i="28" s="1"/>
  <c r="AP63" i="28" s="1"/>
  <c r="AQ63" i="28" s="1"/>
  <c r="AR63" i="28" s="1"/>
  <c r="V63" i="28"/>
  <c r="W63" i="28" s="1"/>
  <c r="X63" i="28" s="1"/>
  <c r="Y63" i="28" s="1"/>
  <c r="Z63" i="28" s="1"/>
  <c r="AA63" i="28" s="1"/>
  <c r="AB63" i="28" s="1"/>
  <c r="N63" i="28"/>
  <c r="O63" i="28" s="1"/>
  <c r="P63" i="28" s="1"/>
  <c r="Q63" i="28" s="1"/>
  <c r="R63" i="28" s="1"/>
  <c r="S63" i="28" s="1"/>
  <c r="T63" i="28" s="1"/>
  <c r="F63" i="28"/>
  <c r="AL62" i="28"/>
  <c r="AM62" i="28" s="1"/>
  <c r="AN62" i="28" s="1"/>
  <c r="AO62" i="28" s="1"/>
  <c r="AP62" i="28" s="1"/>
  <c r="AQ62" i="28" s="1"/>
  <c r="AR62" i="28" s="1"/>
  <c r="W62" i="28"/>
  <c r="X62" i="28" s="1"/>
  <c r="Y62" i="28" s="1"/>
  <c r="Z62" i="28" s="1"/>
  <c r="AA62" i="28" s="1"/>
  <c r="AB62" i="28" s="1"/>
  <c r="V62" i="28"/>
  <c r="N62" i="28"/>
  <c r="O62" i="28" s="1"/>
  <c r="P62" i="28" s="1"/>
  <c r="Q62" i="28" s="1"/>
  <c r="R62" i="28" s="1"/>
  <c r="S62" i="28" s="1"/>
  <c r="T62" i="28" s="1"/>
  <c r="F62" i="28"/>
  <c r="AL61" i="28"/>
  <c r="AM61" i="28" s="1"/>
  <c r="AN61" i="28" s="1"/>
  <c r="AO61" i="28" s="1"/>
  <c r="AP61" i="28" s="1"/>
  <c r="AQ61" i="28" s="1"/>
  <c r="AR61" i="28" s="1"/>
  <c r="V61" i="28"/>
  <c r="W61" i="28" s="1"/>
  <c r="X61" i="28" s="1"/>
  <c r="Y61" i="28" s="1"/>
  <c r="Z61" i="28" s="1"/>
  <c r="AA61" i="28" s="1"/>
  <c r="AB61" i="28" s="1"/>
  <c r="N61" i="28"/>
  <c r="O61" i="28" s="1"/>
  <c r="P61" i="28" s="1"/>
  <c r="Q61" i="28" s="1"/>
  <c r="R61" i="28" s="1"/>
  <c r="S61" i="28" s="1"/>
  <c r="T61" i="28" s="1"/>
  <c r="G61" i="28"/>
  <c r="H61" i="28" s="1"/>
  <c r="I61" i="28" s="1"/>
  <c r="J61" i="28" s="1"/>
  <c r="K61" i="28" s="1"/>
  <c r="L61" i="28" s="1"/>
  <c r="F61" i="28"/>
  <c r="AM60" i="28"/>
  <c r="AN60" i="28" s="1"/>
  <c r="AO60" i="28" s="1"/>
  <c r="AP60" i="28" s="1"/>
  <c r="AQ60" i="28" s="1"/>
  <c r="AR60" i="28" s="1"/>
  <c r="AL60" i="28"/>
  <c r="V60" i="28"/>
  <c r="W60" i="28" s="1"/>
  <c r="X60" i="28" s="1"/>
  <c r="Y60" i="28" s="1"/>
  <c r="Z60" i="28" s="1"/>
  <c r="AA60" i="28" s="1"/>
  <c r="AB60" i="28" s="1"/>
  <c r="N60" i="28"/>
  <c r="O60" i="28" s="1"/>
  <c r="P60" i="28" s="1"/>
  <c r="Q60" i="28" s="1"/>
  <c r="R60" i="28" s="1"/>
  <c r="S60" i="28" s="1"/>
  <c r="T60" i="28" s="1"/>
  <c r="F60" i="28"/>
  <c r="AL59" i="28"/>
  <c r="AM59" i="28" s="1"/>
  <c r="AN59" i="28" s="1"/>
  <c r="AO59" i="28" s="1"/>
  <c r="AP59" i="28" s="1"/>
  <c r="AQ59" i="28" s="1"/>
  <c r="AR59" i="28" s="1"/>
  <c r="V59" i="28"/>
  <c r="W59" i="28" s="1"/>
  <c r="X59" i="28" s="1"/>
  <c r="Y59" i="28" s="1"/>
  <c r="Z59" i="28" s="1"/>
  <c r="AA59" i="28" s="1"/>
  <c r="AB59" i="28" s="1"/>
  <c r="N59" i="28"/>
  <c r="O59" i="28" s="1"/>
  <c r="P59" i="28" s="1"/>
  <c r="Q59" i="28" s="1"/>
  <c r="R59" i="28" s="1"/>
  <c r="S59" i="28" s="1"/>
  <c r="T59" i="28" s="1"/>
  <c r="F59" i="28"/>
  <c r="AL58" i="28"/>
  <c r="AM58" i="28" s="1"/>
  <c r="AN58" i="28" s="1"/>
  <c r="AO58" i="28" s="1"/>
  <c r="AP58" i="28" s="1"/>
  <c r="AQ58" i="28" s="1"/>
  <c r="AR58" i="28" s="1"/>
  <c r="W58" i="28"/>
  <c r="X58" i="28" s="1"/>
  <c r="Y58" i="28" s="1"/>
  <c r="Z58" i="28" s="1"/>
  <c r="AA58" i="28" s="1"/>
  <c r="AB58" i="28" s="1"/>
  <c r="V58" i="28"/>
  <c r="N58" i="28"/>
  <c r="O58" i="28" s="1"/>
  <c r="P58" i="28" s="1"/>
  <c r="Q58" i="28" s="1"/>
  <c r="R58" i="28" s="1"/>
  <c r="S58" i="28" s="1"/>
  <c r="T58" i="28" s="1"/>
  <c r="F58" i="28"/>
  <c r="AL57" i="28"/>
  <c r="AM57" i="28" s="1"/>
  <c r="AN57" i="28" s="1"/>
  <c r="AO57" i="28" s="1"/>
  <c r="AP57" i="28" s="1"/>
  <c r="AQ57" i="28" s="1"/>
  <c r="AR57" i="28" s="1"/>
  <c r="V57" i="28"/>
  <c r="W57" i="28" s="1"/>
  <c r="X57" i="28" s="1"/>
  <c r="Y57" i="28" s="1"/>
  <c r="Z57" i="28" s="1"/>
  <c r="AA57" i="28" s="1"/>
  <c r="AB57" i="28" s="1"/>
  <c r="N57" i="28"/>
  <c r="O57" i="28" s="1"/>
  <c r="P57" i="28" s="1"/>
  <c r="Q57" i="28" s="1"/>
  <c r="R57" i="28" s="1"/>
  <c r="S57" i="28" s="1"/>
  <c r="T57" i="28" s="1"/>
  <c r="F57" i="28"/>
  <c r="G57" i="28" s="1"/>
  <c r="H57" i="28" s="1"/>
  <c r="I57" i="28" s="1"/>
  <c r="J57" i="28" s="1"/>
  <c r="K57" i="28" s="1"/>
  <c r="L57" i="28" s="1"/>
  <c r="AL56" i="28"/>
  <c r="AM56" i="28" s="1"/>
  <c r="AN56" i="28" s="1"/>
  <c r="AO56" i="28" s="1"/>
  <c r="AP56" i="28" s="1"/>
  <c r="AQ56" i="28" s="1"/>
  <c r="AR56" i="28" s="1"/>
  <c r="V56" i="28"/>
  <c r="W56" i="28" s="1"/>
  <c r="X56" i="28" s="1"/>
  <c r="Y56" i="28" s="1"/>
  <c r="Z56" i="28" s="1"/>
  <c r="AA56" i="28" s="1"/>
  <c r="AB56" i="28" s="1"/>
  <c r="N56" i="28"/>
  <c r="O56" i="28" s="1"/>
  <c r="P56" i="28" s="1"/>
  <c r="Q56" i="28" s="1"/>
  <c r="R56" i="28" s="1"/>
  <c r="S56" i="28" s="1"/>
  <c r="T56" i="28" s="1"/>
  <c r="F56" i="28"/>
  <c r="G56" i="28" s="1"/>
  <c r="H56" i="28" s="1"/>
  <c r="I56" i="28" s="1"/>
  <c r="J56" i="28" s="1"/>
  <c r="K56" i="28" s="1"/>
  <c r="L56" i="28" s="1"/>
  <c r="AO55" i="28"/>
  <c r="AP55" i="28" s="1"/>
  <c r="AQ55" i="28" s="1"/>
  <c r="AR55" i="28" s="1"/>
  <c r="AL55" i="28"/>
  <c r="AM55" i="28" s="1"/>
  <c r="AN55" i="28" s="1"/>
  <c r="V55" i="28"/>
  <c r="W55" i="28" s="1"/>
  <c r="X55" i="28" s="1"/>
  <c r="Y55" i="28" s="1"/>
  <c r="Z55" i="28" s="1"/>
  <c r="AA55" i="28" s="1"/>
  <c r="AB55" i="28" s="1"/>
  <c r="N55" i="28"/>
  <c r="O55" i="28" s="1"/>
  <c r="P55" i="28" s="1"/>
  <c r="Q55" i="28" s="1"/>
  <c r="R55" i="28" s="1"/>
  <c r="S55" i="28" s="1"/>
  <c r="T55" i="28" s="1"/>
  <c r="F55" i="28"/>
  <c r="AL54" i="28"/>
  <c r="AM54" i="28" s="1"/>
  <c r="AN54" i="28" s="1"/>
  <c r="AO54" i="28" s="1"/>
  <c r="AP54" i="28" s="1"/>
  <c r="AQ54" i="28" s="1"/>
  <c r="AR54" i="28" s="1"/>
  <c r="W54" i="28"/>
  <c r="X54" i="28" s="1"/>
  <c r="Y54" i="28" s="1"/>
  <c r="Z54" i="28" s="1"/>
  <c r="AA54" i="28" s="1"/>
  <c r="AB54" i="28" s="1"/>
  <c r="V54" i="28"/>
  <c r="N54" i="28"/>
  <c r="O54" i="28" s="1"/>
  <c r="P54" i="28" s="1"/>
  <c r="Q54" i="28" s="1"/>
  <c r="R54" i="28" s="1"/>
  <c r="S54" i="28" s="1"/>
  <c r="T54" i="28" s="1"/>
  <c r="F54" i="28"/>
  <c r="AL53" i="28"/>
  <c r="AM53" i="28" s="1"/>
  <c r="AN53" i="28" s="1"/>
  <c r="AO53" i="28" s="1"/>
  <c r="AP53" i="28" s="1"/>
  <c r="AQ53" i="28" s="1"/>
  <c r="AR53" i="28" s="1"/>
  <c r="V53" i="28"/>
  <c r="W53" i="28" s="1"/>
  <c r="X53" i="28" s="1"/>
  <c r="Y53" i="28" s="1"/>
  <c r="Z53" i="28" s="1"/>
  <c r="AA53" i="28" s="1"/>
  <c r="AB53" i="28" s="1"/>
  <c r="N53" i="28"/>
  <c r="O53" i="28" s="1"/>
  <c r="P53" i="28" s="1"/>
  <c r="Q53" i="28" s="1"/>
  <c r="R53" i="28" s="1"/>
  <c r="S53" i="28" s="1"/>
  <c r="T53" i="28" s="1"/>
  <c r="G53" i="28"/>
  <c r="H53" i="28" s="1"/>
  <c r="I53" i="28" s="1"/>
  <c r="J53" i="28" s="1"/>
  <c r="K53" i="28" s="1"/>
  <c r="L53" i="28" s="1"/>
  <c r="F53" i="28"/>
  <c r="AL52" i="28"/>
  <c r="AM52" i="28" s="1"/>
  <c r="AN52" i="28" s="1"/>
  <c r="AO52" i="28" s="1"/>
  <c r="AP52" i="28" s="1"/>
  <c r="AQ52" i="28" s="1"/>
  <c r="AR52" i="28" s="1"/>
  <c r="V52" i="28"/>
  <c r="W52" i="28" s="1"/>
  <c r="X52" i="28" s="1"/>
  <c r="Y52" i="28" s="1"/>
  <c r="Z52" i="28" s="1"/>
  <c r="AA52" i="28" s="1"/>
  <c r="AB52" i="28" s="1"/>
  <c r="N52" i="28"/>
  <c r="O52" i="28" s="1"/>
  <c r="P52" i="28" s="1"/>
  <c r="Q52" i="28" s="1"/>
  <c r="R52" i="28" s="1"/>
  <c r="S52" i="28" s="1"/>
  <c r="T52" i="28" s="1"/>
  <c r="F52" i="28"/>
  <c r="G52" i="28" s="1"/>
  <c r="H52" i="28" s="1"/>
  <c r="I52" i="28" s="1"/>
  <c r="J52" i="28" s="1"/>
  <c r="K52" i="28" s="1"/>
  <c r="L52" i="28" s="1"/>
  <c r="AL51" i="28"/>
  <c r="AM51" i="28" s="1"/>
  <c r="AN51" i="28" s="1"/>
  <c r="AO51" i="28" s="1"/>
  <c r="AP51" i="28" s="1"/>
  <c r="AQ51" i="28" s="1"/>
  <c r="AR51" i="28" s="1"/>
  <c r="V51" i="28"/>
  <c r="W51" i="28" s="1"/>
  <c r="X51" i="28" s="1"/>
  <c r="Y51" i="28" s="1"/>
  <c r="Z51" i="28" s="1"/>
  <c r="AA51" i="28" s="1"/>
  <c r="AB51" i="28" s="1"/>
  <c r="N51" i="28"/>
  <c r="O51" i="28" s="1"/>
  <c r="P51" i="28" s="1"/>
  <c r="Q51" i="28" s="1"/>
  <c r="R51" i="28" s="1"/>
  <c r="S51" i="28" s="1"/>
  <c r="T51" i="28" s="1"/>
  <c r="F51" i="28"/>
  <c r="AL50" i="28"/>
  <c r="AM50" i="28" s="1"/>
  <c r="AN50" i="28" s="1"/>
  <c r="AO50" i="28" s="1"/>
  <c r="AP50" i="28" s="1"/>
  <c r="AQ50" i="28" s="1"/>
  <c r="AR50" i="28" s="1"/>
  <c r="Y50" i="28"/>
  <c r="Z50" i="28" s="1"/>
  <c r="AA50" i="28" s="1"/>
  <c r="AB50" i="28" s="1"/>
  <c r="V50" i="28"/>
  <c r="W50" i="28" s="1"/>
  <c r="X50" i="28" s="1"/>
  <c r="N50" i="28"/>
  <c r="O50" i="28" s="1"/>
  <c r="P50" i="28" s="1"/>
  <c r="Q50" i="28" s="1"/>
  <c r="R50" i="28" s="1"/>
  <c r="S50" i="28" s="1"/>
  <c r="T50" i="28" s="1"/>
  <c r="G50" i="28"/>
  <c r="H50" i="28" s="1"/>
  <c r="I50" i="28" s="1"/>
  <c r="J50" i="28" s="1"/>
  <c r="K50" i="28" s="1"/>
  <c r="L50" i="28" s="1"/>
  <c r="F50" i="28"/>
  <c r="AL49" i="28"/>
  <c r="AM49" i="28" s="1"/>
  <c r="AN49" i="28" s="1"/>
  <c r="AO49" i="28" s="1"/>
  <c r="AP49" i="28" s="1"/>
  <c r="AQ49" i="28" s="1"/>
  <c r="AR49" i="28" s="1"/>
  <c r="V49" i="28"/>
  <c r="W49" i="28" s="1"/>
  <c r="X49" i="28" s="1"/>
  <c r="Y49" i="28" s="1"/>
  <c r="Z49" i="28" s="1"/>
  <c r="AA49" i="28" s="1"/>
  <c r="AB49" i="28" s="1"/>
  <c r="N49" i="28"/>
  <c r="O49" i="28" s="1"/>
  <c r="P49" i="28" s="1"/>
  <c r="Q49" i="28" s="1"/>
  <c r="R49" i="28" s="1"/>
  <c r="S49" i="28" s="1"/>
  <c r="T49" i="28" s="1"/>
  <c r="F49" i="28"/>
  <c r="G49" i="28" s="1"/>
  <c r="AL48" i="28"/>
  <c r="AM48" i="28" s="1"/>
  <c r="AN48" i="28" s="1"/>
  <c r="AO48" i="28" s="1"/>
  <c r="AP48" i="28" s="1"/>
  <c r="AQ48" i="28" s="1"/>
  <c r="AR48" i="28" s="1"/>
  <c r="V48" i="28"/>
  <c r="W48" i="28" s="1"/>
  <c r="X48" i="28" s="1"/>
  <c r="Y48" i="28" s="1"/>
  <c r="Z48" i="28" s="1"/>
  <c r="AA48" i="28" s="1"/>
  <c r="AB48" i="28" s="1"/>
  <c r="N48" i="28"/>
  <c r="O48" i="28" s="1"/>
  <c r="P48" i="28" s="1"/>
  <c r="Q48" i="28" s="1"/>
  <c r="R48" i="28" s="1"/>
  <c r="S48" i="28" s="1"/>
  <c r="T48" i="28" s="1"/>
  <c r="F48" i="28"/>
  <c r="AL47" i="28"/>
  <c r="AM47" i="28" s="1"/>
  <c r="AN47" i="28" s="1"/>
  <c r="AO47" i="28" s="1"/>
  <c r="AP47" i="28" s="1"/>
  <c r="AQ47" i="28" s="1"/>
  <c r="AR47" i="28" s="1"/>
  <c r="X47" i="28"/>
  <c r="Y47" i="28" s="1"/>
  <c r="Z47" i="28" s="1"/>
  <c r="AA47" i="28" s="1"/>
  <c r="AB47" i="28" s="1"/>
  <c r="V47" i="28"/>
  <c r="W47" i="28" s="1"/>
  <c r="N47" i="28"/>
  <c r="O47" i="28" s="1"/>
  <c r="P47" i="28" s="1"/>
  <c r="Q47" i="28" s="1"/>
  <c r="R47" i="28" s="1"/>
  <c r="S47" i="28" s="1"/>
  <c r="T47" i="28" s="1"/>
  <c r="F47" i="28"/>
  <c r="AL46" i="28"/>
  <c r="AM46" i="28" s="1"/>
  <c r="AN46" i="28" s="1"/>
  <c r="AO46" i="28" s="1"/>
  <c r="AP46" i="28" s="1"/>
  <c r="AQ46" i="28" s="1"/>
  <c r="AR46" i="28" s="1"/>
  <c r="V46" i="28"/>
  <c r="W46" i="28" s="1"/>
  <c r="X46" i="28" s="1"/>
  <c r="Y46" i="28" s="1"/>
  <c r="Z46" i="28" s="1"/>
  <c r="AA46" i="28" s="1"/>
  <c r="AB46" i="28" s="1"/>
  <c r="N46" i="28"/>
  <c r="O46" i="28" s="1"/>
  <c r="P46" i="28" s="1"/>
  <c r="Q46" i="28" s="1"/>
  <c r="R46" i="28" s="1"/>
  <c r="S46" i="28" s="1"/>
  <c r="T46" i="28" s="1"/>
  <c r="F46" i="28"/>
  <c r="G46" i="28" s="1"/>
  <c r="AN45" i="28"/>
  <c r="AO45" i="28" s="1"/>
  <c r="AP45" i="28" s="1"/>
  <c r="AQ45" i="28" s="1"/>
  <c r="AR45" i="28" s="1"/>
  <c r="AL45" i="28"/>
  <c r="AM45" i="28" s="1"/>
  <c r="V45" i="28"/>
  <c r="W45" i="28" s="1"/>
  <c r="X45" i="28" s="1"/>
  <c r="Y45" i="28" s="1"/>
  <c r="Z45" i="28" s="1"/>
  <c r="AA45" i="28" s="1"/>
  <c r="AB45" i="28" s="1"/>
  <c r="N45" i="28"/>
  <c r="O45" i="28" s="1"/>
  <c r="P45" i="28" s="1"/>
  <c r="Q45" i="28" s="1"/>
  <c r="R45" i="28" s="1"/>
  <c r="S45" i="28" s="1"/>
  <c r="T45" i="28" s="1"/>
  <c r="F45" i="28"/>
  <c r="G45" i="28" s="1"/>
  <c r="H45" i="28" s="1"/>
  <c r="I45" i="28" s="1"/>
  <c r="J45" i="28" s="1"/>
  <c r="K45" i="28" s="1"/>
  <c r="L45" i="28" s="1"/>
  <c r="AL44" i="28"/>
  <c r="AM44" i="28" s="1"/>
  <c r="AN44" i="28" s="1"/>
  <c r="AO44" i="28" s="1"/>
  <c r="AP44" i="28" s="1"/>
  <c r="AQ44" i="28" s="1"/>
  <c r="AR44" i="28" s="1"/>
  <c r="W44" i="28"/>
  <c r="X44" i="28" s="1"/>
  <c r="Y44" i="28" s="1"/>
  <c r="Z44" i="28" s="1"/>
  <c r="AA44" i="28" s="1"/>
  <c r="AB44" i="28" s="1"/>
  <c r="V44" i="28"/>
  <c r="N44" i="28"/>
  <c r="O44" i="28" s="1"/>
  <c r="P44" i="28" s="1"/>
  <c r="Q44" i="28" s="1"/>
  <c r="R44" i="28" s="1"/>
  <c r="S44" i="28" s="1"/>
  <c r="T44" i="28" s="1"/>
  <c r="F44" i="28"/>
  <c r="AL43" i="28"/>
  <c r="AM43" i="28" s="1"/>
  <c r="AN43" i="28" s="1"/>
  <c r="AO43" i="28" s="1"/>
  <c r="AP43" i="28" s="1"/>
  <c r="AQ43" i="28" s="1"/>
  <c r="AR43" i="28" s="1"/>
  <c r="V43" i="28"/>
  <c r="W43" i="28" s="1"/>
  <c r="X43" i="28" s="1"/>
  <c r="Y43" i="28" s="1"/>
  <c r="Z43" i="28" s="1"/>
  <c r="AA43" i="28" s="1"/>
  <c r="AB43" i="28" s="1"/>
  <c r="O43" i="28"/>
  <c r="P43" i="28" s="1"/>
  <c r="Q43" i="28" s="1"/>
  <c r="R43" i="28" s="1"/>
  <c r="S43" i="28" s="1"/>
  <c r="T43" i="28" s="1"/>
  <c r="N43" i="28"/>
  <c r="F43" i="28"/>
  <c r="G43" i="28" s="1"/>
  <c r="H43" i="28" s="1"/>
  <c r="I43" i="28" s="1"/>
  <c r="J43" i="28" s="1"/>
  <c r="K43" i="28" s="1"/>
  <c r="L43" i="28" s="1"/>
  <c r="AM42" i="28"/>
  <c r="AN42" i="28" s="1"/>
  <c r="AO42" i="28" s="1"/>
  <c r="AP42" i="28" s="1"/>
  <c r="AQ42" i="28" s="1"/>
  <c r="AR42" i="28" s="1"/>
  <c r="AL42" i="28"/>
  <c r="V42" i="28"/>
  <c r="W42" i="28" s="1"/>
  <c r="X42" i="28" s="1"/>
  <c r="Y42" i="28" s="1"/>
  <c r="Z42" i="28" s="1"/>
  <c r="AA42" i="28" s="1"/>
  <c r="AB42" i="28" s="1"/>
  <c r="N42" i="28"/>
  <c r="O42" i="28" s="1"/>
  <c r="P42" i="28" s="1"/>
  <c r="Q42" i="28" s="1"/>
  <c r="R42" i="28" s="1"/>
  <c r="S42" i="28" s="1"/>
  <c r="T42" i="28" s="1"/>
  <c r="G42" i="28"/>
  <c r="H42" i="28" s="1"/>
  <c r="I42" i="28" s="1"/>
  <c r="J42" i="28" s="1"/>
  <c r="K42" i="28" s="1"/>
  <c r="L42" i="28" s="1"/>
  <c r="F42" i="28"/>
  <c r="AL41" i="28"/>
  <c r="AM41" i="28" s="1"/>
  <c r="AN41" i="28" s="1"/>
  <c r="AO41" i="28" s="1"/>
  <c r="AP41" i="28" s="1"/>
  <c r="AQ41" i="28" s="1"/>
  <c r="AR41" i="28" s="1"/>
  <c r="V41" i="28"/>
  <c r="W41" i="28" s="1"/>
  <c r="X41" i="28" s="1"/>
  <c r="Y41" i="28" s="1"/>
  <c r="Z41" i="28" s="1"/>
  <c r="AA41" i="28" s="1"/>
  <c r="AB41" i="28" s="1"/>
  <c r="N41" i="28"/>
  <c r="O41" i="28" s="1"/>
  <c r="P41" i="28" s="1"/>
  <c r="Q41" i="28" s="1"/>
  <c r="R41" i="28" s="1"/>
  <c r="S41" i="28" s="1"/>
  <c r="T41" i="28" s="1"/>
  <c r="F41" i="28"/>
  <c r="G41" i="28" s="1"/>
  <c r="H41" i="28" s="1"/>
  <c r="I41" i="28" s="1"/>
  <c r="J41" i="28" s="1"/>
  <c r="K41" i="28" s="1"/>
  <c r="L41" i="28" s="1"/>
  <c r="AO40" i="28"/>
  <c r="AP40" i="28" s="1"/>
  <c r="AQ40" i="28" s="1"/>
  <c r="AR40" i="28" s="1"/>
  <c r="AL40" i="28"/>
  <c r="AM40" i="28" s="1"/>
  <c r="AN40" i="28" s="1"/>
  <c r="W40" i="28"/>
  <c r="X40" i="28" s="1"/>
  <c r="Y40" i="28" s="1"/>
  <c r="Z40" i="28" s="1"/>
  <c r="AA40" i="28" s="1"/>
  <c r="AB40" i="28" s="1"/>
  <c r="V40" i="28"/>
  <c r="O40" i="28"/>
  <c r="P40" i="28" s="1"/>
  <c r="Q40" i="28" s="1"/>
  <c r="R40" i="28" s="1"/>
  <c r="S40" i="28" s="1"/>
  <c r="T40" i="28" s="1"/>
  <c r="N40" i="28"/>
  <c r="F40" i="28"/>
  <c r="AL39" i="28"/>
  <c r="AM39" i="28" s="1"/>
  <c r="AN39" i="28" s="1"/>
  <c r="AO39" i="28" s="1"/>
  <c r="AP39" i="28" s="1"/>
  <c r="AQ39" i="28" s="1"/>
  <c r="AR39" i="28" s="1"/>
  <c r="V39" i="28"/>
  <c r="W39" i="28" s="1"/>
  <c r="X39" i="28" s="1"/>
  <c r="Y39" i="28" s="1"/>
  <c r="Z39" i="28" s="1"/>
  <c r="AA39" i="28" s="1"/>
  <c r="AB39" i="28" s="1"/>
  <c r="N39" i="28"/>
  <c r="O39" i="28" s="1"/>
  <c r="P39" i="28" s="1"/>
  <c r="Q39" i="28" s="1"/>
  <c r="R39" i="28" s="1"/>
  <c r="S39" i="28" s="1"/>
  <c r="T39" i="28" s="1"/>
  <c r="F39" i="28"/>
  <c r="AL38" i="28"/>
  <c r="AM38" i="28" s="1"/>
  <c r="AN38" i="28" s="1"/>
  <c r="AO38" i="28" s="1"/>
  <c r="AP38" i="28" s="1"/>
  <c r="AQ38" i="28" s="1"/>
  <c r="AR38" i="28" s="1"/>
  <c r="V38" i="28"/>
  <c r="W38" i="28" s="1"/>
  <c r="X38" i="28" s="1"/>
  <c r="Y38" i="28" s="1"/>
  <c r="Z38" i="28" s="1"/>
  <c r="AA38" i="28" s="1"/>
  <c r="AB38" i="28" s="1"/>
  <c r="N38" i="28"/>
  <c r="O38" i="28" s="1"/>
  <c r="P38" i="28" s="1"/>
  <c r="Q38" i="28" s="1"/>
  <c r="R38" i="28" s="1"/>
  <c r="S38" i="28" s="1"/>
  <c r="T38" i="28" s="1"/>
  <c r="F38" i="28"/>
  <c r="G38" i="28" s="1"/>
  <c r="H38" i="28" s="1"/>
  <c r="I38" i="28" s="1"/>
  <c r="J38" i="28" s="1"/>
  <c r="K38" i="28" s="1"/>
  <c r="L38" i="28" s="1"/>
  <c r="AL37" i="28"/>
  <c r="AM37" i="28" s="1"/>
  <c r="AN37" i="28" s="1"/>
  <c r="AO37" i="28" s="1"/>
  <c r="AP37" i="28" s="1"/>
  <c r="AQ37" i="28" s="1"/>
  <c r="AR37" i="28" s="1"/>
  <c r="V37" i="28"/>
  <c r="W37" i="28" s="1"/>
  <c r="X37" i="28" s="1"/>
  <c r="Y37" i="28" s="1"/>
  <c r="Z37" i="28" s="1"/>
  <c r="AA37" i="28" s="1"/>
  <c r="AB37" i="28" s="1"/>
  <c r="N37" i="28"/>
  <c r="O37" i="28" s="1"/>
  <c r="P37" i="28" s="1"/>
  <c r="Q37" i="28" s="1"/>
  <c r="R37" i="28" s="1"/>
  <c r="S37" i="28" s="1"/>
  <c r="T37" i="28" s="1"/>
  <c r="F37" i="28"/>
  <c r="G37" i="28" s="1"/>
  <c r="H37" i="28" s="1"/>
  <c r="I37" i="28" s="1"/>
  <c r="J37" i="28" s="1"/>
  <c r="K37" i="28" s="1"/>
  <c r="L37" i="28" s="1"/>
  <c r="AL36" i="28"/>
  <c r="AM36" i="28" s="1"/>
  <c r="AN36" i="28" s="1"/>
  <c r="AO36" i="28" s="1"/>
  <c r="AP36" i="28" s="1"/>
  <c r="AQ36" i="28" s="1"/>
  <c r="AR36" i="28" s="1"/>
  <c r="V36" i="28"/>
  <c r="W36" i="28" s="1"/>
  <c r="X36" i="28" s="1"/>
  <c r="Y36" i="28" s="1"/>
  <c r="Z36" i="28" s="1"/>
  <c r="AA36" i="28" s="1"/>
  <c r="AB36" i="28" s="1"/>
  <c r="N36" i="28"/>
  <c r="O36" i="28" s="1"/>
  <c r="P36" i="28" s="1"/>
  <c r="Q36" i="28" s="1"/>
  <c r="R36" i="28" s="1"/>
  <c r="S36" i="28" s="1"/>
  <c r="T36" i="28" s="1"/>
  <c r="F36" i="28"/>
  <c r="AL35" i="28"/>
  <c r="AM35" i="28" s="1"/>
  <c r="AN35" i="28" s="1"/>
  <c r="AO35" i="28" s="1"/>
  <c r="AP35" i="28" s="1"/>
  <c r="AQ35" i="28" s="1"/>
  <c r="AR35" i="28" s="1"/>
  <c r="X35" i="28"/>
  <c r="Y35" i="28" s="1"/>
  <c r="Z35" i="28" s="1"/>
  <c r="AA35" i="28" s="1"/>
  <c r="AB35" i="28" s="1"/>
  <c r="W35" i="28"/>
  <c r="V35" i="28"/>
  <c r="N35" i="28"/>
  <c r="O35" i="28" s="1"/>
  <c r="P35" i="28" s="1"/>
  <c r="Q35" i="28" s="1"/>
  <c r="R35" i="28" s="1"/>
  <c r="S35" i="28" s="1"/>
  <c r="T35" i="28" s="1"/>
  <c r="F35" i="28"/>
  <c r="AL34" i="28"/>
  <c r="AM34" i="28" s="1"/>
  <c r="AN34" i="28" s="1"/>
  <c r="AO34" i="28" s="1"/>
  <c r="AP34" i="28" s="1"/>
  <c r="AQ34" i="28" s="1"/>
  <c r="AR34" i="28" s="1"/>
  <c r="V34" i="28"/>
  <c r="W34" i="28" s="1"/>
  <c r="X34" i="28" s="1"/>
  <c r="Y34" i="28" s="1"/>
  <c r="Z34" i="28" s="1"/>
  <c r="AA34" i="28" s="1"/>
  <c r="AB34" i="28" s="1"/>
  <c r="N34" i="28"/>
  <c r="O34" i="28" s="1"/>
  <c r="P34" i="28" s="1"/>
  <c r="Q34" i="28" s="1"/>
  <c r="R34" i="28" s="1"/>
  <c r="S34" i="28" s="1"/>
  <c r="T34" i="28" s="1"/>
  <c r="G34" i="28"/>
  <c r="H34" i="28" s="1"/>
  <c r="I34" i="28" s="1"/>
  <c r="J34" i="28" s="1"/>
  <c r="K34" i="28" s="1"/>
  <c r="L34" i="28" s="1"/>
  <c r="F34" i="28"/>
  <c r="AM33" i="28"/>
  <c r="AN33" i="28" s="1"/>
  <c r="AO33" i="28" s="1"/>
  <c r="AP33" i="28" s="1"/>
  <c r="AQ33" i="28" s="1"/>
  <c r="AR33" i="28" s="1"/>
  <c r="AL33" i="28"/>
  <c r="V33" i="28"/>
  <c r="W33" i="28" s="1"/>
  <c r="X33" i="28" s="1"/>
  <c r="Y33" i="28" s="1"/>
  <c r="Z33" i="28" s="1"/>
  <c r="AA33" i="28" s="1"/>
  <c r="AB33" i="28" s="1"/>
  <c r="N33" i="28"/>
  <c r="O33" i="28" s="1"/>
  <c r="P33" i="28" s="1"/>
  <c r="Q33" i="28" s="1"/>
  <c r="R33" i="28" s="1"/>
  <c r="S33" i="28" s="1"/>
  <c r="T33" i="28" s="1"/>
  <c r="F33" i="28"/>
  <c r="G33" i="28" s="1"/>
  <c r="H33" i="28" s="1"/>
  <c r="I33" i="28" s="1"/>
  <c r="J33" i="28" s="1"/>
  <c r="K33" i="28" s="1"/>
  <c r="L33" i="28" s="1"/>
  <c r="AL32" i="28"/>
  <c r="AM32" i="28" s="1"/>
  <c r="AN32" i="28" s="1"/>
  <c r="AO32" i="28" s="1"/>
  <c r="AP32" i="28" s="1"/>
  <c r="AQ32" i="28" s="1"/>
  <c r="AR32" i="28" s="1"/>
  <c r="V32" i="28"/>
  <c r="W32" i="28" s="1"/>
  <c r="X32" i="28" s="1"/>
  <c r="Y32" i="28" s="1"/>
  <c r="Z32" i="28" s="1"/>
  <c r="AA32" i="28" s="1"/>
  <c r="AB32" i="28" s="1"/>
  <c r="R32" i="28"/>
  <c r="S32" i="28" s="1"/>
  <c r="T32" i="28" s="1"/>
  <c r="N32" i="28"/>
  <c r="O32" i="28" s="1"/>
  <c r="P32" i="28" s="1"/>
  <c r="Q32" i="28" s="1"/>
  <c r="F32" i="28"/>
  <c r="G32" i="28" s="1"/>
  <c r="AL31" i="28"/>
  <c r="AM31" i="28" s="1"/>
  <c r="AN31" i="28" s="1"/>
  <c r="AO31" i="28" s="1"/>
  <c r="AP31" i="28" s="1"/>
  <c r="AQ31" i="28" s="1"/>
  <c r="AR31" i="28" s="1"/>
  <c r="V31" i="28"/>
  <c r="W31" i="28" s="1"/>
  <c r="X31" i="28" s="1"/>
  <c r="Y31" i="28" s="1"/>
  <c r="Z31" i="28" s="1"/>
  <c r="AA31" i="28" s="1"/>
  <c r="AB31" i="28" s="1"/>
  <c r="N31" i="28"/>
  <c r="O31" i="28" s="1"/>
  <c r="P31" i="28" s="1"/>
  <c r="Q31" i="28" s="1"/>
  <c r="R31" i="28" s="1"/>
  <c r="S31" i="28" s="1"/>
  <c r="T31" i="28" s="1"/>
  <c r="F31" i="28"/>
  <c r="AM30" i="28"/>
  <c r="AN30" i="28" s="1"/>
  <c r="AO30" i="28" s="1"/>
  <c r="AP30" i="28" s="1"/>
  <c r="AQ30" i="28" s="1"/>
  <c r="AR30" i="28" s="1"/>
  <c r="AL30" i="28"/>
  <c r="V30" i="28"/>
  <c r="W30" i="28" s="1"/>
  <c r="X30" i="28" s="1"/>
  <c r="Y30" i="28" s="1"/>
  <c r="Z30" i="28" s="1"/>
  <c r="AA30" i="28" s="1"/>
  <c r="AB30" i="28" s="1"/>
  <c r="N30" i="28"/>
  <c r="O30" i="28" s="1"/>
  <c r="P30" i="28" s="1"/>
  <c r="Q30" i="28" s="1"/>
  <c r="R30" i="28" s="1"/>
  <c r="S30" i="28" s="1"/>
  <c r="T30" i="28" s="1"/>
  <c r="K30" i="28"/>
  <c r="L30" i="28" s="1"/>
  <c r="G30" i="28"/>
  <c r="H30" i="28" s="1"/>
  <c r="I30" i="28" s="1"/>
  <c r="J30" i="28" s="1"/>
  <c r="F30" i="28"/>
  <c r="AM29" i="28"/>
  <c r="AN29" i="28" s="1"/>
  <c r="AO29" i="28" s="1"/>
  <c r="AP29" i="28" s="1"/>
  <c r="AQ29" i="28" s="1"/>
  <c r="AR29" i="28" s="1"/>
  <c r="AL29" i="28"/>
  <c r="V29" i="28"/>
  <c r="W29" i="28" s="1"/>
  <c r="X29" i="28" s="1"/>
  <c r="Y29" i="28" s="1"/>
  <c r="Z29" i="28" s="1"/>
  <c r="AA29" i="28" s="1"/>
  <c r="AB29" i="28" s="1"/>
  <c r="N29" i="28"/>
  <c r="O29" i="28" s="1"/>
  <c r="P29" i="28" s="1"/>
  <c r="Q29" i="28" s="1"/>
  <c r="R29" i="28" s="1"/>
  <c r="S29" i="28" s="1"/>
  <c r="T29" i="28" s="1"/>
  <c r="H29" i="28"/>
  <c r="I29" i="28" s="1"/>
  <c r="J29" i="28" s="1"/>
  <c r="K29" i="28" s="1"/>
  <c r="L29" i="28" s="1"/>
  <c r="G29" i="28"/>
  <c r="F29" i="28"/>
  <c r="AL28" i="28"/>
  <c r="AM28" i="28" s="1"/>
  <c r="AN28" i="28" s="1"/>
  <c r="AO28" i="28" s="1"/>
  <c r="AP28" i="28" s="1"/>
  <c r="AQ28" i="28" s="1"/>
  <c r="AR28" i="28" s="1"/>
  <c r="W28" i="28"/>
  <c r="X28" i="28" s="1"/>
  <c r="Y28" i="28" s="1"/>
  <c r="Z28" i="28" s="1"/>
  <c r="AA28" i="28" s="1"/>
  <c r="AB28" i="28" s="1"/>
  <c r="V28" i="28"/>
  <c r="N28" i="28"/>
  <c r="O28" i="28" s="1"/>
  <c r="P28" i="28" s="1"/>
  <c r="Q28" i="28" s="1"/>
  <c r="R28" i="28" s="1"/>
  <c r="S28" i="28" s="1"/>
  <c r="T28" i="28" s="1"/>
  <c r="F28" i="28"/>
  <c r="G28" i="28" s="1"/>
  <c r="AL27" i="28"/>
  <c r="AM27" i="28" s="1"/>
  <c r="AN27" i="28" s="1"/>
  <c r="AO27" i="28" s="1"/>
  <c r="AP27" i="28" s="1"/>
  <c r="AQ27" i="28" s="1"/>
  <c r="AR27" i="28" s="1"/>
  <c r="V27" i="28"/>
  <c r="W27" i="28" s="1"/>
  <c r="X27" i="28" s="1"/>
  <c r="Y27" i="28" s="1"/>
  <c r="Z27" i="28" s="1"/>
  <c r="AA27" i="28" s="1"/>
  <c r="AB27" i="28" s="1"/>
  <c r="N27" i="28"/>
  <c r="O27" i="28" s="1"/>
  <c r="P27" i="28" s="1"/>
  <c r="Q27" i="28" s="1"/>
  <c r="R27" i="28" s="1"/>
  <c r="S27" i="28" s="1"/>
  <c r="T27" i="28" s="1"/>
  <c r="F27" i="28"/>
  <c r="AL26" i="28"/>
  <c r="AM26" i="28" s="1"/>
  <c r="AN26" i="28" s="1"/>
  <c r="AO26" i="28" s="1"/>
  <c r="AP26" i="28" s="1"/>
  <c r="AQ26" i="28" s="1"/>
  <c r="AR26" i="28" s="1"/>
  <c r="V26" i="28"/>
  <c r="W26" i="28" s="1"/>
  <c r="X26" i="28" s="1"/>
  <c r="Y26" i="28" s="1"/>
  <c r="Z26" i="28" s="1"/>
  <c r="AA26" i="28" s="1"/>
  <c r="AB26" i="28" s="1"/>
  <c r="O26" i="28"/>
  <c r="P26" i="28" s="1"/>
  <c r="Q26" i="28" s="1"/>
  <c r="R26" i="28" s="1"/>
  <c r="S26" i="28" s="1"/>
  <c r="T26" i="28" s="1"/>
  <c r="N26" i="28"/>
  <c r="F26" i="28"/>
  <c r="G26" i="28" s="1"/>
  <c r="H26" i="28" s="1"/>
  <c r="I26" i="28" s="1"/>
  <c r="J26" i="28" s="1"/>
  <c r="K26" i="28" s="1"/>
  <c r="L26" i="28" s="1"/>
  <c r="AM25" i="28"/>
  <c r="AN25" i="28" s="1"/>
  <c r="AO25" i="28" s="1"/>
  <c r="AP25" i="28" s="1"/>
  <c r="AQ25" i="28" s="1"/>
  <c r="AR25" i="28" s="1"/>
  <c r="AL25" i="28"/>
  <c r="V25" i="28"/>
  <c r="W25" i="28" s="1"/>
  <c r="X25" i="28" s="1"/>
  <c r="Y25" i="28" s="1"/>
  <c r="Z25" i="28" s="1"/>
  <c r="AA25" i="28" s="1"/>
  <c r="AB25" i="28" s="1"/>
  <c r="N25" i="28"/>
  <c r="O25" i="28" s="1"/>
  <c r="P25" i="28" s="1"/>
  <c r="Q25" i="28" s="1"/>
  <c r="R25" i="28" s="1"/>
  <c r="S25" i="28" s="1"/>
  <c r="T25" i="28" s="1"/>
  <c r="G25" i="28"/>
  <c r="F25" i="28"/>
  <c r="AL24" i="28"/>
  <c r="AM24" i="28" s="1"/>
  <c r="AN24" i="28" s="1"/>
  <c r="AO24" i="28" s="1"/>
  <c r="AP24" i="28" s="1"/>
  <c r="AQ24" i="28" s="1"/>
  <c r="AR24" i="28" s="1"/>
  <c r="V24" i="28"/>
  <c r="W24" i="28" s="1"/>
  <c r="X24" i="28" s="1"/>
  <c r="Y24" i="28" s="1"/>
  <c r="Z24" i="28" s="1"/>
  <c r="AA24" i="28" s="1"/>
  <c r="AB24" i="28" s="1"/>
  <c r="N24" i="28"/>
  <c r="O24" i="28" s="1"/>
  <c r="P24" i="28" s="1"/>
  <c r="Q24" i="28" s="1"/>
  <c r="R24" i="28" s="1"/>
  <c r="S24" i="28" s="1"/>
  <c r="T24" i="28" s="1"/>
  <c r="F24" i="28"/>
  <c r="G24" i="28" s="1"/>
  <c r="H24" i="28" s="1"/>
  <c r="AL23" i="28"/>
  <c r="AM23" i="28" s="1"/>
  <c r="AN23" i="28" s="1"/>
  <c r="AO23" i="28" s="1"/>
  <c r="AP23" i="28" s="1"/>
  <c r="AQ23" i="28" s="1"/>
  <c r="AR23" i="28" s="1"/>
  <c r="W23" i="28"/>
  <c r="X23" i="28" s="1"/>
  <c r="Y23" i="28" s="1"/>
  <c r="Z23" i="28" s="1"/>
  <c r="AA23" i="28" s="1"/>
  <c r="AB23" i="28" s="1"/>
  <c r="V23" i="28"/>
  <c r="N23" i="28"/>
  <c r="O23" i="28" s="1"/>
  <c r="P23" i="28" s="1"/>
  <c r="Q23" i="28" s="1"/>
  <c r="R23" i="28" s="1"/>
  <c r="S23" i="28" s="1"/>
  <c r="T23" i="28" s="1"/>
  <c r="F23" i="28"/>
  <c r="AL22" i="28"/>
  <c r="AM22" i="28" s="1"/>
  <c r="AN22" i="28" s="1"/>
  <c r="AO22" i="28" s="1"/>
  <c r="AP22" i="28" s="1"/>
  <c r="AQ22" i="28" s="1"/>
  <c r="AR22" i="28" s="1"/>
  <c r="V22" i="28"/>
  <c r="W22" i="28" s="1"/>
  <c r="X22" i="28" s="1"/>
  <c r="Y22" i="28" s="1"/>
  <c r="Z22" i="28" s="1"/>
  <c r="AA22" i="28" s="1"/>
  <c r="AB22" i="28" s="1"/>
  <c r="N22" i="28"/>
  <c r="O22" i="28" s="1"/>
  <c r="P22" i="28" s="1"/>
  <c r="Q22" i="28" s="1"/>
  <c r="R22" i="28" s="1"/>
  <c r="S22" i="28" s="1"/>
  <c r="T22" i="28" s="1"/>
  <c r="F22" i="28"/>
  <c r="AL21" i="28"/>
  <c r="AM21" i="28" s="1"/>
  <c r="AN21" i="28" s="1"/>
  <c r="AO21" i="28" s="1"/>
  <c r="AP21" i="28" s="1"/>
  <c r="AQ21" i="28" s="1"/>
  <c r="AR21" i="28" s="1"/>
  <c r="V21" i="28"/>
  <c r="W21" i="28" s="1"/>
  <c r="X21" i="28" s="1"/>
  <c r="Y21" i="28" s="1"/>
  <c r="Z21" i="28" s="1"/>
  <c r="AA21" i="28" s="1"/>
  <c r="AB21" i="28" s="1"/>
  <c r="N21" i="28"/>
  <c r="O21" i="28" s="1"/>
  <c r="P21" i="28" s="1"/>
  <c r="Q21" i="28" s="1"/>
  <c r="R21" i="28" s="1"/>
  <c r="S21" i="28" s="1"/>
  <c r="T21" i="28" s="1"/>
  <c r="F21" i="28"/>
  <c r="AL20" i="28"/>
  <c r="AM20" i="28" s="1"/>
  <c r="AN20" i="28" s="1"/>
  <c r="AO20" i="28" s="1"/>
  <c r="AP20" i="28" s="1"/>
  <c r="AQ20" i="28" s="1"/>
  <c r="AR20" i="28" s="1"/>
  <c r="V20" i="28"/>
  <c r="W20" i="28" s="1"/>
  <c r="X20" i="28" s="1"/>
  <c r="Y20" i="28" s="1"/>
  <c r="Z20" i="28" s="1"/>
  <c r="AA20" i="28" s="1"/>
  <c r="AB20" i="28" s="1"/>
  <c r="N20" i="28"/>
  <c r="O20" i="28" s="1"/>
  <c r="P20" i="28" s="1"/>
  <c r="Q20" i="28" s="1"/>
  <c r="R20" i="28" s="1"/>
  <c r="S20" i="28" s="1"/>
  <c r="T20" i="28" s="1"/>
  <c r="F20" i="28"/>
  <c r="G20" i="28" s="1"/>
  <c r="AL19" i="28"/>
  <c r="AM19" i="28" s="1"/>
  <c r="AN19" i="28" s="1"/>
  <c r="AO19" i="28" s="1"/>
  <c r="AP19" i="28" s="1"/>
  <c r="AQ19" i="28" s="1"/>
  <c r="AR19" i="28" s="1"/>
  <c r="V19" i="28"/>
  <c r="W19" i="28" s="1"/>
  <c r="X19" i="28" s="1"/>
  <c r="Y19" i="28" s="1"/>
  <c r="Z19" i="28" s="1"/>
  <c r="AA19" i="28" s="1"/>
  <c r="AB19" i="28" s="1"/>
  <c r="N19" i="28"/>
  <c r="O19" i="28" s="1"/>
  <c r="P19" i="28" s="1"/>
  <c r="Q19" i="28" s="1"/>
  <c r="R19" i="28" s="1"/>
  <c r="S19" i="28" s="1"/>
  <c r="T19" i="28" s="1"/>
  <c r="F19" i="28"/>
  <c r="G19" i="28" s="1"/>
  <c r="AL18" i="28"/>
  <c r="AM18" i="28" s="1"/>
  <c r="AN18" i="28" s="1"/>
  <c r="AO18" i="28" s="1"/>
  <c r="AP18" i="28" s="1"/>
  <c r="AQ18" i="28" s="1"/>
  <c r="AR18" i="28" s="1"/>
  <c r="V18" i="28"/>
  <c r="W18" i="28" s="1"/>
  <c r="X18" i="28" s="1"/>
  <c r="Y18" i="28" s="1"/>
  <c r="Z18" i="28" s="1"/>
  <c r="AA18" i="28" s="1"/>
  <c r="AB18" i="28" s="1"/>
  <c r="N18" i="28"/>
  <c r="O18" i="28" s="1"/>
  <c r="P18" i="28" s="1"/>
  <c r="Q18" i="28" s="1"/>
  <c r="R18" i="28" s="1"/>
  <c r="S18" i="28" s="1"/>
  <c r="T18" i="28" s="1"/>
  <c r="F18" i="28"/>
  <c r="AL17" i="28"/>
  <c r="AM17" i="28" s="1"/>
  <c r="AN17" i="28" s="1"/>
  <c r="AO17" i="28" s="1"/>
  <c r="AP17" i="28" s="1"/>
  <c r="AQ17" i="28" s="1"/>
  <c r="AR17" i="28" s="1"/>
  <c r="V17" i="28"/>
  <c r="W17" i="28" s="1"/>
  <c r="X17" i="28" s="1"/>
  <c r="Y17" i="28" s="1"/>
  <c r="Z17" i="28" s="1"/>
  <c r="AA17" i="28" s="1"/>
  <c r="AB17" i="28" s="1"/>
  <c r="N17" i="28"/>
  <c r="O17" i="28" s="1"/>
  <c r="P17" i="28" s="1"/>
  <c r="Q17" i="28" s="1"/>
  <c r="R17" i="28" s="1"/>
  <c r="S17" i="28" s="1"/>
  <c r="T17" i="28" s="1"/>
  <c r="F17" i="28"/>
  <c r="AL16" i="28"/>
  <c r="AM16" i="28" s="1"/>
  <c r="AN16" i="28" s="1"/>
  <c r="AO16" i="28" s="1"/>
  <c r="AP16" i="28" s="1"/>
  <c r="AQ16" i="28" s="1"/>
  <c r="AR16" i="28" s="1"/>
  <c r="V16" i="28"/>
  <c r="W16" i="28" s="1"/>
  <c r="X16" i="28" s="1"/>
  <c r="Y16" i="28" s="1"/>
  <c r="Z16" i="28" s="1"/>
  <c r="AA16" i="28" s="1"/>
  <c r="AB16" i="28" s="1"/>
  <c r="N16" i="28"/>
  <c r="O16" i="28" s="1"/>
  <c r="P16" i="28" s="1"/>
  <c r="Q16" i="28" s="1"/>
  <c r="R16" i="28" s="1"/>
  <c r="S16" i="28" s="1"/>
  <c r="T16" i="28" s="1"/>
  <c r="F16" i="28"/>
  <c r="G16" i="28" s="1"/>
  <c r="AL15" i="28"/>
  <c r="AM15" i="28" s="1"/>
  <c r="AN15" i="28" s="1"/>
  <c r="AO15" i="28" s="1"/>
  <c r="AP15" i="28" s="1"/>
  <c r="AQ15" i="28" s="1"/>
  <c r="AR15" i="28" s="1"/>
  <c r="V15" i="28"/>
  <c r="W15" i="28" s="1"/>
  <c r="X15" i="28" s="1"/>
  <c r="Y15" i="28" s="1"/>
  <c r="Z15" i="28" s="1"/>
  <c r="AA15" i="28" s="1"/>
  <c r="AB15" i="28" s="1"/>
  <c r="N15" i="28"/>
  <c r="O15" i="28" s="1"/>
  <c r="P15" i="28" s="1"/>
  <c r="Q15" i="28" s="1"/>
  <c r="R15" i="28" s="1"/>
  <c r="S15" i="28" s="1"/>
  <c r="T15" i="28" s="1"/>
  <c r="F15" i="28"/>
  <c r="G15" i="28" s="1"/>
  <c r="AL14" i="28"/>
  <c r="AM14" i="28" s="1"/>
  <c r="AN14" i="28" s="1"/>
  <c r="AO14" i="28" s="1"/>
  <c r="AP14" i="28" s="1"/>
  <c r="AQ14" i="28" s="1"/>
  <c r="AR14" i="28" s="1"/>
  <c r="V14" i="28"/>
  <c r="W14" i="28" s="1"/>
  <c r="X14" i="28" s="1"/>
  <c r="Y14" i="28" s="1"/>
  <c r="Z14" i="28" s="1"/>
  <c r="AA14" i="28" s="1"/>
  <c r="AB14" i="28" s="1"/>
  <c r="N14" i="28"/>
  <c r="O14" i="28" s="1"/>
  <c r="P14" i="28" s="1"/>
  <c r="Q14" i="28" s="1"/>
  <c r="R14" i="28" s="1"/>
  <c r="S14" i="28" s="1"/>
  <c r="T14" i="28" s="1"/>
  <c r="F14" i="28"/>
  <c r="AL13" i="28"/>
  <c r="AM13" i="28" s="1"/>
  <c r="AN13" i="28" s="1"/>
  <c r="AO13" i="28" s="1"/>
  <c r="AP13" i="28" s="1"/>
  <c r="AQ13" i="28" s="1"/>
  <c r="AR13" i="28" s="1"/>
  <c r="V13" i="28"/>
  <c r="W13" i="28" s="1"/>
  <c r="X13" i="28" s="1"/>
  <c r="Y13" i="28" s="1"/>
  <c r="Z13" i="28" s="1"/>
  <c r="AA13" i="28" s="1"/>
  <c r="AB13" i="28" s="1"/>
  <c r="N13" i="28"/>
  <c r="O13" i="28" s="1"/>
  <c r="P13" i="28" s="1"/>
  <c r="Q13" i="28" s="1"/>
  <c r="R13" i="28" s="1"/>
  <c r="S13" i="28" s="1"/>
  <c r="T13" i="28" s="1"/>
  <c r="F13" i="28"/>
  <c r="AL12" i="28"/>
  <c r="AM12" i="28" s="1"/>
  <c r="AN12" i="28" s="1"/>
  <c r="AO12" i="28" s="1"/>
  <c r="AP12" i="28" s="1"/>
  <c r="AQ12" i="28" s="1"/>
  <c r="AR12" i="28" s="1"/>
  <c r="V12" i="28"/>
  <c r="W12" i="28" s="1"/>
  <c r="X12" i="28" s="1"/>
  <c r="Y12" i="28" s="1"/>
  <c r="Z12" i="28" s="1"/>
  <c r="AA12" i="28" s="1"/>
  <c r="AB12" i="28" s="1"/>
  <c r="N12" i="28"/>
  <c r="O12" i="28" s="1"/>
  <c r="P12" i="28" s="1"/>
  <c r="Q12" i="28" s="1"/>
  <c r="R12" i="28" s="1"/>
  <c r="S12" i="28" s="1"/>
  <c r="T12" i="28" s="1"/>
  <c r="F12" i="28"/>
  <c r="G12" i="28" s="1"/>
  <c r="AL11" i="28"/>
  <c r="AM11" i="28" s="1"/>
  <c r="AN11" i="28" s="1"/>
  <c r="AO11" i="28" s="1"/>
  <c r="AP11" i="28" s="1"/>
  <c r="AQ11" i="28" s="1"/>
  <c r="AR11" i="28" s="1"/>
  <c r="V11" i="28"/>
  <c r="W11" i="28" s="1"/>
  <c r="X11" i="28" s="1"/>
  <c r="Y11" i="28" s="1"/>
  <c r="Z11" i="28" s="1"/>
  <c r="AA11" i="28" s="1"/>
  <c r="AB11" i="28" s="1"/>
  <c r="N11" i="28"/>
  <c r="O11" i="28" s="1"/>
  <c r="P11" i="28" s="1"/>
  <c r="Q11" i="28" s="1"/>
  <c r="R11" i="28" s="1"/>
  <c r="S11" i="28" s="1"/>
  <c r="T11" i="28" s="1"/>
  <c r="J11" i="28"/>
  <c r="K11" i="28" s="1"/>
  <c r="L11" i="28" s="1"/>
  <c r="G11" i="28"/>
  <c r="H11" i="28" s="1"/>
  <c r="F11" i="28"/>
  <c r="AL10" i="28"/>
  <c r="V10" i="28"/>
  <c r="N10" i="28"/>
  <c r="O10" i="28" s="1"/>
  <c r="F10" i="28"/>
  <c r="BB5" i="28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Q75" i="27"/>
  <c r="P75" i="27"/>
  <c r="O75" i="27"/>
  <c r="N75" i="27"/>
  <c r="M75" i="27"/>
  <c r="H75" i="27"/>
  <c r="G75" i="27"/>
  <c r="F75" i="27"/>
  <c r="E75" i="27"/>
  <c r="AK74" i="27"/>
  <c r="AC74" i="27"/>
  <c r="U74" i="27"/>
  <c r="M74" i="27"/>
  <c r="E74" i="27"/>
  <c r="AN73" i="27"/>
  <c r="AO73" i="27" s="1"/>
  <c r="AP73" i="27" s="1"/>
  <c r="AQ73" i="27" s="1"/>
  <c r="AR73" i="27" s="1"/>
  <c r="AL73" i="27"/>
  <c r="AM73" i="27" s="1"/>
  <c r="AG73" i="27"/>
  <c r="AH73" i="27" s="1"/>
  <c r="AI73" i="27" s="1"/>
  <c r="AJ73" i="27" s="1"/>
  <c r="AF73" i="27"/>
  <c r="AE73" i="27"/>
  <c r="AD73" i="27"/>
  <c r="V73" i="27"/>
  <c r="W73" i="27" s="1"/>
  <c r="X73" i="27" s="1"/>
  <c r="Y73" i="27" s="1"/>
  <c r="Z73" i="27" s="1"/>
  <c r="AA73" i="27" s="1"/>
  <c r="AB73" i="27" s="1"/>
  <c r="Q73" i="27"/>
  <c r="R73" i="27" s="1"/>
  <c r="S73" i="27" s="1"/>
  <c r="T73" i="27" s="1"/>
  <c r="O73" i="27"/>
  <c r="P73" i="27" s="1"/>
  <c r="N73" i="27"/>
  <c r="J73" i="27"/>
  <c r="K73" i="27" s="1"/>
  <c r="L73" i="27" s="1"/>
  <c r="I73" i="27"/>
  <c r="F73" i="27"/>
  <c r="G73" i="27" s="1"/>
  <c r="H73" i="27" s="1"/>
  <c r="AL72" i="27"/>
  <c r="AM72" i="27" s="1"/>
  <c r="AN72" i="27" s="1"/>
  <c r="AO72" i="27" s="1"/>
  <c r="AP72" i="27" s="1"/>
  <c r="AQ72" i="27" s="1"/>
  <c r="AR72" i="27" s="1"/>
  <c r="AJ72" i="27"/>
  <c r="AF72" i="27"/>
  <c r="AG72" i="27" s="1"/>
  <c r="AH72" i="27" s="1"/>
  <c r="AI72" i="27" s="1"/>
  <c r="AD72" i="27"/>
  <c r="AE72" i="27" s="1"/>
  <c r="V72" i="27"/>
  <c r="W72" i="27" s="1"/>
  <c r="X72" i="27" s="1"/>
  <c r="Y72" i="27" s="1"/>
  <c r="Z72" i="27" s="1"/>
  <c r="AA72" i="27" s="1"/>
  <c r="AB72" i="27" s="1"/>
  <c r="O72" i="27"/>
  <c r="P72" i="27" s="1"/>
  <c r="Q72" i="27" s="1"/>
  <c r="R72" i="27" s="1"/>
  <c r="S72" i="27" s="1"/>
  <c r="T72" i="27" s="1"/>
  <c r="N72" i="27"/>
  <c r="G72" i="27"/>
  <c r="H72" i="27" s="1"/>
  <c r="I72" i="27" s="1"/>
  <c r="J72" i="27" s="1"/>
  <c r="K72" i="27" s="1"/>
  <c r="L72" i="27" s="1"/>
  <c r="F72" i="27"/>
  <c r="AL71" i="27"/>
  <c r="AM71" i="27" s="1"/>
  <c r="AN71" i="27" s="1"/>
  <c r="AO71" i="27" s="1"/>
  <c r="AP71" i="27" s="1"/>
  <c r="AQ71" i="27" s="1"/>
  <c r="AR71" i="27" s="1"/>
  <c r="AD71" i="27"/>
  <c r="AE71" i="27" s="1"/>
  <c r="AF71" i="27" s="1"/>
  <c r="AG71" i="27" s="1"/>
  <c r="AH71" i="27" s="1"/>
  <c r="AI71" i="27" s="1"/>
  <c r="AJ71" i="27" s="1"/>
  <c r="Y71" i="27"/>
  <c r="Z71" i="27" s="1"/>
  <c r="AA71" i="27" s="1"/>
  <c r="AB71" i="27" s="1"/>
  <c r="X71" i="27"/>
  <c r="V71" i="27"/>
  <c r="W71" i="27" s="1"/>
  <c r="P71" i="27"/>
  <c r="Q71" i="27" s="1"/>
  <c r="R71" i="27" s="1"/>
  <c r="S71" i="27" s="1"/>
  <c r="T71" i="27" s="1"/>
  <c r="O71" i="27"/>
  <c r="N71" i="27"/>
  <c r="L71" i="27"/>
  <c r="H71" i="27"/>
  <c r="I71" i="27" s="1"/>
  <c r="J71" i="27" s="1"/>
  <c r="K71" i="27" s="1"/>
  <c r="G71" i="27"/>
  <c r="F71" i="27"/>
  <c r="AO70" i="27"/>
  <c r="AP70" i="27" s="1"/>
  <c r="AQ70" i="27" s="1"/>
  <c r="AR70" i="27" s="1"/>
  <c r="AN70" i="27"/>
  <c r="AM70" i="27"/>
  <c r="AL70" i="27"/>
  <c r="AD70" i="27"/>
  <c r="AE70" i="27" s="1"/>
  <c r="AF70" i="27" s="1"/>
  <c r="AG70" i="27" s="1"/>
  <c r="AH70" i="27" s="1"/>
  <c r="AI70" i="27" s="1"/>
  <c r="AJ70" i="27" s="1"/>
  <c r="Y70" i="27"/>
  <c r="Z70" i="27" s="1"/>
  <c r="AA70" i="27" s="1"/>
  <c r="AB70" i="27" s="1"/>
  <c r="W70" i="27"/>
  <c r="X70" i="27" s="1"/>
  <c r="V70" i="27"/>
  <c r="R70" i="27"/>
  <c r="S70" i="27" s="1"/>
  <c r="T70" i="27" s="1"/>
  <c r="Q70" i="27"/>
  <c r="N70" i="27"/>
  <c r="O70" i="27" s="1"/>
  <c r="P70" i="27" s="1"/>
  <c r="G70" i="27"/>
  <c r="F70" i="27"/>
  <c r="AN69" i="27"/>
  <c r="AO69" i="27" s="1"/>
  <c r="AP69" i="27" s="1"/>
  <c r="AQ69" i="27" s="1"/>
  <c r="AR69" i="27" s="1"/>
  <c r="AL69" i="27"/>
  <c r="AM69" i="27" s="1"/>
  <c r="AE69" i="27"/>
  <c r="AF69" i="27" s="1"/>
  <c r="AG69" i="27" s="1"/>
  <c r="AH69" i="27" s="1"/>
  <c r="AI69" i="27" s="1"/>
  <c r="AJ69" i="27" s="1"/>
  <c r="AD69" i="27"/>
  <c r="W69" i="27"/>
  <c r="X69" i="27" s="1"/>
  <c r="Y69" i="27" s="1"/>
  <c r="Z69" i="27" s="1"/>
  <c r="AA69" i="27" s="1"/>
  <c r="AB69" i="27" s="1"/>
  <c r="V69" i="27"/>
  <c r="N69" i="27"/>
  <c r="O69" i="27" s="1"/>
  <c r="P69" i="27" s="1"/>
  <c r="Q69" i="27" s="1"/>
  <c r="R69" i="27" s="1"/>
  <c r="S69" i="27" s="1"/>
  <c r="T69" i="27" s="1"/>
  <c r="L69" i="27"/>
  <c r="J69" i="27"/>
  <c r="K69" i="27" s="1"/>
  <c r="F69" i="27"/>
  <c r="G69" i="27" s="1"/>
  <c r="H69" i="27" s="1"/>
  <c r="I69" i="27" s="1"/>
  <c r="AQ68" i="27"/>
  <c r="AR68" i="27" s="1"/>
  <c r="AM68" i="27"/>
  <c r="AN68" i="27" s="1"/>
  <c r="AO68" i="27" s="1"/>
  <c r="AP68" i="27" s="1"/>
  <c r="AL68" i="27"/>
  <c r="AF68" i="27"/>
  <c r="AG68" i="27" s="1"/>
  <c r="AH68" i="27" s="1"/>
  <c r="AI68" i="27" s="1"/>
  <c r="AJ68" i="27" s="1"/>
  <c r="AD68" i="27"/>
  <c r="AE68" i="27" s="1"/>
  <c r="AA68" i="27"/>
  <c r="AB68" i="27" s="1"/>
  <c r="Y68" i="27"/>
  <c r="Z68" i="27" s="1"/>
  <c r="X68" i="27"/>
  <c r="W68" i="27"/>
  <c r="V68" i="27"/>
  <c r="P68" i="27"/>
  <c r="Q68" i="27" s="1"/>
  <c r="R68" i="27" s="1"/>
  <c r="S68" i="27" s="1"/>
  <c r="T68" i="27" s="1"/>
  <c r="O68" i="27"/>
  <c r="N68" i="27"/>
  <c r="I68" i="27"/>
  <c r="J68" i="27" s="1"/>
  <c r="K68" i="27" s="1"/>
  <c r="L68" i="27" s="1"/>
  <c r="G68" i="27"/>
  <c r="H68" i="27" s="1"/>
  <c r="F68" i="27"/>
  <c r="AR67" i="27"/>
  <c r="AL67" i="27"/>
  <c r="AM67" i="27" s="1"/>
  <c r="AN67" i="27" s="1"/>
  <c r="AO67" i="27" s="1"/>
  <c r="AP67" i="27" s="1"/>
  <c r="AQ67" i="27" s="1"/>
  <c r="AG67" i="27"/>
  <c r="AH67" i="27" s="1"/>
  <c r="AI67" i="27" s="1"/>
  <c r="AJ67" i="27" s="1"/>
  <c r="AE67" i="27"/>
  <c r="AF67" i="27" s="1"/>
  <c r="AD67" i="27"/>
  <c r="Z67" i="27"/>
  <c r="AA67" i="27" s="1"/>
  <c r="AB67" i="27" s="1"/>
  <c r="Y67" i="27"/>
  <c r="V67" i="27"/>
  <c r="W67" i="27" s="1"/>
  <c r="X67" i="27" s="1"/>
  <c r="S67" i="27"/>
  <c r="T67" i="27" s="1"/>
  <c r="O67" i="27"/>
  <c r="P67" i="27" s="1"/>
  <c r="Q67" i="27" s="1"/>
  <c r="R67" i="27" s="1"/>
  <c r="N67" i="27"/>
  <c r="H67" i="27"/>
  <c r="I67" i="27" s="1"/>
  <c r="J67" i="27" s="1"/>
  <c r="K67" i="27" s="1"/>
  <c r="L67" i="27" s="1"/>
  <c r="F67" i="27"/>
  <c r="G67" i="27" s="1"/>
  <c r="AO66" i="27"/>
  <c r="AP66" i="27" s="1"/>
  <c r="AQ66" i="27" s="1"/>
  <c r="AR66" i="27" s="1"/>
  <c r="AM66" i="27"/>
  <c r="AN66" i="27" s="1"/>
  <c r="AL66" i="27"/>
  <c r="AF66" i="27"/>
  <c r="AG66" i="27" s="1"/>
  <c r="AH66" i="27" s="1"/>
  <c r="AI66" i="27" s="1"/>
  <c r="AJ66" i="27" s="1"/>
  <c r="AE66" i="27"/>
  <c r="AD66" i="27"/>
  <c r="V66" i="27"/>
  <c r="W66" i="27" s="1"/>
  <c r="X66" i="27" s="1"/>
  <c r="Y66" i="27" s="1"/>
  <c r="Z66" i="27" s="1"/>
  <c r="AA66" i="27" s="1"/>
  <c r="AB66" i="27" s="1"/>
  <c r="N66" i="27"/>
  <c r="O66" i="27" s="1"/>
  <c r="P66" i="27" s="1"/>
  <c r="Q66" i="27" s="1"/>
  <c r="R66" i="27" s="1"/>
  <c r="S66" i="27" s="1"/>
  <c r="T66" i="27" s="1"/>
  <c r="L66" i="27"/>
  <c r="H66" i="27"/>
  <c r="I66" i="27" s="1"/>
  <c r="J66" i="27" s="1"/>
  <c r="K66" i="27" s="1"/>
  <c r="G66" i="27"/>
  <c r="BA66" i="27" s="1"/>
  <c r="BB66" i="27" s="1"/>
  <c r="F66" i="27"/>
  <c r="AM65" i="27"/>
  <c r="AN65" i="27" s="1"/>
  <c r="AO65" i="27" s="1"/>
  <c r="AP65" i="27" s="1"/>
  <c r="AQ65" i="27" s="1"/>
  <c r="AR65" i="27" s="1"/>
  <c r="AL65" i="27"/>
  <c r="AE65" i="27"/>
  <c r="AF65" i="27" s="1"/>
  <c r="AG65" i="27" s="1"/>
  <c r="AH65" i="27" s="1"/>
  <c r="AI65" i="27" s="1"/>
  <c r="AJ65" i="27" s="1"/>
  <c r="AD65" i="27"/>
  <c r="V65" i="27"/>
  <c r="W65" i="27" s="1"/>
  <c r="X65" i="27" s="1"/>
  <c r="Y65" i="27" s="1"/>
  <c r="Z65" i="27" s="1"/>
  <c r="AA65" i="27" s="1"/>
  <c r="AB65" i="27" s="1"/>
  <c r="P65" i="27"/>
  <c r="Q65" i="27" s="1"/>
  <c r="R65" i="27" s="1"/>
  <c r="S65" i="27" s="1"/>
  <c r="T65" i="27" s="1"/>
  <c r="N65" i="27"/>
  <c r="O65" i="27" s="1"/>
  <c r="F65" i="27"/>
  <c r="G65" i="27" s="1"/>
  <c r="AR64" i="27"/>
  <c r="AO64" i="27"/>
  <c r="AP64" i="27" s="1"/>
  <c r="AQ64" i="27" s="1"/>
  <c r="AN64" i="27"/>
  <c r="AL64" i="27"/>
  <c r="AM64" i="27" s="1"/>
  <c r="AJ64" i="27"/>
  <c r="AI64" i="27"/>
  <c r="AF64" i="27"/>
  <c r="AG64" i="27" s="1"/>
  <c r="AH64" i="27" s="1"/>
  <c r="AE64" i="27"/>
  <c r="AD64" i="27"/>
  <c r="V64" i="27"/>
  <c r="W64" i="27" s="1"/>
  <c r="X64" i="27" s="1"/>
  <c r="Y64" i="27" s="1"/>
  <c r="Z64" i="27" s="1"/>
  <c r="AA64" i="27" s="1"/>
  <c r="AB64" i="27" s="1"/>
  <c r="R64" i="27"/>
  <c r="S64" i="27" s="1"/>
  <c r="T64" i="27" s="1"/>
  <c r="Q64" i="27"/>
  <c r="N64" i="27"/>
  <c r="O64" i="27" s="1"/>
  <c r="P64" i="27" s="1"/>
  <c r="I64" i="27"/>
  <c r="H64" i="27"/>
  <c r="F64" i="27"/>
  <c r="G64" i="27" s="1"/>
  <c r="AO63" i="27"/>
  <c r="AP63" i="27" s="1"/>
  <c r="AQ63" i="27" s="1"/>
  <c r="AR63" i="27" s="1"/>
  <c r="AL63" i="27"/>
  <c r="AM63" i="27" s="1"/>
  <c r="AN63" i="27" s="1"/>
  <c r="AG63" i="27"/>
  <c r="AH63" i="27" s="1"/>
  <c r="AI63" i="27" s="1"/>
  <c r="AJ63" i="27" s="1"/>
  <c r="AF63" i="27"/>
  <c r="AE63" i="27"/>
  <c r="AD63" i="27"/>
  <c r="V63" i="27"/>
  <c r="W63" i="27" s="1"/>
  <c r="X63" i="27" s="1"/>
  <c r="Y63" i="27" s="1"/>
  <c r="Z63" i="27" s="1"/>
  <c r="AA63" i="27" s="1"/>
  <c r="AB63" i="27" s="1"/>
  <c r="N63" i="27"/>
  <c r="O63" i="27" s="1"/>
  <c r="P63" i="27" s="1"/>
  <c r="Q63" i="27" s="1"/>
  <c r="R63" i="27" s="1"/>
  <c r="S63" i="27" s="1"/>
  <c r="T63" i="27" s="1"/>
  <c r="F63" i="27"/>
  <c r="AL62" i="27"/>
  <c r="AM62" i="27" s="1"/>
  <c r="AN62" i="27" s="1"/>
  <c r="AO62" i="27" s="1"/>
  <c r="AP62" i="27" s="1"/>
  <c r="AQ62" i="27" s="1"/>
  <c r="AR62" i="27" s="1"/>
  <c r="AD62" i="27"/>
  <c r="AE62" i="27" s="1"/>
  <c r="AF62" i="27" s="1"/>
  <c r="AG62" i="27" s="1"/>
  <c r="AH62" i="27" s="1"/>
  <c r="AI62" i="27" s="1"/>
  <c r="AJ62" i="27" s="1"/>
  <c r="AB62" i="27"/>
  <c r="V62" i="27"/>
  <c r="W62" i="27" s="1"/>
  <c r="X62" i="27" s="1"/>
  <c r="Y62" i="27" s="1"/>
  <c r="Z62" i="27" s="1"/>
  <c r="AA62" i="27" s="1"/>
  <c r="T62" i="27"/>
  <c r="O62" i="27"/>
  <c r="P62" i="27" s="1"/>
  <c r="Q62" i="27" s="1"/>
  <c r="R62" i="27" s="1"/>
  <c r="S62" i="27" s="1"/>
  <c r="N62" i="27"/>
  <c r="F62" i="27"/>
  <c r="AN61" i="27"/>
  <c r="AO61" i="27" s="1"/>
  <c r="AP61" i="27" s="1"/>
  <c r="AQ61" i="27" s="1"/>
  <c r="AR61" i="27" s="1"/>
  <c r="AM61" i="27"/>
  <c r="AL61" i="27"/>
  <c r="AH61" i="27"/>
  <c r="AI61" i="27" s="1"/>
  <c r="AJ61" i="27" s="1"/>
  <c r="AE61" i="27"/>
  <c r="AF61" i="27" s="1"/>
  <c r="AG61" i="27" s="1"/>
  <c r="AD61" i="27"/>
  <c r="Y61" i="27"/>
  <c r="Z61" i="27" s="1"/>
  <c r="AA61" i="27" s="1"/>
  <c r="AB61" i="27" s="1"/>
  <c r="V61" i="27"/>
  <c r="W61" i="27" s="1"/>
  <c r="X61" i="27" s="1"/>
  <c r="P61" i="27"/>
  <c r="Q61" i="27" s="1"/>
  <c r="R61" i="27" s="1"/>
  <c r="S61" i="27" s="1"/>
  <c r="T61" i="27" s="1"/>
  <c r="N61" i="27"/>
  <c r="O61" i="27" s="1"/>
  <c r="K61" i="27"/>
  <c r="L61" i="27" s="1"/>
  <c r="H61" i="27"/>
  <c r="I61" i="27" s="1"/>
  <c r="J61" i="27" s="1"/>
  <c r="G61" i="27"/>
  <c r="F61" i="27"/>
  <c r="AL60" i="27"/>
  <c r="AM60" i="27" s="1"/>
  <c r="AN60" i="27" s="1"/>
  <c r="AO60" i="27" s="1"/>
  <c r="AP60" i="27" s="1"/>
  <c r="AQ60" i="27" s="1"/>
  <c r="AR60" i="27" s="1"/>
  <c r="AE60" i="27"/>
  <c r="AF60" i="27" s="1"/>
  <c r="AG60" i="27" s="1"/>
  <c r="AH60" i="27" s="1"/>
  <c r="AI60" i="27" s="1"/>
  <c r="AJ60" i="27" s="1"/>
  <c r="AD60" i="27"/>
  <c r="V60" i="27"/>
  <c r="W60" i="27" s="1"/>
  <c r="X60" i="27" s="1"/>
  <c r="Y60" i="27" s="1"/>
  <c r="Z60" i="27" s="1"/>
  <c r="AA60" i="27" s="1"/>
  <c r="AB60" i="27" s="1"/>
  <c r="N60" i="27"/>
  <c r="O60" i="27" s="1"/>
  <c r="P60" i="27" s="1"/>
  <c r="Q60" i="27" s="1"/>
  <c r="R60" i="27" s="1"/>
  <c r="S60" i="27" s="1"/>
  <c r="T60" i="27" s="1"/>
  <c r="F60" i="27"/>
  <c r="G60" i="27" s="1"/>
  <c r="AL59" i="27"/>
  <c r="AM59" i="27" s="1"/>
  <c r="AN59" i="27" s="1"/>
  <c r="AO59" i="27" s="1"/>
  <c r="AP59" i="27" s="1"/>
  <c r="AQ59" i="27" s="1"/>
  <c r="AR59" i="27" s="1"/>
  <c r="AD59" i="27"/>
  <c r="AE59" i="27" s="1"/>
  <c r="AF59" i="27" s="1"/>
  <c r="AG59" i="27" s="1"/>
  <c r="AH59" i="27" s="1"/>
  <c r="AI59" i="27" s="1"/>
  <c r="AJ59" i="27" s="1"/>
  <c r="W59" i="27"/>
  <c r="X59" i="27" s="1"/>
  <c r="Y59" i="27" s="1"/>
  <c r="Z59" i="27" s="1"/>
  <c r="AA59" i="27" s="1"/>
  <c r="AB59" i="27" s="1"/>
  <c r="V59" i="27"/>
  <c r="R59" i="27"/>
  <c r="S59" i="27" s="1"/>
  <c r="T59" i="27" s="1"/>
  <c r="O59" i="27"/>
  <c r="P59" i="27" s="1"/>
  <c r="Q59" i="27" s="1"/>
  <c r="N59" i="27"/>
  <c r="F59" i="27"/>
  <c r="AP58" i="27"/>
  <c r="AQ58" i="27" s="1"/>
  <c r="AR58" i="27" s="1"/>
  <c r="AM58" i="27"/>
  <c r="AN58" i="27" s="1"/>
  <c r="AO58" i="27" s="1"/>
  <c r="AL58" i="27"/>
  <c r="AD58" i="27"/>
  <c r="AE58" i="27" s="1"/>
  <c r="AF58" i="27" s="1"/>
  <c r="AG58" i="27" s="1"/>
  <c r="AH58" i="27" s="1"/>
  <c r="AI58" i="27" s="1"/>
  <c r="AJ58" i="27" s="1"/>
  <c r="AB58" i="27"/>
  <c r="V58" i="27"/>
  <c r="W58" i="27" s="1"/>
  <c r="X58" i="27" s="1"/>
  <c r="Y58" i="27" s="1"/>
  <c r="Z58" i="27" s="1"/>
  <c r="AA58" i="27" s="1"/>
  <c r="P58" i="27"/>
  <c r="Q58" i="27" s="1"/>
  <c r="R58" i="27" s="1"/>
  <c r="S58" i="27" s="1"/>
  <c r="T58" i="27" s="1"/>
  <c r="O58" i="27"/>
  <c r="N58" i="27"/>
  <c r="F58" i="27"/>
  <c r="AM57" i="27"/>
  <c r="AN57" i="27" s="1"/>
  <c r="AO57" i="27" s="1"/>
  <c r="AP57" i="27" s="1"/>
  <c r="AQ57" i="27" s="1"/>
  <c r="AR57" i="27" s="1"/>
  <c r="AL57" i="27"/>
  <c r="AD57" i="27"/>
  <c r="AE57" i="27" s="1"/>
  <c r="AF57" i="27" s="1"/>
  <c r="AG57" i="27" s="1"/>
  <c r="AH57" i="27" s="1"/>
  <c r="AI57" i="27" s="1"/>
  <c r="AJ57" i="27" s="1"/>
  <c r="W57" i="27"/>
  <c r="X57" i="27" s="1"/>
  <c r="Y57" i="27" s="1"/>
  <c r="Z57" i="27" s="1"/>
  <c r="AA57" i="27" s="1"/>
  <c r="AB57" i="27" s="1"/>
  <c r="V57" i="27"/>
  <c r="Q57" i="27"/>
  <c r="R57" i="27" s="1"/>
  <c r="S57" i="27" s="1"/>
  <c r="T57" i="27" s="1"/>
  <c r="P57" i="27"/>
  <c r="N57" i="27"/>
  <c r="O57" i="27" s="1"/>
  <c r="F57" i="27"/>
  <c r="AQ56" i="27"/>
  <c r="AR56" i="27" s="1"/>
  <c r="AN56" i="27"/>
  <c r="AO56" i="27" s="1"/>
  <c r="AP56" i="27" s="1"/>
  <c r="AM56" i="27"/>
  <c r="AL56" i="27"/>
  <c r="AI56" i="27"/>
  <c r="AJ56" i="27" s="1"/>
  <c r="AH56" i="27"/>
  <c r="AE56" i="27"/>
  <c r="AF56" i="27" s="1"/>
  <c r="AG56" i="27" s="1"/>
  <c r="AD56" i="27"/>
  <c r="Z56" i="27"/>
  <c r="AA56" i="27" s="1"/>
  <c r="AB56" i="27" s="1"/>
  <c r="Y56" i="27"/>
  <c r="V56" i="27"/>
  <c r="W56" i="27" s="1"/>
  <c r="X56" i="27" s="1"/>
  <c r="P56" i="27"/>
  <c r="Q56" i="27" s="1"/>
  <c r="R56" i="27" s="1"/>
  <c r="S56" i="27" s="1"/>
  <c r="T56" i="27" s="1"/>
  <c r="N56" i="27"/>
  <c r="O56" i="27" s="1"/>
  <c r="G56" i="27"/>
  <c r="F56" i="27"/>
  <c r="AL55" i="27"/>
  <c r="AM55" i="27" s="1"/>
  <c r="AN55" i="27" s="1"/>
  <c r="AO55" i="27" s="1"/>
  <c r="AP55" i="27" s="1"/>
  <c r="AQ55" i="27" s="1"/>
  <c r="AR55" i="27" s="1"/>
  <c r="AD55" i="27"/>
  <c r="AE55" i="27" s="1"/>
  <c r="AF55" i="27" s="1"/>
  <c r="AG55" i="27" s="1"/>
  <c r="AH55" i="27" s="1"/>
  <c r="AI55" i="27" s="1"/>
  <c r="AJ55" i="27" s="1"/>
  <c r="V55" i="27"/>
  <c r="W55" i="27" s="1"/>
  <c r="X55" i="27" s="1"/>
  <c r="Y55" i="27" s="1"/>
  <c r="Z55" i="27" s="1"/>
  <c r="AA55" i="27" s="1"/>
  <c r="AB55" i="27" s="1"/>
  <c r="R55" i="27"/>
  <c r="S55" i="27" s="1"/>
  <c r="T55" i="27" s="1"/>
  <c r="N55" i="27"/>
  <c r="O55" i="27" s="1"/>
  <c r="P55" i="27" s="1"/>
  <c r="Q55" i="27" s="1"/>
  <c r="F55" i="27"/>
  <c r="G55" i="27" s="1"/>
  <c r="H55" i="27" s="1"/>
  <c r="I55" i="27" s="1"/>
  <c r="J55" i="27" s="1"/>
  <c r="K55" i="27" s="1"/>
  <c r="L55" i="27" s="1"/>
  <c r="AL54" i="27"/>
  <c r="AM54" i="27" s="1"/>
  <c r="AN54" i="27" s="1"/>
  <c r="AO54" i="27" s="1"/>
  <c r="AP54" i="27" s="1"/>
  <c r="AQ54" i="27" s="1"/>
  <c r="AR54" i="27" s="1"/>
  <c r="AJ54" i="27"/>
  <c r="AF54" i="27"/>
  <c r="AG54" i="27" s="1"/>
  <c r="AH54" i="27" s="1"/>
  <c r="AI54" i="27" s="1"/>
  <c r="AD54" i="27"/>
  <c r="AE54" i="27" s="1"/>
  <c r="AB54" i="27"/>
  <c r="X54" i="27"/>
  <c r="Y54" i="27" s="1"/>
  <c r="Z54" i="27" s="1"/>
  <c r="AA54" i="27" s="1"/>
  <c r="W54" i="27"/>
  <c r="V54" i="27"/>
  <c r="R54" i="27"/>
  <c r="S54" i="27" s="1"/>
  <c r="T54" i="27" s="1"/>
  <c r="O54" i="27"/>
  <c r="P54" i="27" s="1"/>
  <c r="Q54" i="27" s="1"/>
  <c r="N54" i="27"/>
  <c r="F54" i="27"/>
  <c r="AM53" i="27"/>
  <c r="AN53" i="27" s="1"/>
  <c r="AO53" i="27" s="1"/>
  <c r="AP53" i="27" s="1"/>
  <c r="AQ53" i="27" s="1"/>
  <c r="AR53" i="27" s="1"/>
  <c r="AL53" i="27"/>
  <c r="AD53" i="27"/>
  <c r="AE53" i="27" s="1"/>
  <c r="AF53" i="27" s="1"/>
  <c r="AG53" i="27" s="1"/>
  <c r="AH53" i="27" s="1"/>
  <c r="AI53" i="27" s="1"/>
  <c r="AJ53" i="27" s="1"/>
  <c r="V53" i="27"/>
  <c r="W53" i="27" s="1"/>
  <c r="X53" i="27" s="1"/>
  <c r="Y53" i="27" s="1"/>
  <c r="Z53" i="27" s="1"/>
  <c r="AA53" i="27" s="1"/>
  <c r="AB53" i="27" s="1"/>
  <c r="S53" i="27"/>
  <c r="T53" i="27" s="1"/>
  <c r="P53" i="27"/>
  <c r="Q53" i="27" s="1"/>
  <c r="R53" i="27" s="1"/>
  <c r="O53" i="27"/>
  <c r="N53" i="27"/>
  <c r="F53" i="27"/>
  <c r="G53" i="27" s="1"/>
  <c r="H53" i="27" s="1"/>
  <c r="I53" i="27" s="1"/>
  <c r="J53" i="27" s="1"/>
  <c r="K53" i="27" s="1"/>
  <c r="L53" i="27" s="1"/>
  <c r="AQ52" i="27"/>
  <c r="AR52" i="27" s="1"/>
  <c r="AM52" i="27"/>
  <c r="AN52" i="27" s="1"/>
  <c r="AO52" i="27" s="1"/>
  <c r="AP52" i="27" s="1"/>
  <c r="AL52" i="27"/>
  <c r="AE52" i="27"/>
  <c r="AF52" i="27" s="1"/>
  <c r="AG52" i="27" s="1"/>
  <c r="AH52" i="27" s="1"/>
  <c r="AI52" i="27" s="1"/>
  <c r="AJ52" i="27" s="1"/>
  <c r="AD52" i="27"/>
  <c r="V52" i="27"/>
  <c r="W52" i="27" s="1"/>
  <c r="X52" i="27" s="1"/>
  <c r="Y52" i="27" s="1"/>
  <c r="Z52" i="27" s="1"/>
  <c r="AA52" i="27" s="1"/>
  <c r="AB52" i="27" s="1"/>
  <c r="N52" i="27"/>
  <c r="O52" i="27" s="1"/>
  <c r="P52" i="27" s="1"/>
  <c r="Q52" i="27" s="1"/>
  <c r="R52" i="27" s="1"/>
  <c r="S52" i="27" s="1"/>
  <c r="T52" i="27" s="1"/>
  <c r="L52" i="27"/>
  <c r="K52" i="27"/>
  <c r="G52" i="27"/>
  <c r="H52" i="27" s="1"/>
  <c r="I52" i="27" s="1"/>
  <c r="J52" i="27" s="1"/>
  <c r="F52" i="27"/>
  <c r="AO51" i="27"/>
  <c r="AP51" i="27" s="1"/>
  <c r="AQ51" i="27" s="1"/>
  <c r="AR51" i="27" s="1"/>
  <c r="AN51" i="27"/>
  <c r="AL51" i="27"/>
  <c r="AM51" i="27" s="1"/>
  <c r="AE51" i="27"/>
  <c r="AF51" i="27" s="1"/>
  <c r="AG51" i="27" s="1"/>
  <c r="AH51" i="27" s="1"/>
  <c r="AI51" i="27" s="1"/>
  <c r="AJ51" i="27" s="1"/>
  <c r="AD51" i="27"/>
  <c r="V51" i="27"/>
  <c r="W51" i="27" s="1"/>
  <c r="X51" i="27" s="1"/>
  <c r="Y51" i="27" s="1"/>
  <c r="Z51" i="27" s="1"/>
  <c r="AA51" i="27" s="1"/>
  <c r="AB51" i="27" s="1"/>
  <c r="Q51" i="27"/>
  <c r="R51" i="27" s="1"/>
  <c r="S51" i="27" s="1"/>
  <c r="T51" i="27" s="1"/>
  <c r="N51" i="27"/>
  <c r="O51" i="27" s="1"/>
  <c r="P51" i="27" s="1"/>
  <c r="H51" i="27"/>
  <c r="G51" i="27"/>
  <c r="F51" i="27"/>
  <c r="AL50" i="27"/>
  <c r="AM50" i="27" s="1"/>
  <c r="AN50" i="27" s="1"/>
  <c r="AO50" i="27" s="1"/>
  <c r="AP50" i="27" s="1"/>
  <c r="AQ50" i="27" s="1"/>
  <c r="AR50" i="27" s="1"/>
  <c r="AD50" i="27"/>
  <c r="AE50" i="27" s="1"/>
  <c r="AF50" i="27" s="1"/>
  <c r="AG50" i="27" s="1"/>
  <c r="AH50" i="27" s="1"/>
  <c r="AI50" i="27" s="1"/>
  <c r="AJ50" i="27" s="1"/>
  <c r="AB50" i="27"/>
  <c r="AA50" i="27"/>
  <c r="W50" i="27"/>
  <c r="X50" i="27" s="1"/>
  <c r="Y50" i="27" s="1"/>
  <c r="Z50" i="27" s="1"/>
  <c r="V50" i="27"/>
  <c r="S50" i="27"/>
  <c r="T50" i="27" s="1"/>
  <c r="O50" i="27"/>
  <c r="P50" i="27" s="1"/>
  <c r="Q50" i="27" s="1"/>
  <c r="R50" i="27" s="1"/>
  <c r="N50" i="27"/>
  <c r="F50" i="27"/>
  <c r="AL49" i="27"/>
  <c r="AM49" i="27" s="1"/>
  <c r="AN49" i="27" s="1"/>
  <c r="AO49" i="27" s="1"/>
  <c r="AP49" i="27" s="1"/>
  <c r="AQ49" i="27" s="1"/>
  <c r="AR49" i="27" s="1"/>
  <c r="AG49" i="27"/>
  <c r="AH49" i="27" s="1"/>
  <c r="AI49" i="27" s="1"/>
  <c r="AJ49" i="27" s="1"/>
  <c r="AD49" i="27"/>
  <c r="AE49" i="27" s="1"/>
  <c r="AF49" i="27" s="1"/>
  <c r="V49" i="27"/>
  <c r="W49" i="27" s="1"/>
  <c r="X49" i="27" s="1"/>
  <c r="Y49" i="27" s="1"/>
  <c r="Z49" i="27" s="1"/>
  <c r="AA49" i="27" s="1"/>
  <c r="AB49" i="27" s="1"/>
  <c r="O49" i="27"/>
  <c r="P49" i="27" s="1"/>
  <c r="Q49" i="27" s="1"/>
  <c r="R49" i="27" s="1"/>
  <c r="S49" i="27" s="1"/>
  <c r="T49" i="27" s="1"/>
  <c r="N49" i="27"/>
  <c r="F49" i="27"/>
  <c r="AN48" i="27"/>
  <c r="AO48" i="27" s="1"/>
  <c r="AP48" i="27" s="1"/>
  <c r="AQ48" i="27" s="1"/>
  <c r="AR48" i="27" s="1"/>
  <c r="AM48" i="27"/>
  <c r="AL48" i="27"/>
  <c r="AD48" i="27"/>
  <c r="AE48" i="27" s="1"/>
  <c r="AF48" i="27" s="1"/>
  <c r="AG48" i="27" s="1"/>
  <c r="AH48" i="27" s="1"/>
  <c r="AI48" i="27" s="1"/>
  <c r="AJ48" i="27" s="1"/>
  <c r="Z48" i="27"/>
  <c r="AA48" i="27" s="1"/>
  <c r="AB48" i="27" s="1"/>
  <c r="Y48" i="27"/>
  <c r="V48" i="27"/>
  <c r="W48" i="27" s="1"/>
  <c r="X48" i="27" s="1"/>
  <c r="Q48" i="27"/>
  <c r="R48" i="27" s="1"/>
  <c r="S48" i="27" s="1"/>
  <c r="T48" i="27" s="1"/>
  <c r="P48" i="27"/>
  <c r="N48" i="27"/>
  <c r="O48" i="27" s="1"/>
  <c r="K48" i="27"/>
  <c r="L48" i="27" s="1"/>
  <c r="H48" i="27"/>
  <c r="I48" i="27" s="1"/>
  <c r="J48" i="27" s="1"/>
  <c r="G48" i="27"/>
  <c r="F48" i="27"/>
  <c r="AR47" i="27"/>
  <c r="AN47" i="27"/>
  <c r="AO47" i="27" s="1"/>
  <c r="AP47" i="27" s="1"/>
  <c r="AQ47" i="27" s="1"/>
  <c r="AL47" i="27"/>
  <c r="AM47" i="27" s="1"/>
  <c r="AJ47" i="27"/>
  <c r="AF47" i="27"/>
  <c r="AG47" i="27" s="1"/>
  <c r="AH47" i="27" s="1"/>
  <c r="AI47" i="27" s="1"/>
  <c r="AE47" i="27"/>
  <c r="AD47" i="27"/>
  <c r="Z47" i="27"/>
  <c r="AA47" i="27" s="1"/>
  <c r="AB47" i="27" s="1"/>
  <c r="W47" i="27"/>
  <c r="X47" i="27" s="1"/>
  <c r="Y47" i="27" s="1"/>
  <c r="V47" i="27"/>
  <c r="N47" i="27"/>
  <c r="O47" i="27" s="1"/>
  <c r="P47" i="27" s="1"/>
  <c r="Q47" i="27" s="1"/>
  <c r="R47" i="27" s="1"/>
  <c r="S47" i="27" s="1"/>
  <c r="T47" i="27" s="1"/>
  <c r="L47" i="27"/>
  <c r="H47" i="27"/>
  <c r="I47" i="27" s="1"/>
  <c r="J47" i="27" s="1"/>
  <c r="K47" i="27" s="1"/>
  <c r="F47" i="27"/>
  <c r="G47" i="27" s="1"/>
  <c r="AP46" i="27"/>
  <c r="AQ46" i="27" s="1"/>
  <c r="AR46" i="27" s="1"/>
  <c r="AO46" i="27"/>
  <c r="AL46" i="27"/>
  <c r="AM46" i="27" s="1"/>
  <c r="AN46" i="27" s="1"/>
  <c r="AF46" i="27"/>
  <c r="AG46" i="27" s="1"/>
  <c r="AH46" i="27" s="1"/>
  <c r="AI46" i="27" s="1"/>
  <c r="AJ46" i="27" s="1"/>
  <c r="AD46" i="27"/>
  <c r="AE46" i="27" s="1"/>
  <c r="W46" i="27"/>
  <c r="X46" i="27" s="1"/>
  <c r="Y46" i="27" s="1"/>
  <c r="Z46" i="27" s="1"/>
  <c r="AA46" i="27" s="1"/>
  <c r="AB46" i="27" s="1"/>
  <c r="V46" i="27"/>
  <c r="R46" i="27"/>
  <c r="S46" i="27" s="1"/>
  <c r="T46" i="27" s="1"/>
  <c r="O46" i="27"/>
  <c r="P46" i="27" s="1"/>
  <c r="Q46" i="27" s="1"/>
  <c r="N46" i="27"/>
  <c r="I46" i="27"/>
  <c r="J46" i="27" s="1"/>
  <c r="K46" i="27" s="1"/>
  <c r="L46" i="27" s="1"/>
  <c r="G46" i="27"/>
  <c r="H46" i="27" s="1"/>
  <c r="F46" i="27"/>
  <c r="AM45" i="27"/>
  <c r="AN45" i="27" s="1"/>
  <c r="AO45" i="27" s="1"/>
  <c r="AP45" i="27" s="1"/>
  <c r="AQ45" i="27" s="1"/>
  <c r="AR45" i="27" s="1"/>
  <c r="AL45" i="27"/>
  <c r="AE45" i="27"/>
  <c r="AF45" i="27" s="1"/>
  <c r="AG45" i="27" s="1"/>
  <c r="AH45" i="27" s="1"/>
  <c r="AI45" i="27" s="1"/>
  <c r="AJ45" i="27" s="1"/>
  <c r="AD45" i="27"/>
  <c r="Y45" i="27"/>
  <c r="Z45" i="27" s="1"/>
  <c r="AA45" i="27" s="1"/>
  <c r="AB45" i="27" s="1"/>
  <c r="X45" i="27"/>
  <c r="V45" i="27"/>
  <c r="W45" i="27" s="1"/>
  <c r="S45" i="27"/>
  <c r="T45" i="27" s="1"/>
  <c r="Q45" i="27"/>
  <c r="R45" i="27" s="1"/>
  <c r="O45" i="27"/>
  <c r="P45" i="27" s="1"/>
  <c r="N45" i="27"/>
  <c r="L45" i="27"/>
  <c r="BA45" i="27" s="1"/>
  <c r="BB45" i="27" s="1"/>
  <c r="BC45" i="27" s="1"/>
  <c r="J45" i="27"/>
  <c r="K45" i="27" s="1"/>
  <c r="H45" i="27"/>
  <c r="I45" i="27" s="1"/>
  <c r="G45" i="27"/>
  <c r="F45" i="27"/>
  <c r="AO44" i="27"/>
  <c r="AP44" i="27" s="1"/>
  <c r="AQ44" i="27" s="1"/>
  <c r="AR44" i="27" s="1"/>
  <c r="AN44" i="27"/>
  <c r="AM44" i="27"/>
  <c r="AL44" i="27"/>
  <c r="AD44" i="27"/>
  <c r="AE44" i="27" s="1"/>
  <c r="AF44" i="27" s="1"/>
  <c r="AG44" i="27" s="1"/>
  <c r="AH44" i="27" s="1"/>
  <c r="AI44" i="27" s="1"/>
  <c r="AJ44" i="27" s="1"/>
  <c r="Z44" i="27"/>
  <c r="AA44" i="27" s="1"/>
  <c r="AB44" i="27" s="1"/>
  <c r="Y44" i="27"/>
  <c r="W44" i="27"/>
  <c r="X44" i="27" s="1"/>
  <c r="V44" i="27"/>
  <c r="T44" i="27"/>
  <c r="N44" i="27"/>
  <c r="O44" i="27" s="1"/>
  <c r="P44" i="27" s="1"/>
  <c r="Q44" i="27" s="1"/>
  <c r="R44" i="27" s="1"/>
  <c r="S44" i="27" s="1"/>
  <c r="G44" i="27"/>
  <c r="F44" i="27"/>
  <c r="AP43" i="27"/>
  <c r="AQ43" i="27" s="1"/>
  <c r="AR43" i="27" s="1"/>
  <c r="AO43" i="27"/>
  <c r="AN43" i="27"/>
  <c r="AL43" i="27"/>
  <c r="AM43" i="27" s="1"/>
  <c r="AE43" i="27"/>
  <c r="AF43" i="27" s="1"/>
  <c r="AG43" i="27" s="1"/>
  <c r="AH43" i="27" s="1"/>
  <c r="AI43" i="27" s="1"/>
  <c r="AJ43" i="27" s="1"/>
  <c r="AD43" i="27"/>
  <c r="W43" i="27"/>
  <c r="X43" i="27" s="1"/>
  <c r="Y43" i="27" s="1"/>
  <c r="Z43" i="27" s="1"/>
  <c r="AA43" i="27" s="1"/>
  <c r="AB43" i="27" s="1"/>
  <c r="V43" i="27"/>
  <c r="Q43" i="27"/>
  <c r="R43" i="27" s="1"/>
  <c r="S43" i="27" s="1"/>
  <c r="T43" i="27" s="1"/>
  <c r="N43" i="27"/>
  <c r="O43" i="27" s="1"/>
  <c r="P43" i="27" s="1"/>
  <c r="F43" i="27"/>
  <c r="AP42" i="27"/>
  <c r="AQ42" i="27" s="1"/>
  <c r="AR42" i="27" s="1"/>
  <c r="AN42" i="27"/>
  <c r="AO42" i="27" s="1"/>
  <c r="AM42" i="27"/>
  <c r="AL42" i="27"/>
  <c r="AD42" i="27"/>
  <c r="AE42" i="27" s="1"/>
  <c r="AF42" i="27" s="1"/>
  <c r="AG42" i="27" s="1"/>
  <c r="AH42" i="27" s="1"/>
  <c r="AI42" i="27" s="1"/>
  <c r="AJ42" i="27" s="1"/>
  <c r="AB42" i="27"/>
  <c r="X42" i="27"/>
  <c r="Y42" i="27" s="1"/>
  <c r="Z42" i="27" s="1"/>
  <c r="AA42" i="27" s="1"/>
  <c r="V42" i="27"/>
  <c r="W42" i="27" s="1"/>
  <c r="P42" i="27"/>
  <c r="Q42" i="27" s="1"/>
  <c r="R42" i="27" s="1"/>
  <c r="S42" i="27" s="1"/>
  <c r="T42" i="27" s="1"/>
  <c r="O42" i="27"/>
  <c r="N42" i="27"/>
  <c r="K42" i="27"/>
  <c r="L42" i="27" s="1"/>
  <c r="G42" i="27"/>
  <c r="H42" i="27" s="1"/>
  <c r="I42" i="27" s="1"/>
  <c r="J42" i="27" s="1"/>
  <c r="F42" i="27"/>
  <c r="AM41" i="27"/>
  <c r="AN41" i="27" s="1"/>
  <c r="AO41" i="27" s="1"/>
  <c r="AP41" i="27" s="1"/>
  <c r="AQ41" i="27" s="1"/>
  <c r="AR41" i="27" s="1"/>
  <c r="AL41" i="27"/>
  <c r="AD41" i="27"/>
  <c r="AE41" i="27" s="1"/>
  <c r="AF41" i="27" s="1"/>
  <c r="AG41" i="27" s="1"/>
  <c r="AH41" i="27" s="1"/>
  <c r="AI41" i="27" s="1"/>
  <c r="AJ41" i="27" s="1"/>
  <c r="V41" i="27"/>
  <c r="W41" i="27" s="1"/>
  <c r="X41" i="27" s="1"/>
  <c r="Y41" i="27" s="1"/>
  <c r="Z41" i="27" s="1"/>
  <c r="AA41" i="27" s="1"/>
  <c r="AB41" i="27" s="1"/>
  <c r="Q41" i="27"/>
  <c r="R41" i="27" s="1"/>
  <c r="S41" i="27" s="1"/>
  <c r="T41" i="27" s="1"/>
  <c r="P41" i="27"/>
  <c r="N41" i="27"/>
  <c r="O41" i="27" s="1"/>
  <c r="I41" i="27"/>
  <c r="J41" i="27" s="1"/>
  <c r="K41" i="27" s="1"/>
  <c r="L41" i="27" s="1"/>
  <c r="H41" i="27"/>
  <c r="G41" i="27"/>
  <c r="F41" i="27"/>
  <c r="AL40" i="27"/>
  <c r="AM40" i="27" s="1"/>
  <c r="AN40" i="27" s="1"/>
  <c r="AO40" i="27" s="1"/>
  <c r="AP40" i="27" s="1"/>
  <c r="AQ40" i="27" s="1"/>
  <c r="AR40" i="27" s="1"/>
  <c r="AE40" i="27"/>
  <c r="AF40" i="27" s="1"/>
  <c r="AG40" i="27" s="1"/>
  <c r="AH40" i="27" s="1"/>
  <c r="AI40" i="27" s="1"/>
  <c r="AJ40" i="27" s="1"/>
  <c r="AD40" i="27"/>
  <c r="AA40" i="27"/>
  <c r="AB40" i="27" s="1"/>
  <c r="W40" i="27"/>
  <c r="X40" i="27" s="1"/>
  <c r="Y40" i="27" s="1"/>
  <c r="Z40" i="27" s="1"/>
  <c r="V40" i="27"/>
  <c r="O40" i="27"/>
  <c r="P40" i="27" s="1"/>
  <c r="Q40" i="27" s="1"/>
  <c r="R40" i="27" s="1"/>
  <c r="S40" i="27" s="1"/>
  <c r="T40" i="27" s="1"/>
  <c r="N40" i="27"/>
  <c r="F40" i="27"/>
  <c r="G40" i="27" s="1"/>
  <c r="H40" i="27" s="1"/>
  <c r="I40" i="27" s="1"/>
  <c r="J40" i="27" s="1"/>
  <c r="K40" i="27" s="1"/>
  <c r="L40" i="27" s="1"/>
  <c r="AL39" i="27"/>
  <c r="AM39" i="27" s="1"/>
  <c r="AN39" i="27" s="1"/>
  <c r="AO39" i="27" s="1"/>
  <c r="AP39" i="27" s="1"/>
  <c r="AQ39" i="27" s="1"/>
  <c r="AR39" i="27" s="1"/>
  <c r="AD39" i="27"/>
  <c r="AE39" i="27" s="1"/>
  <c r="AF39" i="27" s="1"/>
  <c r="AG39" i="27" s="1"/>
  <c r="AH39" i="27" s="1"/>
  <c r="AI39" i="27" s="1"/>
  <c r="AJ39" i="27" s="1"/>
  <c r="Y39" i="27"/>
  <c r="Z39" i="27" s="1"/>
  <c r="AA39" i="27" s="1"/>
  <c r="AB39" i="27" s="1"/>
  <c r="X39" i="27"/>
  <c r="W39" i="27"/>
  <c r="V39" i="27"/>
  <c r="N39" i="27"/>
  <c r="O39" i="27" s="1"/>
  <c r="P39" i="27" s="1"/>
  <c r="Q39" i="27" s="1"/>
  <c r="R39" i="27" s="1"/>
  <c r="S39" i="27" s="1"/>
  <c r="T39" i="27" s="1"/>
  <c r="I39" i="27"/>
  <c r="J39" i="27" s="1"/>
  <c r="K39" i="27" s="1"/>
  <c r="L39" i="27" s="1"/>
  <c r="G39" i="27"/>
  <c r="H39" i="27" s="1"/>
  <c r="F39" i="27"/>
  <c r="AQ38" i="27"/>
  <c r="AR38" i="27" s="1"/>
  <c r="AP38" i="27"/>
  <c r="AL38" i="27"/>
  <c r="AM38" i="27" s="1"/>
  <c r="AN38" i="27" s="1"/>
  <c r="AO38" i="27" s="1"/>
  <c r="AE38" i="27"/>
  <c r="AF38" i="27" s="1"/>
  <c r="AG38" i="27" s="1"/>
  <c r="AH38" i="27" s="1"/>
  <c r="AI38" i="27" s="1"/>
  <c r="AJ38" i="27" s="1"/>
  <c r="AD38" i="27"/>
  <c r="V38" i="27"/>
  <c r="W38" i="27" s="1"/>
  <c r="X38" i="27" s="1"/>
  <c r="Y38" i="27" s="1"/>
  <c r="Z38" i="27" s="1"/>
  <c r="AA38" i="27" s="1"/>
  <c r="AB38" i="27" s="1"/>
  <c r="S38" i="27"/>
  <c r="T38" i="27" s="1"/>
  <c r="Q38" i="27"/>
  <c r="R38" i="27" s="1"/>
  <c r="P38" i="27"/>
  <c r="O38" i="27"/>
  <c r="N38" i="27"/>
  <c r="G38" i="27"/>
  <c r="F38" i="27"/>
  <c r="AN37" i="27"/>
  <c r="AO37" i="27" s="1"/>
  <c r="AP37" i="27" s="1"/>
  <c r="AQ37" i="27" s="1"/>
  <c r="AR37" i="27" s="1"/>
  <c r="AM37" i="27"/>
  <c r="AL37" i="27"/>
  <c r="AE37" i="27"/>
  <c r="AF37" i="27" s="1"/>
  <c r="AG37" i="27" s="1"/>
  <c r="AH37" i="27" s="1"/>
  <c r="AI37" i="27" s="1"/>
  <c r="AJ37" i="27" s="1"/>
  <c r="AD37" i="27"/>
  <c r="W37" i="27"/>
  <c r="X37" i="27" s="1"/>
  <c r="Y37" i="27" s="1"/>
  <c r="Z37" i="27" s="1"/>
  <c r="AA37" i="27" s="1"/>
  <c r="AB37" i="27" s="1"/>
  <c r="V37" i="27"/>
  <c r="R37" i="27"/>
  <c r="S37" i="27" s="1"/>
  <c r="T37" i="27" s="1"/>
  <c r="Q37" i="27"/>
  <c r="P37" i="27"/>
  <c r="N37" i="27"/>
  <c r="O37" i="27" s="1"/>
  <c r="G37" i="27"/>
  <c r="H37" i="27" s="1"/>
  <c r="I37" i="27" s="1"/>
  <c r="J37" i="27" s="1"/>
  <c r="K37" i="27" s="1"/>
  <c r="L37" i="27" s="1"/>
  <c r="F37" i="27"/>
  <c r="AO36" i="27"/>
  <c r="AP36" i="27" s="1"/>
  <c r="AQ36" i="27" s="1"/>
  <c r="AR36" i="27" s="1"/>
  <c r="AN36" i="27"/>
  <c r="AL36" i="27"/>
  <c r="AM36" i="27" s="1"/>
  <c r="AI36" i="27"/>
  <c r="AJ36" i="27" s="1"/>
  <c r="AG36" i="27"/>
  <c r="AH36" i="27" s="1"/>
  <c r="AF36" i="27"/>
  <c r="AE36" i="27"/>
  <c r="AD36" i="27"/>
  <c r="W36" i="27"/>
  <c r="X36" i="27" s="1"/>
  <c r="Y36" i="27" s="1"/>
  <c r="Z36" i="27" s="1"/>
  <c r="AA36" i="27" s="1"/>
  <c r="AB36" i="27" s="1"/>
  <c r="V36" i="27"/>
  <c r="R36" i="27"/>
  <c r="S36" i="27" s="1"/>
  <c r="T36" i="27" s="1"/>
  <c r="Q36" i="27"/>
  <c r="O36" i="27"/>
  <c r="P36" i="27" s="1"/>
  <c r="N36" i="27"/>
  <c r="F36" i="27"/>
  <c r="G36" i="27" s="1"/>
  <c r="H36" i="27" s="1"/>
  <c r="I36" i="27" s="1"/>
  <c r="J36" i="27" s="1"/>
  <c r="K36" i="27" s="1"/>
  <c r="L36" i="27" s="1"/>
  <c r="AQ35" i="27"/>
  <c r="AR35" i="27" s="1"/>
  <c r="AM35" i="27"/>
  <c r="AN35" i="27" s="1"/>
  <c r="AO35" i="27" s="1"/>
  <c r="AP35" i="27" s="1"/>
  <c r="AL35" i="27"/>
  <c r="AF35" i="27"/>
  <c r="AG35" i="27" s="1"/>
  <c r="AH35" i="27" s="1"/>
  <c r="AI35" i="27" s="1"/>
  <c r="AJ35" i="27" s="1"/>
  <c r="AD35" i="27"/>
  <c r="AE35" i="27" s="1"/>
  <c r="Y35" i="27"/>
  <c r="Z35" i="27" s="1"/>
  <c r="AA35" i="27" s="1"/>
  <c r="AB35" i="27" s="1"/>
  <c r="X35" i="27"/>
  <c r="W35" i="27"/>
  <c r="V35" i="27"/>
  <c r="P35" i="27"/>
  <c r="Q35" i="27" s="1"/>
  <c r="R35" i="27" s="1"/>
  <c r="S35" i="27" s="1"/>
  <c r="T35" i="27" s="1"/>
  <c r="O35" i="27"/>
  <c r="N35" i="27"/>
  <c r="I35" i="27"/>
  <c r="J35" i="27" s="1"/>
  <c r="K35" i="27" s="1"/>
  <c r="L35" i="27" s="1"/>
  <c r="G35" i="27"/>
  <c r="H35" i="27" s="1"/>
  <c r="F35" i="27"/>
  <c r="AL34" i="27"/>
  <c r="AM34" i="27" s="1"/>
  <c r="AN34" i="27" s="1"/>
  <c r="AO34" i="27" s="1"/>
  <c r="AP34" i="27" s="1"/>
  <c r="AQ34" i="27" s="1"/>
  <c r="AR34" i="27" s="1"/>
  <c r="AG34" i="27"/>
  <c r="AH34" i="27" s="1"/>
  <c r="AI34" i="27" s="1"/>
  <c r="AJ34" i="27" s="1"/>
  <c r="AE34" i="27"/>
  <c r="AF34" i="27" s="1"/>
  <c r="AD34" i="27"/>
  <c r="Z34" i="27"/>
  <c r="AA34" i="27" s="1"/>
  <c r="AB34" i="27" s="1"/>
  <c r="Y34" i="27"/>
  <c r="V34" i="27"/>
  <c r="W34" i="27" s="1"/>
  <c r="X34" i="27" s="1"/>
  <c r="S34" i="27"/>
  <c r="T34" i="27" s="1"/>
  <c r="O34" i="27"/>
  <c r="P34" i="27" s="1"/>
  <c r="Q34" i="27" s="1"/>
  <c r="R34" i="27" s="1"/>
  <c r="N34" i="27"/>
  <c r="H34" i="27"/>
  <c r="I34" i="27" s="1"/>
  <c r="J34" i="27" s="1"/>
  <c r="K34" i="27" s="1"/>
  <c r="L34" i="27" s="1"/>
  <c r="F34" i="27"/>
  <c r="G34" i="27" s="1"/>
  <c r="AO33" i="27"/>
  <c r="AP33" i="27" s="1"/>
  <c r="AQ33" i="27" s="1"/>
  <c r="AR33" i="27" s="1"/>
  <c r="AN33" i="27"/>
  <c r="AM33" i="27"/>
  <c r="AL33" i="27"/>
  <c r="AJ33" i="27"/>
  <c r="AF33" i="27"/>
  <c r="AG33" i="27" s="1"/>
  <c r="AH33" i="27" s="1"/>
  <c r="AI33" i="27" s="1"/>
  <c r="AE33" i="27"/>
  <c r="AD33" i="27"/>
  <c r="Z33" i="27"/>
  <c r="AA33" i="27" s="1"/>
  <c r="AB33" i="27" s="1"/>
  <c r="Y33" i="27"/>
  <c r="V33" i="27"/>
  <c r="W33" i="27" s="1"/>
  <c r="X33" i="27" s="1"/>
  <c r="R33" i="27"/>
  <c r="S33" i="27" s="1"/>
  <c r="T33" i="27" s="1"/>
  <c r="N33" i="27"/>
  <c r="O33" i="27" s="1"/>
  <c r="P33" i="27" s="1"/>
  <c r="Q33" i="27" s="1"/>
  <c r="G33" i="27"/>
  <c r="F33" i="27"/>
  <c r="AO32" i="27"/>
  <c r="AP32" i="27" s="1"/>
  <c r="AQ32" i="27" s="1"/>
  <c r="AR32" i="27" s="1"/>
  <c r="AL32" i="27"/>
  <c r="AM32" i="27" s="1"/>
  <c r="AN32" i="27" s="1"/>
  <c r="AE32" i="27"/>
  <c r="AF32" i="27" s="1"/>
  <c r="AG32" i="27" s="1"/>
  <c r="AH32" i="27" s="1"/>
  <c r="AI32" i="27" s="1"/>
  <c r="AJ32" i="27" s="1"/>
  <c r="AD32" i="27"/>
  <c r="V32" i="27"/>
  <c r="W32" i="27" s="1"/>
  <c r="X32" i="27" s="1"/>
  <c r="Y32" i="27" s="1"/>
  <c r="Z32" i="27" s="1"/>
  <c r="AA32" i="27" s="1"/>
  <c r="AB32" i="27" s="1"/>
  <c r="N32" i="27"/>
  <c r="O32" i="27" s="1"/>
  <c r="P32" i="27" s="1"/>
  <c r="Q32" i="27" s="1"/>
  <c r="R32" i="27" s="1"/>
  <c r="S32" i="27" s="1"/>
  <c r="T32" i="27" s="1"/>
  <c r="L32" i="27"/>
  <c r="H32" i="27"/>
  <c r="I32" i="27" s="1"/>
  <c r="J32" i="27" s="1"/>
  <c r="K32" i="27" s="1"/>
  <c r="F32" i="27"/>
  <c r="G32" i="27" s="1"/>
  <c r="AM31" i="27"/>
  <c r="AN31" i="27" s="1"/>
  <c r="AO31" i="27" s="1"/>
  <c r="AP31" i="27" s="1"/>
  <c r="AQ31" i="27" s="1"/>
  <c r="AR31" i="27" s="1"/>
  <c r="AL31" i="27"/>
  <c r="AD31" i="27"/>
  <c r="AE31" i="27" s="1"/>
  <c r="AF31" i="27" s="1"/>
  <c r="AG31" i="27" s="1"/>
  <c r="AH31" i="27" s="1"/>
  <c r="AI31" i="27" s="1"/>
  <c r="AJ31" i="27" s="1"/>
  <c r="W31" i="27"/>
  <c r="X31" i="27" s="1"/>
  <c r="Y31" i="27" s="1"/>
  <c r="Z31" i="27" s="1"/>
  <c r="AA31" i="27" s="1"/>
  <c r="AB31" i="27" s="1"/>
  <c r="V31" i="27"/>
  <c r="N31" i="27"/>
  <c r="O31" i="27" s="1"/>
  <c r="P31" i="27" s="1"/>
  <c r="Q31" i="27" s="1"/>
  <c r="R31" i="27" s="1"/>
  <c r="S31" i="27" s="1"/>
  <c r="T31" i="27" s="1"/>
  <c r="F31" i="27"/>
  <c r="AR30" i="27"/>
  <c r="AN30" i="27"/>
  <c r="AO30" i="27" s="1"/>
  <c r="AP30" i="27" s="1"/>
  <c r="AQ30" i="27" s="1"/>
  <c r="AM30" i="27"/>
  <c r="AL30" i="27"/>
  <c r="AH30" i="27"/>
  <c r="AI30" i="27" s="1"/>
  <c r="AJ30" i="27" s="1"/>
  <c r="AG30" i="27"/>
  <c r="AD30" i="27"/>
  <c r="AE30" i="27" s="1"/>
  <c r="AF30" i="27" s="1"/>
  <c r="Z30" i="27"/>
  <c r="AA30" i="27" s="1"/>
  <c r="AB30" i="27" s="1"/>
  <c r="V30" i="27"/>
  <c r="W30" i="27" s="1"/>
  <c r="X30" i="27" s="1"/>
  <c r="Y30" i="27" s="1"/>
  <c r="O30" i="27"/>
  <c r="P30" i="27" s="1"/>
  <c r="Q30" i="27" s="1"/>
  <c r="R30" i="27" s="1"/>
  <c r="S30" i="27" s="1"/>
  <c r="T30" i="27" s="1"/>
  <c r="N30" i="27"/>
  <c r="F30" i="27"/>
  <c r="AM29" i="27"/>
  <c r="AN29" i="27" s="1"/>
  <c r="AO29" i="27" s="1"/>
  <c r="AP29" i="27" s="1"/>
  <c r="AQ29" i="27" s="1"/>
  <c r="AR29" i="27" s="1"/>
  <c r="AL29" i="27"/>
  <c r="AD29" i="27"/>
  <c r="AE29" i="27" s="1"/>
  <c r="AF29" i="27" s="1"/>
  <c r="AG29" i="27" s="1"/>
  <c r="AH29" i="27" s="1"/>
  <c r="AI29" i="27" s="1"/>
  <c r="AJ29" i="27" s="1"/>
  <c r="V29" i="27"/>
  <c r="W29" i="27" s="1"/>
  <c r="X29" i="27" s="1"/>
  <c r="Y29" i="27" s="1"/>
  <c r="Z29" i="27" s="1"/>
  <c r="AA29" i="27" s="1"/>
  <c r="AB29" i="27" s="1"/>
  <c r="P29" i="27"/>
  <c r="Q29" i="27" s="1"/>
  <c r="R29" i="27" s="1"/>
  <c r="S29" i="27" s="1"/>
  <c r="T29" i="27" s="1"/>
  <c r="N29" i="27"/>
  <c r="O29" i="27" s="1"/>
  <c r="H29" i="27"/>
  <c r="I29" i="27" s="1"/>
  <c r="J29" i="27" s="1"/>
  <c r="K29" i="27" s="1"/>
  <c r="L29" i="27" s="1"/>
  <c r="G29" i="27"/>
  <c r="F29" i="27"/>
  <c r="AR28" i="27"/>
  <c r="AP28" i="27"/>
  <c r="AQ28" i="27" s="1"/>
  <c r="AL28" i="27"/>
  <c r="AM28" i="27" s="1"/>
  <c r="AN28" i="27" s="1"/>
  <c r="AO28" i="27" s="1"/>
  <c r="AF28" i="27"/>
  <c r="AG28" i="27" s="1"/>
  <c r="AH28" i="27" s="1"/>
  <c r="AI28" i="27" s="1"/>
  <c r="AJ28" i="27" s="1"/>
  <c r="AE28" i="27"/>
  <c r="AD28" i="27"/>
  <c r="Z28" i="27"/>
  <c r="AA28" i="27" s="1"/>
  <c r="AB28" i="27" s="1"/>
  <c r="V28" i="27"/>
  <c r="W28" i="27" s="1"/>
  <c r="X28" i="27" s="1"/>
  <c r="Y28" i="27" s="1"/>
  <c r="N28" i="27"/>
  <c r="O28" i="27" s="1"/>
  <c r="P28" i="27" s="1"/>
  <c r="Q28" i="27" s="1"/>
  <c r="R28" i="27" s="1"/>
  <c r="S28" i="27" s="1"/>
  <c r="T28" i="27" s="1"/>
  <c r="I28" i="27"/>
  <c r="J28" i="27" s="1"/>
  <c r="K28" i="27" s="1"/>
  <c r="L28" i="27" s="1"/>
  <c r="H28" i="27"/>
  <c r="F28" i="27"/>
  <c r="G28" i="27" s="1"/>
  <c r="AP27" i="27"/>
  <c r="AQ27" i="27" s="1"/>
  <c r="AR27" i="27" s="1"/>
  <c r="AO27" i="27"/>
  <c r="AM27" i="27"/>
  <c r="AN27" i="27" s="1"/>
  <c r="AL27" i="27"/>
  <c r="AD27" i="27"/>
  <c r="AE27" i="27" s="1"/>
  <c r="AF27" i="27" s="1"/>
  <c r="AG27" i="27" s="1"/>
  <c r="AH27" i="27" s="1"/>
  <c r="AI27" i="27" s="1"/>
  <c r="AJ27" i="27" s="1"/>
  <c r="AB27" i="27"/>
  <c r="X27" i="27"/>
  <c r="Y27" i="27" s="1"/>
  <c r="Z27" i="27" s="1"/>
  <c r="AA27" i="27" s="1"/>
  <c r="W27" i="27"/>
  <c r="V27" i="27"/>
  <c r="S27" i="27"/>
  <c r="T27" i="27" s="1"/>
  <c r="R27" i="27"/>
  <c r="N27" i="27"/>
  <c r="O27" i="27" s="1"/>
  <c r="P27" i="27" s="1"/>
  <c r="Q27" i="27" s="1"/>
  <c r="G27" i="27"/>
  <c r="H27" i="27" s="1"/>
  <c r="I27" i="27" s="1"/>
  <c r="J27" i="27" s="1"/>
  <c r="K27" i="27" s="1"/>
  <c r="L27" i="27" s="1"/>
  <c r="F27" i="27"/>
  <c r="AN26" i="27"/>
  <c r="AO26" i="27" s="1"/>
  <c r="AP26" i="27" s="1"/>
  <c r="AQ26" i="27" s="1"/>
  <c r="AR26" i="27" s="1"/>
  <c r="AL26" i="27"/>
  <c r="AM26" i="27" s="1"/>
  <c r="AE26" i="27"/>
  <c r="AF26" i="27" s="1"/>
  <c r="AG26" i="27" s="1"/>
  <c r="AH26" i="27" s="1"/>
  <c r="AI26" i="27" s="1"/>
  <c r="AJ26" i="27" s="1"/>
  <c r="AD26" i="27"/>
  <c r="Y26" i="27"/>
  <c r="Z26" i="27" s="1"/>
  <c r="AA26" i="27" s="1"/>
  <c r="AB26" i="27" s="1"/>
  <c r="X26" i="27"/>
  <c r="V26" i="27"/>
  <c r="W26" i="27" s="1"/>
  <c r="O26" i="27"/>
  <c r="P26" i="27" s="1"/>
  <c r="Q26" i="27" s="1"/>
  <c r="R26" i="27" s="1"/>
  <c r="S26" i="27" s="1"/>
  <c r="T26" i="27" s="1"/>
  <c r="N26" i="27"/>
  <c r="H26" i="27"/>
  <c r="I26" i="27" s="1"/>
  <c r="J26" i="27" s="1"/>
  <c r="K26" i="27" s="1"/>
  <c r="L26" i="27" s="1"/>
  <c r="G26" i="27"/>
  <c r="F26" i="27"/>
  <c r="AO25" i="27"/>
  <c r="AP25" i="27" s="1"/>
  <c r="AQ25" i="27" s="1"/>
  <c r="AR25" i="27" s="1"/>
  <c r="AN25" i="27"/>
  <c r="AM25" i="27"/>
  <c r="AL25" i="27"/>
  <c r="AE25" i="27"/>
  <c r="AF25" i="27" s="1"/>
  <c r="AG25" i="27" s="1"/>
  <c r="AH25" i="27" s="1"/>
  <c r="AI25" i="27" s="1"/>
  <c r="AJ25" i="27" s="1"/>
  <c r="AD25" i="27"/>
  <c r="Y25" i="27"/>
  <c r="Z25" i="27" s="1"/>
  <c r="AA25" i="27" s="1"/>
  <c r="AB25" i="27" s="1"/>
  <c r="W25" i="27"/>
  <c r="X25" i="27" s="1"/>
  <c r="V25" i="27"/>
  <c r="N25" i="27"/>
  <c r="O25" i="27" s="1"/>
  <c r="P25" i="27" s="1"/>
  <c r="Q25" i="27" s="1"/>
  <c r="R25" i="27" s="1"/>
  <c r="S25" i="27" s="1"/>
  <c r="T25" i="27" s="1"/>
  <c r="G25" i="27"/>
  <c r="H25" i="27" s="1"/>
  <c r="I25" i="27" s="1"/>
  <c r="J25" i="27" s="1"/>
  <c r="K25" i="27" s="1"/>
  <c r="L25" i="27" s="1"/>
  <c r="F25" i="27"/>
  <c r="AO24" i="27"/>
  <c r="AP24" i="27" s="1"/>
  <c r="AQ24" i="27" s="1"/>
  <c r="AR24" i="27" s="1"/>
  <c r="AN24" i="27"/>
  <c r="AL24" i="27"/>
  <c r="AM24" i="27" s="1"/>
  <c r="AE24" i="27"/>
  <c r="AF24" i="27" s="1"/>
  <c r="AG24" i="27" s="1"/>
  <c r="AH24" i="27" s="1"/>
  <c r="AI24" i="27" s="1"/>
  <c r="AJ24" i="27" s="1"/>
  <c r="AD24" i="27"/>
  <c r="X24" i="27"/>
  <c r="Y24" i="27" s="1"/>
  <c r="Z24" i="27" s="1"/>
  <c r="AA24" i="27" s="1"/>
  <c r="AB24" i="27" s="1"/>
  <c r="W24" i="27"/>
  <c r="V24" i="27"/>
  <c r="N24" i="27"/>
  <c r="O24" i="27" s="1"/>
  <c r="P24" i="27" s="1"/>
  <c r="Q24" i="27" s="1"/>
  <c r="R24" i="27" s="1"/>
  <c r="S24" i="27" s="1"/>
  <c r="T24" i="27" s="1"/>
  <c r="F24" i="27"/>
  <c r="G24" i="27" s="1"/>
  <c r="H24" i="27" s="1"/>
  <c r="I24" i="27" s="1"/>
  <c r="J24" i="27" s="1"/>
  <c r="K24" i="27" s="1"/>
  <c r="L24" i="27" s="1"/>
  <c r="AM23" i="27"/>
  <c r="AN23" i="27" s="1"/>
  <c r="AO23" i="27" s="1"/>
  <c r="AP23" i="27" s="1"/>
  <c r="AQ23" i="27" s="1"/>
  <c r="AR23" i="27" s="1"/>
  <c r="AL23" i="27"/>
  <c r="AG23" i="27"/>
  <c r="AH23" i="27" s="1"/>
  <c r="AI23" i="27" s="1"/>
  <c r="AJ23" i="27" s="1"/>
  <c r="AF23" i="27"/>
  <c r="AD23" i="27"/>
  <c r="AE23" i="27" s="1"/>
  <c r="W23" i="27"/>
  <c r="X23" i="27" s="1"/>
  <c r="Y23" i="27" s="1"/>
  <c r="Z23" i="27" s="1"/>
  <c r="AA23" i="27" s="1"/>
  <c r="AB23" i="27" s="1"/>
  <c r="V23" i="27"/>
  <c r="P23" i="27"/>
  <c r="Q23" i="27" s="1"/>
  <c r="R23" i="27" s="1"/>
  <c r="S23" i="27" s="1"/>
  <c r="T23" i="27" s="1"/>
  <c r="O23" i="27"/>
  <c r="N23" i="27"/>
  <c r="F23" i="27"/>
  <c r="G23" i="27" s="1"/>
  <c r="H23" i="27" s="1"/>
  <c r="I23" i="27" s="1"/>
  <c r="J23" i="27" s="1"/>
  <c r="K23" i="27" s="1"/>
  <c r="L23" i="27" s="1"/>
  <c r="AM22" i="27"/>
  <c r="AN22" i="27" s="1"/>
  <c r="AO22" i="27" s="1"/>
  <c r="AP22" i="27" s="1"/>
  <c r="AQ22" i="27" s="1"/>
  <c r="AR22" i="27" s="1"/>
  <c r="AL22" i="27"/>
  <c r="AG22" i="27"/>
  <c r="AH22" i="27" s="1"/>
  <c r="AI22" i="27" s="1"/>
  <c r="AJ22" i="27" s="1"/>
  <c r="AE22" i="27"/>
  <c r="AF22" i="27" s="1"/>
  <c r="AD22" i="27"/>
  <c r="V22" i="27"/>
  <c r="W22" i="27" s="1"/>
  <c r="X22" i="27" s="1"/>
  <c r="Y22" i="27" s="1"/>
  <c r="Z22" i="27" s="1"/>
  <c r="AA22" i="27" s="1"/>
  <c r="AB22" i="27" s="1"/>
  <c r="O22" i="27"/>
  <c r="P22" i="27" s="1"/>
  <c r="Q22" i="27" s="1"/>
  <c r="R22" i="27" s="1"/>
  <c r="S22" i="27" s="1"/>
  <c r="T22" i="27" s="1"/>
  <c r="N22" i="27"/>
  <c r="F22" i="27"/>
  <c r="AM21" i="27"/>
  <c r="AN21" i="27" s="1"/>
  <c r="AO21" i="27" s="1"/>
  <c r="AP21" i="27" s="1"/>
  <c r="AQ21" i="27" s="1"/>
  <c r="AR21" i="27" s="1"/>
  <c r="AL21" i="27"/>
  <c r="AF21" i="27"/>
  <c r="AG21" i="27" s="1"/>
  <c r="AH21" i="27" s="1"/>
  <c r="AI21" i="27" s="1"/>
  <c r="AJ21" i="27" s="1"/>
  <c r="AE21" i="27"/>
  <c r="AD21" i="27"/>
  <c r="V21" i="27"/>
  <c r="W21" i="27" s="1"/>
  <c r="X21" i="27" s="1"/>
  <c r="Y21" i="27" s="1"/>
  <c r="Z21" i="27" s="1"/>
  <c r="AA21" i="27" s="1"/>
  <c r="AB21" i="27" s="1"/>
  <c r="N21" i="27"/>
  <c r="O21" i="27" s="1"/>
  <c r="P21" i="27" s="1"/>
  <c r="Q21" i="27" s="1"/>
  <c r="R21" i="27" s="1"/>
  <c r="S21" i="27" s="1"/>
  <c r="T21" i="27" s="1"/>
  <c r="H21" i="27"/>
  <c r="I21" i="27" s="1"/>
  <c r="J21" i="27" s="1"/>
  <c r="K21" i="27" s="1"/>
  <c r="L21" i="27" s="1"/>
  <c r="G21" i="27"/>
  <c r="F21" i="27"/>
  <c r="AL20" i="27"/>
  <c r="AM20" i="27" s="1"/>
  <c r="AN20" i="27" s="1"/>
  <c r="AO20" i="27" s="1"/>
  <c r="AP20" i="27" s="1"/>
  <c r="AQ20" i="27" s="1"/>
  <c r="AR20" i="27" s="1"/>
  <c r="AE20" i="27"/>
  <c r="AF20" i="27" s="1"/>
  <c r="AG20" i="27" s="1"/>
  <c r="AH20" i="27" s="1"/>
  <c r="AI20" i="27" s="1"/>
  <c r="AJ20" i="27" s="1"/>
  <c r="AD20" i="27"/>
  <c r="V20" i="27"/>
  <c r="W20" i="27" s="1"/>
  <c r="X20" i="27" s="1"/>
  <c r="Y20" i="27" s="1"/>
  <c r="Z20" i="27" s="1"/>
  <c r="AA20" i="27" s="1"/>
  <c r="AB20" i="27" s="1"/>
  <c r="N20" i="27"/>
  <c r="O20" i="27" s="1"/>
  <c r="P20" i="27" s="1"/>
  <c r="Q20" i="27" s="1"/>
  <c r="R20" i="27" s="1"/>
  <c r="S20" i="27" s="1"/>
  <c r="T20" i="27" s="1"/>
  <c r="H20" i="27"/>
  <c r="I20" i="27" s="1"/>
  <c r="J20" i="27" s="1"/>
  <c r="K20" i="27" s="1"/>
  <c r="L20" i="27" s="1"/>
  <c r="F20" i="27"/>
  <c r="G20" i="27" s="1"/>
  <c r="AO19" i="27"/>
  <c r="AP19" i="27" s="1"/>
  <c r="AQ19" i="27" s="1"/>
  <c r="AR19" i="27" s="1"/>
  <c r="AM19" i="27"/>
  <c r="AN19" i="27" s="1"/>
  <c r="AL19" i="27"/>
  <c r="AD19" i="27"/>
  <c r="AE19" i="27" s="1"/>
  <c r="AF19" i="27" s="1"/>
  <c r="AG19" i="27" s="1"/>
  <c r="AH19" i="27" s="1"/>
  <c r="AI19" i="27" s="1"/>
  <c r="AJ19" i="27" s="1"/>
  <c r="W19" i="27"/>
  <c r="X19" i="27" s="1"/>
  <c r="Y19" i="27" s="1"/>
  <c r="Z19" i="27" s="1"/>
  <c r="AA19" i="27" s="1"/>
  <c r="AB19" i="27" s="1"/>
  <c r="V19" i="27"/>
  <c r="N19" i="27"/>
  <c r="O19" i="27" s="1"/>
  <c r="P19" i="27" s="1"/>
  <c r="Q19" i="27" s="1"/>
  <c r="R19" i="27" s="1"/>
  <c r="S19" i="27" s="1"/>
  <c r="T19" i="27" s="1"/>
  <c r="F19" i="27"/>
  <c r="AN18" i="27"/>
  <c r="AO18" i="27" s="1"/>
  <c r="AP18" i="27" s="1"/>
  <c r="AQ18" i="27" s="1"/>
  <c r="AR18" i="27" s="1"/>
  <c r="AM18" i="27"/>
  <c r="AL18" i="27"/>
  <c r="AD18" i="27"/>
  <c r="AE18" i="27" s="1"/>
  <c r="AF18" i="27" s="1"/>
  <c r="AG18" i="27" s="1"/>
  <c r="AH18" i="27" s="1"/>
  <c r="AI18" i="27" s="1"/>
  <c r="AJ18" i="27" s="1"/>
  <c r="V18" i="27"/>
  <c r="W18" i="27" s="1"/>
  <c r="X18" i="27" s="1"/>
  <c r="Y18" i="27" s="1"/>
  <c r="Z18" i="27" s="1"/>
  <c r="AA18" i="27" s="1"/>
  <c r="AB18" i="27" s="1"/>
  <c r="P18" i="27"/>
  <c r="Q18" i="27" s="1"/>
  <c r="R18" i="27" s="1"/>
  <c r="S18" i="27" s="1"/>
  <c r="T18" i="27" s="1"/>
  <c r="O18" i="27"/>
  <c r="N18" i="27"/>
  <c r="F18" i="27"/>
  <c r="G18" i="27" s="1"/>
  <c r="H18" i="27" s="1"/>
  <c r="I18" i="27" s="1"/>
  <c r="J18" i="27" s="1"/>
  <c r="K18" i="27" s="1"/>
  <c r="L18" i="27" s="1"/>
  <c r="AL17" i="27"/>
  <c r="AM17" i="27" s="1"/>
  <c r="AN17" i="27" s="1"/>
  <c r="AO17" i="27" s="1"/>
  <c r="AP17" i="27" s="1"/>
  <c r="AQ17" i="27" s="1"/>
  <c r="AR17" i="27" s="1"/>
  <c r="AD17" i="27"/>
  <c r="AE17" i="27" s="1"/>
  <c r="AF17" i="27" s="1"/>
  <c r="AG17" i="27" s="1"/>
  <c r="AH17" i="27" s="1"/>
  <c r="AI17" i="27" s="1"/>
  <c r="AJ17" i="27" s="1"/>
  <c r="X17" i="27"/>
  <c r="Y17" i="27" s="1"/>
  <c r="Z17" i="27" s="1"/>
  <c r="AA17" i="27" s="1"/>
  <c r="AB17" i="27" s="1"/>
  <c r="W17" i="27"/>
  <c r="V17" i="27"/>
  <c r="O17" i="27"/>
  <c r="P17" i="27" s="1"/>
  <c r="Q17" i="27" s="1"/>
  <c r="R17" i="27" s="1"/>
  <c r="S17" i="27" s="1"/>
  <c r="T17" i="27" s="1"/>
  <c r="N17" i="27"/>
  <c r="F17" i="27"/>
  <c r="G17" i="27" s="1"/>
  <c r="H17" i="27" s="1"/>
  <c r="I17" i="27" s="1"/>
  <c r="J17" i="27" s="1"/>
  <c r="K17" i="27" s="1"/>
  <c r="L17" i="27" s="1"/>
  <c r="AM16" i="27"/>
  <c r="AN16" i="27" s="1"/>
  <c r="AO16" i="27" s="1"/>
  <c r="AP16" i="27" s="1"/>
  <c r="AQ16" i="27" s="1"/>
  <c r="AR16" i="27" s="1"/>
  <c r="AL16" i="27"/>
  <c r="AD16" i="27"/>
  <c r="AE16" i="27" s="1"/>
  <c r="AF16" i="27" s="1"/>
  <c r="AG16" i="27" s="1"/>
  <c r="AH16" i="27" s="1"/>
  <c r="AI16" i="27" s="1"/>
  <c r="AJ16" i="27" s="1"/>
  <c r="V16" i="27"/>
  <c r="W16" i="27" s="1"/>
  <c r="X16" i="27" s="1"/>
  <c r="Y16" i="27" s="1"/>
  <c r="Z16" i="27" s="1"/>
  <c r="AA16" i="27" s="1"/>
  <c r="AB16" i="27" s="1"/>
  <c r="P16" i="27"/>
  <c r="Q16" i="27" s="1"/>
  <c r="R16" i="27" s="1"/>
  <c r="S16" i="27" s="1"/>
  <c r="T16" i="27" s="1"/>
  <c r="O16" i="27"/>
  <c r="N16" i="27"/>
  <c r="G16" i="27"/>
  <c r="F16" i="27"/>
  <c r="AN15" i="27"/>
  <c r="AO15" i="27" s="1"/>
  <c r="AP15" i="27" s="1"/>
  <c r="AQ15" i="27" s="1"/>
  <c r="AR15" i="27" s="1"/>
  <c r="AM15" i="27"/>
  <c r="AL15" i="27"/>
  <c r="AE15" i="27"/>
  <c r="AF15" i="27" s="1"/>
  <c r="AG15" i="27" s="1"/>
  <c r="AH15" i="27" s="1"/>
  <c r="AI15" i="27" s="1"/>
  <c r="AJ15" i="27" s="1"/>
  <c r="AD15" i="27"/>
  <c r="V15" i="27"/>
  <c r="W15" i="27" s="1"/>
  <c r="X15" i="27" s="1"/>
  <c r="Y15" i="27" s="1"/>
  <c r="Z15" i="27" s="1"/>
  <c r="AA15" i="27" s="1"/>
  <c r="AB15" i="27" s="1"/>
  <c r="N15" i="27"/>
  <c r="O15" i="27" s="1"/>
  <c r="P15" i="27" s="1"/>
  <c r="Q15" i="27" s="1"/>
  <c r="R15" i="27" s="1"/>
  <c r="S15" i="27" s="1"/>
  <c r="T15" i="27" s="1"/>
  <c r="H15" i="27"/>
  <c r="I15" i="27" s="1"/>
  <c r="J15" i="27" s="1"/>
  <c r="K15" i="27" s="1"/>
  <c r="L15" i="27" s="1"/>
  <c r="G15" i="27"/>
  <c r="F15" i="27"/>
  <c r="AL14" i="27"/>
  <c r="AM14" i="27" s="1"/>
  <c r="AN14" i="27" s="1"/>
  <c r="AO14" i="27" s="1"/>
  <c r="AP14" i="27" s="1"/>
  <c r="AQ14" i="27" s="1"/>
  <c r="AR14" i="27" s="1"/>
  <c r="AF14" i="27"/>
  <c r="AG14" i="27" s="1"/>
  <c r="AH14" i="27" s="1"/>
  <c r="AI14" i="27" s="1"/>
  <c r="AJ14" i="27" s="1"/>
  <c r="AE14" i="27"/>
  <c r="AD14" i="27"/>
  <c r="V14" i="27"/>
  <c r="W14" i="27" s="1"/>
  <c r="X14" i="27" s="1"/>
  <c r="Y14" i="27" s="1"/>
  <c r="Z14" i="27" s="1"/>
  <c r="AA14" i="27" s="1"/>
  <c r="AB14" i="27" s="1"/>
  <c r="N14" i="27"/>
  <c r="O14" i="27" s="1"/>
  <c r="P14" i="27" s="1"/>
  <c r="R14" i="27" s="1"/>
  <c r="S14" i="27" s="1"/>
  <c r="T14" i="27" s="1"/>
  <c r="F14" i="27"/>
  <c r="AL13" i="27"/>
  <c r="AM13" i="27" s="1"/>
  <c r="AN13" i="27" s="1"/>
  <c r="AO13" i="27" s="1"/>
  <c r="AP13" i="27" s="1"/>
  <c r="AQ13" i="27" s="1"/>
  <c r="AR13" i="27" s="1"/>
  <c r="AD13" i="27"/>
  <c r="AE13" i="27" s="1"/>
  <c r="AF13" i="27" s="1"/>
  <c r="AG13" i="27" s="1"/>
  <c r="AH13" i="27" s="1"/>
  <c r="AI13" i="27" s="1"/>
  <c r="AJ13" i="27" s="1"/>
  <c r="X13" i="27"/>
  <c r="Y13" i="27" s="1"/>
  <c r="Z13" i="27" s="1"/>
  <c r="AA13" i="27" s="1"/>
  <c r="AB13" i="27" s="1"/>
  <c r="W13" i="27"/>
  <c r="V13" i="27"/>
  <c r="O13" i="27"/>
  <c r="P13" i="27" s="1"/>
  <c r="Q13" i="27" s="1"/>
  <c r="R13" i="27" s="1"/>
  <c r="S13" i="27" s="1"/>
  <c r="T13" i="27" s="1"/>
  <c r="N13" i="27"/>
  <c r="F13" i="27"/>
  <c r="G13" i="27" s="1"/>
  <c r="H13" i="27" s="1"/>
  <c r="I13" i="27" s="1"/>
  <c r="J13" i="27" s="1"/>
  <c r="K13" i="27" s="1"/>
  <c r="L13" i="27" s="1"/>
  <c r="AM12" i="27"/>
  <c r="AN12" i="27" s="1"/>
  <c r="AO12" i="27" s="1"/>
  <c r="AP12" i="27" s="1"/>
  <c r="AQ12" i="27" s="1"/>
  <c r="AR12" i="27" s="1"/>
  <c r="AL12" i="27"/>
  <c r="AD12" i="27"/>
  <c r="AE12" i="27" s="1"/>
  <c r="AF12" i="27" s="1"/>
  <c r="AG12" i="27" s="1"/>
  <c r="AH12" i="27" s="1"/>
  <c r="AI12" i="27" s="1"/>
  <c r="AJ12" i="27" s="1"/>
  <c r="V12" i="27"/>
  <c r="W12" i="27" s="1"/>
  <c r="X12" i="27" s="1"/>
  <c r="Y12" i="27" s="1"/>
  <c r="Z12" i="27" s="1"/>
  <c r="AA12" i="27" s="1"/>
  <c r="AB12" i="27" s="1"/>
  <c r="N12" i="27"/>
  <c r="O12" i="27" s="1"/>
  <c r="P12" i="27" s="1"/>
  <c r="Q12" i="27" s="1"/>
  <c r="R12" i="27" s="1"/>
  <c r="S12" i="27" s="1"/>
  <c r="T12" i="27" s="1"/>
  <c r="G12" i="27"/>
  <c r="F12" i="27"/>
  <c r="AN11" i="27"/>
  <c r="AO11" i="27" s="1"/>
  <c r="AP11" i="27" s="1"/>
  <c r="AQ11" i="27" s="1"/>
  <c r="AR11" i="27" s="1"/>
  <c r="AM11" i="27"/>
  <c r="AL11" i="27"/>
  <c r="AE11" i="27"/>
  <c r="AF11" i="27" s="1"/>
  <c r="AG11" i="27" s="1"/>
  <c r="AH11" i="27" s="1"/>
  <c r="AI11" i="27" s="1"/>
  <c r="AJ11" i="27" s="1"/>
  <c r="AD11" i="27"/>
  <c r="V11" i="27"/>
  <c r="W11" i="27" s="1"/>
  <c r="X11" i="27" s="1"/>
  <c r="Y11" i="27" s="1"/>
  <c r="Z11" i="27" s="1"/>
  <c r="AA11" i="27" s="1"/>
  <c r="AB11" i="27" s="1"/>
  <c r="N11" i="27"/>
  <c r="O11" i="27" s="1"/>
  <c r="P11" i="27" s="1"/>
  <c r="Q11" i="27" s="1"/>
  <c r="R11" i="27" s="1"/>
  <c r="S11" i="27" s="1"/>
  <c r="T11" i="27" s="1"/>
  <c r="L11" i="27"/>
  <c r="K11" i="27"/>
  <c r="J11" i="27"/>
  <c r="G11" i="27"/>
  <c r="H11" i="27" s="1"/>
  <c r="F11" i="27"/>
  <c r="AN10" i="27"/>
  <c r="AM10" i="27"/>
  <c r="AL10" i="27"/>
  <c r="AE10" i="27"/>
  <c r="AD10" i="27"/>
  <c r="V10" i="27"/>
  <c r="N10" i="27"/>
  <c r="O10" i="27" s="1"/>
  <c r="H10" i="27"/>
  <c r="G10" i="27"/>
  <c r="F10" i="27"/>
  <c r="BB5" i="27"/>
  <c r="AG16" i="26"/>
  <c r="AR75" i="26"/>
  <c r="AQ75" i="26"/>
  <c r="AP75" i="26"/>
  <c r="AO75" i="26"/>
  <c r="AJ75" i="26"/>
  <c r="AI75" i="26"/>
  <c r="AH75" i="26"/>
  <c r="AG75" i="26"/>
  <c r="AF75" i="26"/>
  <c r="AE75" i="26"/>
  <c r="AD75" i="26"/>
  <c r="AC75" i="26"/>
  <c r="Q75" i="26"/>
  <c r="P75" i="26"/>
  <c r="O75" i="26"/>
  <c r="N75" i="26"/>
  <c r="M75" i="26"/>
  <c r="H75" i="26"/>
  <c r="G75" i="26"/>
  <c r="F75" i="26"/>
  <c r="E75" i="26"/>
  <c r="AK74" i="26"/>
  <c r="AC74" i="26"/>
  <c r="U74" i="26"/>
  <c r="M74" i="26"/>
  <c r="E74" i="26"/>
  <c r="AL73" i="26"/>
  <c r="AM73" i="26" s="1"/>
  <c r="AN73" i="26" s="1"/>
  <c r="AO73" i="26" s="1"/>
  <c r="AP73" i="26" s="1"/>
  <c r="AQ73" i="26" s="1"/>
  <c r="AR73" i="26" s="1"/>
  <c r="AD73" i="26"/>
  <c r="AE73" i="26" s="1"/>
  <c r="AF73" i="26" s="1"/>
  <c r="AG73" i="26" s="1"/>
  <c r="AH73" i="26" s="1"/>
  <c r="AI73" i="26" s="1"/>
  <c r="AJ73" i="26" s="1"/>
  <c r="V73" i="26"/>
  <c r="W73" i="26" s="1"/>
  <c r="X73" i="26" s="1"/>
  <c r="Y73" i="26" s="1"/>
  <c r="Z73" i="26" s="1"/>
  <c r="AA73" i="26" s="1"/>
  <c r="AB73" i="26" s="1"/>
  <c r="N73" i="26"/>
  <c r="O73" i="26" s="1"/>
  <c r="P73" i="26" s="1"/>
  <c r="Q73" i="26" s="1"/>
  <c r="R73" i="26" s="1"/>
  <c r="S73" i="26" s="1"/>
  <c r="T73" i="26" s="1"/>
  <c r="F73" i="26"/>
  <c r="AL72" i="26"/>
  <c r="AM72" i="26" s="1"/>
  <c r="AN72" i="26" s="1"/>
  <c r="AO72" i="26" s="1"/>
  <c r="AP72" i="26" s="1"/>
  <c r="AQ72" i="26" s="1"/>
  <c r="AR72" i="26" s="1"/>
  <c r="AD72" i="26"/>
  <c r="AE72" i="26" s="1"/>
  <c r="AF72" i="26" s="1"/>
  <c r="AG72" i="26" s="1"/>
  <c r="AH72" i="26" s="1"/>
  <c r="AI72" i="26" s="1"/>
  <c r="AJ72" i="26" s="1"/>
  <c r="V72" i="26"/>
  <c r="W72" i="26" s="1"/>
  <c r="X72" i="26" s="1"/>
  <c r="Y72" i="26" s="1"/>
  <c r="Z72" i="26" s="1"/>
  <c r="AA72" i="26" s="1"/>
  <c r="AB72" i="26" s="1"/>
  <c r="N72" i="26"/>
  <c r="O72" i="26" s="1"/>
  <c r="P72" i="26" s="1"/>
  <c r="Q72" i="26" s="1"/>
  <c r="R72" i="26" s="1"/>
  <c r="S72" i="26" s="1"/>
  <c r="T72" i="26" s="1"/>
  <c r="F72" i="26"/>
  <c r="AL71" i="26"/>
  <c r="AM71" i="26" s="1"/>
  <c r="AN71" i="26" s="1"/>
  <c r="AO71" i="26" s="1"/>
  <c r="AP71" i="26" s="1"/>
  <c r="AQ71" i="26" s="1"/>
  <c r="AR71" i="26" s="1"/>
  <c r="AD71" i="26"/>
  <c r="AE71" i="26" s="1"/>
  <c r="AF71" i="26" s="1"/>
  <c r="AG71" i="26" s="1"/>
  <c r="AH71" i="26" s="1"/>
  <c r="AI71" i="26" s="1"/>
  <c r="AJ71" i="26" s="1"/>
  <c r="V71" i="26"/>
  <c r="W71" i="26" s="1"/>
  <c r="X71" i="26" s="1"/>
  <c r="Y71" i="26" s="1"/>
  <c r="Z71" i="26" s="1"/>
  <c r="AA71" i="26" s="1"/>
  <c r="AB71" i="26" s="1"/>
  <c r="N71" i="26"/>
  <c r="O71" i="26" s="1"/>
  <c r="P71" i="26" s="1"/>
  <c r="Q71" i="26" s="1"/>
  <c r="R71" i="26" s="1"/>
  <c r="S71" i="26" s="1"/>
  <c r="T71" i="26" s="1"/>
  <c r="F71" i="26"/>
  <c r="AL70" i="26"/>
  <c r="AM70" i="26" s="1"/>
  <c r="AN70" i="26" s="1"/>
  <c r="AO70" i="26" s="1"/>
  <c r="AP70" i="26" s="1"/>
  <c r="AQ70" i="26" s="1"/>
  <c r="AR70" i="26" s="1"/>
  <c r="AD70" i="26"/>
  <c r="AE70" i="26" s="1"/>
  <c r="AF70" i="26" s="1"/>
  <c r="AG70" i="26" s="1"/>
  <c r="AH70" i="26" s="1"/>
  <c r="AI70" i="26" s="1"/>
  <c r="AJ70" i="26" s="1"/>
  <c r="V70" i="26"/>
  <c r="W70" i="26" s="1"/>
  <c r="X70" i="26" s="1"/>
  <c r="Y70" i="26" s="1"/>
  <c r="Z70" i="26" s="1"/>
  <c r="AA70" i="26" s="1"/>
  <c r="AB70" i="26" s="1"/>
  <c r="N70" i="26"/>
  <c r="O70" i="26" s="1"/>
  <c r="P70" i="26" s="1"/>
  <c r="Q70" i="26" s="1"/>
  <c r="R70" i="26" s="1"/>
  <c r="S70" i="26" s="1"/>
  <c r="T70" i="26" s="1"/>
  <c r="F70" i="26"/>
  <c r="AL69" i="26"/>
  <c r="AM69" i="26" s="1"/>
  <c r="AN69" i="26" s="1"/>
  <c r="AO69" i="26" s="1"/>
  <c r="AP69" i="26" s="1"/>
  <c r="AQ69" i="26" s="1"/>
  <c r="AR69" i="26" s="1"/>
  <c r="AD69" i="26"/>
  <c r="AE69" i="26" s="1"/>
  <c r="AF69" i="26" s="1"/>
  <c r="AG69" i="26" s="1"/>
  <c r="AH69" i="26" s="1"/>
  <c r="AI69" i="26" s="1"/>
  <c r="AJ69" i="26" s="1"/>
  <c r="V69" i="26"/>
  <c r="W69" i="26" s="1"/>
  <c r="X69" i="26" s="1"/>
  <c r="Y69" i="26" s="1"/>
  <c r="Z69" i="26" s="1"/>
  <c r="AA69" i="26" s="1"/>
  <c r="AB69" i="26" s="1"/>
  <c r="N69" i="26"/>
  <c r="O69" i="26" s="1"/>
  <c r="P69" i="26" s="1"/>
  <c r="Q69" i="26" s="1"/>
  <c r="R69" i="26" s="1"/>
  <c r="S69" i="26" s="1"/>
  <c r="T69" i="26" s="1"/>
  <c r="F69" i="26"/>
  <c r="AL68" i="26"/>
  <c r="AM68" i="26" s="1"/>
  <c r="AN68" i="26" s="1"/>
  <c r="AO68" i="26" s="1"/>
  <c r="AP68" i="26" s="1"/>
  <c r="AQ68" i="26" s="1"/>
  <c r="AR68" i="26" s="1"/>
  <c r="AD68" i="26"/>
  <c r="AE68" i="26" s="1"/>
  <c r="AF68" i="26" s="1"/>
  <c r="AG68" i="26" s="1"/>
  <c r="AH68" i="26" s="1"/>
  <c r="AI68" i="26" s="1"/>
  <c r="AJ68" i="26" s="1"/>
  <c r="V68" i="26"/>
  <c r="W68" i="26" s="1"/>
  <c r="X68" i="26" s="1"/>
  <c r="Y68" i="26" s="1"/>
  <c r="Z68" i="26" s="1"/>
  <c r="AA68" i="26" s="1"/>
  <c r="AB68" i="26" s="1"/>
  <c r="N68" i="26"/>
  <c r="O68" i="26" s="1"/>
  <c r="P68" i="26" s="1"/>
  <c r="Q68" i="26" s="1"/>
  <c r="R68" i="26" s="1"/>
  <c r="S68" i="26" s="1"/>
  <c r="T68" i="26" s="1"/>
  <c r="F68" i="26"/>
  <c r="AL67" i="26"/>
  <c r="AM67" i="26" s="1"/>
  <c r="AN67" i="26" s="1"/>
  <c r="AO67" i="26" s="1"/>
  <c r="AP67" i="26" s="1"/>
  <c r="AQ67" i="26" s="1"/>
  <c r="AR67" i="26" s="1"/>
  <c r="AD67" i="26"/>
  <c r="AE67" i="26" s="1"/>
  <c r="AF67" i="26" s="1"/>
  <c r="AG67" i="26" s="1"/>
  <c r="AH67" i="26" s="1"/>
  <c r="AI67" i="26" s="1"/>
  <c r="AJ67" i="26" s="1"/>
  <c r="V67" i="26"/>
  <c r="W67" i="26" s="1"/>
  <c r="X67" i="26" s="1"/>
  <c r="Y67" i="26" s="1"/>
  <c r="Z67" i="26" s="1"/>
  <c r="AA67" i="26" s="1"/>
  <c r="AB67" i="26" s="1"/>
  <c r="N67" i="26"/>
  <c r="O67" i="26" s="1"/>
  <c r="P67" i="26" s="1"/>
  <c r="Q67" i="26" s="1"/>
  <c r="R67" i="26" s="1"/>
  <c r="S67" i="26" s="1"/>
  <c r="T67" i="26" s="1"/>
  <c r="F67" i="26"/>
  <c r="AL66" i="26"/>
  <c r="AM66" i="26" s="1"/>
  <c r="AN66" i="26" s="1"/>
  <c r="AO66" i="26" s="1"/>
  <c r="AP66" i="26" s="1"/>
  <c r="AQ66" i="26" s="1"/>
  <c r="AR66" i="26" s="1"/>
  <c r="AD66" i="26"/>
  <c r="AE66" i="26" s="1"/>
  <c r="AF66" i="26" s="1"/>
  <c r="AG66" i="26" s="1"/>
  <c r="AH66" i="26" s="1"/>
  <c r="AI66" i="26" s="1"/>
  <c r="AJ66" i="26" s="1"/>
  <c r="V66" i="26"/>
  <c r="W66" i="26" s="1"/>
  <c r="X66" i="26" s="1"/>
  <c r="Y66" i="26" s="1"/>
  <c r="Z66" i="26" s="1"/>
  <c r="AA66" i="26" s="1"/>
  <c r="AB66" i="26" s="1"/>
  <c r="N66" i="26"/>
  <c r="O66" i="26" s="1"/>
  <c r="P66" i="26" s="1"/>
  <c r="Q66" i="26" s="1"/>
  <c r="R66" i="26" s="1"/>
  <c r="S66" i="26" s="1"/>
  <c r="T66" i="26" s="1"/>
  <c r="F66" i="26"/>
  <c r="AL65" i="26"/>
  <c r="AM65" i="26" s="1"/>
  <c r="AN65" i="26" s="1"/>
  <c r="AO65" i="26" s="1"/>
  <c r="AP65" i="26" s="1"/>
  <c r="AQ65" i="26" s="1"/>
  <c r="AR65" i="26" s="1"/>
  <c r="AD65" i="26"/>
  <c r="AE65" i="26" s="1"/>
  <c r="AF65" i="26" s="1"/>
  <c r="AG65" i="26" s="1"/>
  <c r="AH65" i="26" s="1"/>
  <c r="AI65" i="26" s="1"/>
  <c r="AJ65" i="26" s="1"/>
  <c r="V65" i="26"/>
  <c r="W65" i="26" s="1"/>
  <c r="X65" i="26" s="1"/>
  <c r="Y65" i="26" s="1"/>
  <c r="Z65" i="26" s="1"/>
  <c r="AA65" i="26" s="1"/>
  <c r="AB65" i="26" s="1"/>
  <c r="N65" i="26"/>
  <c r="O65" i="26" s="1"/>
  <c r="P65" i="26" s="1"/>
  <c r="Q65" i="26" s="1"/>
  <c r="R65" i="26" s="1"/>
  <c r="S65" i="26" s="1"/>
  <c r="T65" i="26" s="1"/>
  <c r="F65" i="26"/>
  <c r="AL64" i="26"/>
  <c r="AM64" i="26" s="1"/>
  <c r="AN64" i="26" s="1"/>
  <c r="AO64" i="26" s="1"/>
  <c r="AP64" i="26" s="1"/>
  <c r="AQ64" i="26" s="1"/>
  <c r="AR64" i="26" s="1"/>
  <c r="AD64" i="26"/>
  <c r="AE64" i="26" s="1"/>
  <c r="AF64" i="26" s="1"/>
  <c r="AG64" i="26" s="1"/>
  <c r="AH64" i="26" s="1"/>
  <c r="AI64" i="26" s="1"/>
  <c r="AJ64" i="26" s="1"/>
  <c r="V64" i="26"/>
  <c r="W64" i="26" s="1"/>
  <c r="X64" i="26" s="1"/>
  <c r="Y64" i="26" s="1"/>
  <c r="Z64" i="26" s="1"/>
  <c r="AA64" i="26" s="1"/>
  <c r="AB64" i="26" s="1"/>
  <c r="N64" i="26"/>
  <c r="O64" i="26" s="1"/>
  <c r="P64" i="26" s="1"/>
  <c r="Q64" i="26" s="1"/>
  <c r="R64" i="26" s="1"/>
  <c r="S64" i="26" s="1"/>
  <c r="T64" i="26" s="1"/>
  <c r="F64" i="26"/>
  <c r="AL63" i="26"/>
  <c r="AM63" i="26" s="1"/>
  <c r="AN63" i="26" s="1"/>
  <c r="AO63" i="26" s="1"/>
  <c r="AP63" i="26" s="1"/>
  <c r="AQ63" i="26" s="1"/>
  <c r="AR63" i="26" s="1"/>
  <c r="AD63" i="26"/>
  <c r="AE63" i="26" s="1"/>
  <c r="AF63" i="26" s="1"/>
  <c r="AG63" i="26" s="1"/>
  <c r="AH63" i="26" s="1"/>
  <c r="AI63" i="26" s="1"/>
  <c r="AJ63" i="26" s="1"/>
  <c r="V63" i="26"/>
  <c r="W63" i="26" s="1"/>
  <c r="X63" i="26" s="1"/>
  <c r="Y63" i="26" s="1"/>
  <c r="Z63" i="26" s="1"/>
  <c r="AA63" i="26" s="1"/>
  <c r="AB63" i="26" s="1"/>
  <c r="N63" i="26"/>
  <c r="O63" i="26" s="1"/>
  <c r="P63" i="26" s="1"/>
  <c r="Q63" i="26" s="1"/>
  <c r="R63" i="26" s="1"/>
  <c r="S63" i="26" s="1"/>
  <c r="T63" i="26" s="1"/>
  <c r="F63" i="26"/>
  <c r="AL62" i="26"/>
  <c r="AM62" i="26" s="1"/>
  <c r="AN62" i="26" s="1"/>
  <c r="AO62" i="26" s="1"/>
  <c r="AP62" i="26" s="1"/>
  <c r="AQ62" i="26" s="1"/>
  <c r="AR62" i="26" s="1"/>
  <c r="AD62" i="26"/>
  <c r="AE62" i="26" s="1"/>
  <c r="AF62" i="26" s="1"/>
  <c r="AG62" i="26" s="1"/>
  <c r="AH62" i="26" s="1"/>
  <c r="AI62" i="26" s="1"/>
  <c r="AJ62" i="26" s="1"/>
  <c r="V62" i="26"/>
  <c r="W62" i="26" s="1"/>
  <c r="X62" i="26" s="1"/>
  <c r="Y62" i="26" s="1"/>
  <c r="Z62" i="26" s="1"/>
  <c r="AA62" i="26" s="1"/>
  <c r="AB62" i="26" s="1"/>
  <c r="N62" i="26"/>
  <c r="O62" i="26" s="1"/>
  <c r="P62" i="26" s="1"/>
  <c r="Q62" i="26" s="1"/>
  <c r="R62" i="26" s="1"/>
  <c r="S62" i="26" s="1"/>
  <c r="T62" i="26" s="1"/>
  <c r="F62" i="26"/>
  <c r="AL61" i="26"/>
  <c r="AM61" i="26" s="1"/>
  <c r="AN61" i="26" s="1"/>
  <c r="AO61" i="26" s="1"/>
  <c r="AP61" i="26" s="1"/>
  <c r="AQ61" i="26" s="1"/>
  <c r="AR61" i="26" s="1"/>
  <c r="AD61" i="26"/>
  <c r="AE61" i="26" s="1"/>
  <c r="AF61" i="26" s="1"/>
  <c r="AG61" i="26" s="1"/>
  <c r="AH61" i="26" s="1"/>
  <c r="AI61" i="26" s="1"/>
  <c r="AJ61" i="26" s="1"/>
  <c r="V61" i="26"/>
  <c r="W61" i="26" s="1"/>
  <c r="X61" i="26" s="1"/>
  <c r="Y61" i="26" s="1"/>
  <c r="Z61" i="26" s="1"/>
  <c r="AA61" i="26" s="1"/>
  <c r="AB61" i="26" s="1"/>
  <c r="N61" i="26"/>
  <c r="O61" i="26" s="1"/>
  <c r="P61" i="26" s="1"/>
  <c r="Q61" i="26" s="1"/>
  <c r="R61" i="26" s="1"/>
  <c r="S61" i="26" s="1"/>
  <c r="T61" i="26" s="1"/>
  <c r="F61" i="26"/>
  <c r="AL60" i="26"/>
  <c r="AM60" i="26" s="1"/>
  <c r="AN60" i="26" s="1"/>
  <c r="AO60" i="26" s="1"/>
  <c r="AP60" i="26" s="1"/>
  <c r="AQ60" i="26" s="1"/>
  <c r="AR60" i="26" s="1"/>
  <c r="AD60" i="26"/>
  <c r="AE60" i="26" s="1"/>
  <c r="AF60" i="26" s="1"/>
  <c r="AG60" i="26" s="1"/>
  <c r="AH60" i="26" s="1"/>
  <c r="AI60" i="26" s="1"/>
  <c r="AJ60" i="26" s="1"/>
  <c r="V60" i="26"/>
  <c r="W60" i="26" s="1"/>
  <c r="X60" i="26" s="1"/>
  <c r="Y60" i="26" s="1"/>
  <c r="Z60" i="26" s="1"/>
  <c r="AA60" i="26" s="1"/>
  <c r="AB60" i="26" s="1"/>
  <c r="N60" i="26"/>
  <c r="O60" i="26" s="1"/>
  <c r="P60" i="26" s="1"/>
  <c r="Q60" i="26" s="1"/>
  <c r="R60" i="26" s="1"/>
  <c r="S60" i="26" s="1"/>
  <c r="T60" i="26" s="1"/>
  <c r="F60" i="26"/>
  <c r="AL59" i="26"/>
  <c r="AM59" i="26" s="1"/>
  <c r="AN59" i="26" s="1"/>
  <c r="AO59" i="26" s="1"/>
  <c r="AP59" i="26" s="1"/>
  <c r="AQ59" i="26" s="1"/>
  <c r="AR59" i="26" s="1"/>
  <c r="AD59" i="26"/>
  <c r="AE59" i="26" s="1"/>
  <c r="AF59" i="26" s="1"/>
  <c r="AG59" i="26" s="1"/>
  <c r="AH59" i="26" s="1"/>
  <c r="AI59" i="26" s="1"/>
  <c r="AJ59" i="26" s="1"/>
  <c r="V59" i="26"/>
  <c r="W59" i="26" s="1"/>
  <c r="X59" i="26" s="1"/>
  <c r="Y59" i="26" s="1"/>
  <c r="Z59" i="26" s="1"/>
  <c r="AA59" i="26" s="1"/>
  <c r="AB59" i="26" s="1"/>
  <c r="N59" i="26"/>
  <c r="O59" i="26" s="1"/>
  <c r="P59" i="26" s="1"/>
  <c r="Q59" i="26" s="1"/>
  <c r="R59" i="26" s="1"/>
  <c r="S59" i="26" s="1"/>
  <c r="T59" i="26" s="1"/>
  <c r="F59" i="26"/>
  <c r="AL58" i="26"/>
  <c r="AM58" i="26" s="1"/>
  <c r="AN58" i="26" s="1"/>
  <c r="AO58" i="26" s="1"/>
  <c r="AP58" i="26" s="1"/>
  <c r="AQ58" i="26" s="1"/>
  <c r="AR58" i="26" s="1"/>
  <c r="AD58" i="26"/>
  <c r="AE58" i="26" s="1"/>
  <c r="AF58" i="26" s="1"/>
  <c r="AG58" i="26" s="1"/>
  <c r="AH58" i="26" s="1"/>
  <c r="AI58" i="26" s="1"/>
  <c r="AJ58" i="26" s="1"/>
  <c r="V58" i="26"/>
  <c r="W58" i="26" s="1"/>
  <c r="X58" i="26" s="1"/>
  <c r="Y58" i="26" s="1"/>
  <c r="Z58" i="26" s="1"/>
  <c r="AA58" i="26" s="1"/>
  <c r="AB58" i="26" s="1"/>
  <c r="N58" i="26"/>
  <c r="O58" i="26" s="1"/>
  <c r="P58" i="26" s="1"/>
  <c r="Q58" i="26" s="1"/>
  <c r="R58" i="26" s="1"/>
  <c r="S58" i="26" s="1"/>
  <c r="T58" i="26" s="1"/>
  <c r="F58" i="26"/>
  <c r="AL57" i="26"/>
  <c r="AM57" i="26" s="1"/>
  <c r="AN57" i="26" s="1"/>
  <c r="AO57" i="26" s="1"/>
  <c r="AP57" i="26" s="1"/>
  <c r="AQ57" i="26" s="1"/>
  <c r="AR57" i="26" s="1"/>
  <c r="AD57" i="26"/>
  <c r="AE57" i="26" s="1"/>
  <c r="AF57" i="26" s="1"/>
  <c r="AG57" i="26" s="1"/>
  <c r="AH57" i="26" s="1"/>
  <c r="AI57" i="26" s="1"/>
  <c r="AJ57" i="26" s="1"/>
  <c r="V57" i="26"/>
  <c r="W57" i="26" s="1"/>
  <c r="X57" i="26" s="1"/>
  <c r="Y57" i="26" s="1"/>
  <c r="Z57" i="26" s="1"/>
  <c r="AA57" i="26" s="1"/>
  <c r="AB57" i="26" s="1"/>
  <c r="N57" i="26"/>
  <c r="O57" i="26" s="1"/>
  <c r="P57" i="26" s="1"/>
  <c r="Q57" i="26" s="1"/>
  <c r="R57" i="26" s="1"/>
  <c r="S57" i="26" s="1"/>
  <c r="T57" i="26" s="1"/>
  <c r="F57" i="26"/>
  <c r="AL56" i="26"/>
  <c r="AM56" i="26" s="1"/>
  <c r="AN56" i="26" s="1"/>
  <c r="AO56" i="26" s="1"/>
  <c r="AP56" i="26" s="1"/>
  <c r="AQ56" i="26" s="1"/>
  <c r="AR56" i="26" s="1"/>
  <c r="AD56" i="26"/>
  <c r="AE56" i="26" s="1"/>
  <c r="AF56" i="26" s="1"/>
  <c r="AG56" i="26" s="1"/>
  <c r="AH56" i="26" s="1"/>
  <c r="AI56" i="26" s="1"/>
  <c r="AJ56" i="26" s="1"/>
  <c r="V56" i="26"/>
  <c r="W56" i="26" s="1"/>
  <c r="X56" i="26" s="1"/>
  <c r="Y56" i="26" s="1"/>
  <c r="Z56" i="26" s="1"/>
  <c r="AA56" i="26" s="1"/>
  <c r="AB56" i="26" s="1"/>
  <c r="N56" i="26"/>
  <c r="O56" i="26" s="1"/>
  <c r="P56" i="26" s="1"/>
  <c r="Q56" i="26" s="1"/>
  <c r="R56" i="26" s="1"/>
  <c r="S56" i="26" s="1"/>
  <c r="T56" i="26" s="1"/>
  <c r="F56" i="26"/>
  <c r="AL55" i="26"/>
  <c r="AM55" i="26" s="1"/>
  <c r="AN55" i="26" s="1"/>
  <c r="AO55" i="26" s="1"/>
  <c r="AP55" i="26" s="1"/>
  <c r="AQ55" i="26" s="1"/>
  <c r="AR55" i="26" s="1"/>
  <c r="AD55" i="26"/>
  <c r="AE55" i="26" s="1"/>
  <c r="AF55" i="26" s="1"/>
  <c r="AG55" i="26" s="1"/>
  <c r="AH55" i="26" s="1"/>
  <c r="AI55" i="26" s="1"/>
  <c r="AJ55" i="26" s="1"/>
  <c r="V55" i="26"/>
  <c r="W55" i="26" s="1"/>
  <c r="X55" i="26" s="1"/>
  <c r="Y55" i="26" s="1"/>
  <c r="Z55" i="26" s="1"/>
  <c r="AA55" i="26" s="1"/>
  <c r="AB55" i="26" s="1"/>
  <c r="N55" i="26"/>
  <c r="O55" i="26" s="1"/>
  <c r="P55" i="26" s="1"/>
  <c r="Q55" i="26" s="1"/>
  <c r="R55" i="26" s="1"/>
  <c r="S55" i="26" s="1"/>
  <c r="T55" i="26" s="1"/>
  <c r="F55" i="26"/>
  <c r="AL54" i="26"/>
  <c r="AM54" i="26" s="1"/>
  <c r="AN54" i="26" s="1"/>
  <c r="AO54" i="26" s="1"/>
  <c r="AP54" i="26" s="1"/>
  <c r="AQ54" i="26" s="1"/>
  <c r="AR54" i="26" s="1"/>
  <c r="AD54" i="26"/>
  <c r="AE54" i="26" s="1"/>
  <c r="AF54" i="26" s="1"/>
  <c r="AG54" i="26" s="1"/>
  <c r="AH54" i="26" s="1"/>
  <c r="AI54" i="26" s="1"/>
  <c r="AJ54" i="26" s="1"/>
  <c r="V54" i="26"/>
  <c r="W54" i="26" s="1"/>
  <c r="X54" i="26" s="1"/>
  <c r="Y54" i="26" s="1"/>
  <c r="Z54" i="26" s="1"/>
  <c r="AA54" i="26" s="1"/>
  <c r="AB54" i="26" s="1"/>
  <c r="N54" i="26"/>
  <c r="O54" i="26" s="1"/>
  <c r="P54" i="26" s="1"/>
  <c r="Q54" i="26" s="1"/>
  <c r="R54" i="26" s="1"/>
  <c r="S54" i="26" s="1"/>
  <c r="T54" i="26" s="1"/>
  <c r="F54" i="26"/>
  <c r="AL53" i="26"/>
  <c r="AM53" i="26" s="1"/>
  <c r="AN53" i="26" s="1"/>
  <c r="AO53" i="26" s="1"/>
  <c r="AP53" i="26" s="1"/>
  <c r="AQ53" i="26" s="1"/>
  <c r="AR53" i="26" s="1"/>
  <c r="AD53" i="26"/>
  <c r="AE53" i="26" s="1"/>
  <c r="AF53" i="26" s="1"/>
  <c r="AG53" i="26" s="1"/>
  <c r="AH53" i="26" s="1"/>
  <c r="AI53" i="26" s="1"/>
  <c r="AJ53" i="26" s="1"/>
  <c r="V53" i="26"/>
  <c r="W53" i="26" s="1"/>
  <c r="X53" i="26" s="1"/>
  <c r="Y53" i="26" s="1"/>
  <c r="Z53" i="26" s="1"/>
  <c r="AA53" i="26" s="1"/>
  <c r="AB53" i="26" s="1"/>
  <c r="N53" i="26"/>
  <c r="O53" i="26" s="1"/>
  <c r="P53" i="26" s="1"/>
  <c r="Q53" i="26" s="1"/>
  <c r="R53" i="26" s="1"/>
  <c r="S53" i="26" s="1"/>
  <c r="T53" i="26" s="1"/>
  <c r="F53" i="26"/>
  <c r="AL52" i="26"/>
  <c r="AM52" i="26" s="1"/>
  <c r="AN52" i="26" s="1"/>
  <c r="AO52" i="26" s="1"/>
  <c r="AP52" i="26" s="1"/>
  <c r="AQ52" i="26" s="1"/>
  <c r="AR52" i="26" s="1"/>
  <c r="AD52" i="26"/>
  <c r="AE52" i="26" s="1"/>
  <c r="AF52" i="26" s="1"/>
  <c r="AG52" i="26" s="1"/>
  <c r="AH52" i="26" s="1"/>
  <c r="AI52" i="26" s="1"/>
  <c r="AJ52" i="26" s="1"/>
  <c r="V52" i="26"/>
  <c r="W52" i="26" s="1"/>
  <c r="X52" i="26" s="1"/>
  <c r="Y52" i="26" s="1"/>
  <c r="Z52" i="26" s="1"/>
  <c r="AA52" i="26" s="1"/>
  <c r="AB52" i="26" s="1"/>
  <c r="N52" i="26"/>
  <c r="O52" i="26" s="1"/>
  <c r="P52" i="26" s="1"/>
  <c r="Q52" i="26" s="1"/>
  <c r="R52" i="26" s="1"/>
  <c r="S52" i="26" s="1"/>
  <c r="T52" i="26" s="1"/>
  <c r="F52" i="26"/>
  <c r="AL51" i="26"/>
  <c r="AM51" i="26" s="1"/>
  <c r="AN51" i="26" s="1"/>
  <c r="AO51" i="26" s="1"/>
  <c r="AP51" i="26" s="1"/>
  <c r="AQ51" i="26" s="1"/>
  <c r="AR51" i="26" s="1"/>
  <c r="AD51" i="26"/>
  <c r="AE51" i="26" s="1"/>
  <c r="AF51" i="26" s="1"/>
  <c r="AG51" i="26" s="1"/>
  <c r="AH51" i="26" s="1"/>
  <c r="AI51" i="26" s="1"/>
  <c r="AJ51" i="26" s="1"/>
  <c r="V51" i="26"/>
  <c r="W51" i="26" s="1"/>
  <c r="X51" i="26" s="1"/>
  <c r="Y51" i="26" s="1"/>
  <c r="Z51" i="26" s="1"/>
  <c r="AA51" i="26" s="1"/>
  <c r="AB51" i="26" s="1"/>
  <c r="N51" i="26"/>
  <c r="O51" i="26" s="1"/>
  <c r="P51" i="26" s="1"/>
  <c r="Q51" i="26" s="1"/>
  <c r="R51" i="26" s="1"/>
  <c r="S51" i="26" s="1"/>
  <c r="T51" i="26" s="1"/>
  <c r="F51" i="26"/>
  <c r="AL50" i="26"/>
  <c r="AM50" i="26" s="1"/>
  <c r="AN50" i="26" s="1"/>
  <c r="AO50" i="26" s="1"/>
  <c r="AP50" i="26" s="1"/>
  <c r="AQ50" i="26" s="1"/>
  <c r="AR50" i="26" s="1"/>
  <c r="AD50" i="26"/>
  <c r="AE50" i="26" s="1"/>
  <c r="AF50" i="26" s="1"/>
  <c r="AG50" i="26" s="1"/>
  <c r="AH50" i="26" s="1"/>
  <c r="AI50" i="26" s="1"/>
  <c r="AJ50" i="26" s="1"/>
  <c r="V50" i="26"/>
  <c r="W50" i="26" s="1"/>
  <c r="X50" i="26" s="1"/>
  <c r="Y50" i="26" s="1"/>
  <c r="Z50" i="26" s="1"/>
  <c r="AA50" i="26" s="1"/>
  <c r="AB50" i="26" s="1"/>
  <c r="N50" i="26"/>
  <c r="O50" i="26" s="1"/>
  <c r="P50" i="26" s="1"/>
  <c r="Q50" i="26" s="1"/>
  <c r="R50" i="26" s="1"/>
  <c r="S50" i="26" s="1"/>
  <c r="T50" i="26" s="1"/>
  <c r="F50" i="26"/>
  <c r="AL49" i="26"/>
  <c r="AM49" i="26" s="1"/>
  <c r="AN49" i="26" s="1"/>
  <c r="AO49" i="26" s="1"/>
  <c r="AP49" i="26" s="1"/>
  <c r="AQ49" i="26" s="1"/>
  <c r="AR49" i="26" s="1"/>
  <c r="AD49" i="26"/>
  <c r="AE49" i="26" s="1"/>
  <c r="AF49" i="26" s="1"/>
  <c r="AG49" i="26" s="1"/>
  <c r="AH49" i="26" s="1"/>
  <c r="AI49" i="26" s="1"/>
  <c r="AJ49" i="26" s="1"/>
  <c r="V49" i="26"/>
  <c r="W49" i="26" s="1"/>
  <c r="X49" i="26" s="1"/>
  <c r="Y49" i="26" s="1"/>
  <c r="Z49" i="26" s="1"/>
  <c r="AA49" i="26" s="1"/>
  <c r="AB49" i="26" s="1"/>
  <c r="N49" i="26"/>
  <c r="O49" i="26" s="1"/>
  <c r="P49" i="26" s="1"/>
  <c r="Q49" i="26" s="1"/>
  <c r="R49" i="26" s="1"/>
  <c r="S49" i="26" s="1"/>
  <c r="T49" i="26" s="1"/>
  <c r="F49" i="26"/>
  <c r="AL48" i="26"/>
  <c r="AM48" i="26" s="1"/>
  <c r="AN48" i="26" s="1"/>
  <c r="AO48" i="26" s="1"/>
  <c r="AP48" i="26" s="1"/>
  <c r="AQ48" i="26" s="1"/>
  <c r="AR48" i="26" s="1"/>
  <c r="AD48" i="26"/>
  <c r="AE48" i="26" s="1"/>
  <c r="AF48" i="26" s="1"/>
  <c r="AG48" i="26" s="1"/>
  <c r="AH48" i="26" s="1"/>
  <c r="AI48" i="26" s="1"/>
  <c r="AJ48" i="26" s="1"/>
  <c r="V48" i="26"/>
  <c r="W48" i="26" s="1"/>
  <c r="X48" i="26" s="1"/>
  <c r="Y48" i="26" s="1"/>
  <c r="Z48" i="26" s="1"/>
  <c r="AA48" i="26" s="1"/>
  <c r="AB48" i="26" s="1"/>
  <c r="N48" i="26"/>
  <c r="O48" i="26" s="1"/>
  <c r="P48" i="26" s="1"/>
  <c r="Q48" i="26" s="1"/>
  <c r="R48" i="26" s="1"/>
  <c r="S48" i="26" s="1"/>
  <c r="T48" i="26" s="1"/>
  <c r="F48" i="26"/>
  <c r="AL47" i="26"/>
  <c r="AM47" i="26" s="1"/>
  <c r="AN47" i="26" s="1"/>
  <c r="AO47" i="26" s="1"/>
  <c r="AP47" i="26" s="1"/>
  <c r="AQ47" i="26" s="1"/>
  <c r="AR47" i="26" s="1"/>
  <c r="AD47" i="26"/>
  <c r="AE47" i="26" s="1"/>
  <c r="AF47" i="26" s="1"/>
  <c r="AG47" i="26" s="1"/>
  <c r="AH47" i="26" s="1"/>
  <c r="AI47" i="26" s="1"/>
  <c r="AJ47" i="26" s="1"/>
  <c r="V47" i="26"/>
  <c r="W47" i="26" s="1"/>
  <c r="X47" i="26" s="1"/>
  <c r="Y47" i="26" s="1"/>
  <c r="Z47" i="26" s="1"/>
  <c r="AA47" i="26" s="1"/>
  <c r="AB47" i="26" s="1"/>
  <c r="N47" i="26"/>
  <c r="O47" i="26" s="1"/>
  <c r="P47" i="26" s="1"/>
  <c r="Q47" i="26" s="1"/>
  <c r="R47" i="26" s="1"/>
  <c r="S47" i="26" s="1"/>
  <c r="T47" i="26" s="1"/>
  <c r="F47" i="26"/>
  <c r="AL46" i="26"/>
  <c r="AM46" i="26" s="1"/>
  <c r="AN46" i="26" s="1"/>
  <c r="AO46" i="26" s="1"/>
  <c r="AP46" i="26" s="1"/>
  <c r="AQ46" i="26" s="1"/>
  <c r="AR46" i="26" s="1"/>
  <c r="AD46" i="26"/>
  <c r="AE46" i="26" s="1"/>
  <c r="AF46" i="26" s="1"/>
  <c r="AG46" i="26" s="1"/>
  <c r="AH46" i="26" s="1"/>
  <c r="AI46" i="26" s="1"/>
  <c r="AJ46" i="26" s="1"/>
  <c r="V46" i="26"/>
  <c r="W46" i="26" s="1"/>
  <c r="X46" i="26" s="1"/>
  <c r="Y46" i="26" s="1"/>
  <c r="Z46" i="26" s="1"/>
  <c r="AA46" i="26" s="1"/>
  <c r="AB46" i="26" s="1"/>
  <c r="N46" i="26"/>
  <c r="O46" i="26" s="1"/>
  <c r="P46" i="26" s="1"/>
  <c r="Q46" i="26" s="1"/>
  <c r="R46" i="26" s="1"/>
  <c r="S46" i="26" s="1"/>
  <c r="T46" i="26" s="1"/>
  <c r="F46" i="26"/>
  <c r="AL45" i="26"/>
  <c r="AM45" i="26" s="1"/>
  <c r="AN45" i="26" s="1"/>
  <c r="AO45" i="26" s="1"/>
  <c r="AP45" i="26" s="1"/>
  <c r="AQ45" i="26" s="1"/>
  <c r="AR45" i="26" s="1"/>
  <c r="AD45" i="26"/>
  <c r="AE45" i="26" s="1"/>
  <c r="AF45" i="26" s="1"/>
  <c r="AG45" i="26" s="1"/>
  <c r="AH45" i="26" s="1"/>
  <c r="AI45" i="26" s="1"/>
  <c r="AJ45" i="26" s="1"/>
  <c r="V45" i="26"/>
  <c r="W45" i="26" s="1"/>
  <c r="X45" i="26" s="1"/>
  <c r="Y45" i="26" s="1"/>
  <c r="Z45" i="26" s="1"/>
  <c r="AA45" i="26" s="1"/>
  <c r="AB45" i="26" s="1"/>
  <c r="N45" i="26"/>
  <c r="O45" i="26" s="1"/>
  <c r="P45" i="26" s="1"/>
  <c r="Q45" i="26" s="1"/>
  <c r="R45" i="26" s="1"/>
  <c r="S45" i="26" s="1"/>
  <c r="T45" i="26" s="1"/>
  <c r="F45" i="26"/>
  <c r="AL44" i="26"/>
  <c r="AM44" i="26" s="1"/>
  <c r="AN44" i="26" s="1"/>
  <c r="AO44" i="26" s="1"/>
  <c r="AP44" i="26" s="1"/>
  <c r="AQ44" i="26" s="1"/>
  <c r="AR44" i="26" s="1"/>
  <c r="AD44" i="26"/>
  <c r="AE44" i="26" s="1"/>
  <c r="AF44" i="26" s="1"/>
  <c r="AG44" i="26" s="1"/>
  <c r="AH44" i="26" s="1"/>
  <c r="AI44" i="26" s="1"/>
  <c r="AJ44" i="26" s="1"/>
  <c r="V44" i="26"/>
  <c r="W44" i="26" s="1"/>
  <c r="X44" i="26" s="1"/>
  <c r="Y44" i="26" s="1"/>
  <c r="Z44" i="26" s="1"/>
  <c r="AA44" i="26" s="1"/>
  <c r="AB44" i="26" s="1"/>
  <c r="N44" i="26"/>
  <c r="O44" i="26" s="1"/>
  <c r="P44" i="26" s="1"/>
  <c r="Q44" i="26" s="1"/>
  <c r="R44" i="26" s="1"/>
  <c r="S44" i="26" s="1"/>
  <c r="T44" i="26" s="1"/>
  <c r="F44" i="26"/>
  <c r="AL43" i="26"/>
  <c r="AM43" i="26" s="1"/>
  <c r="AN43" i="26" s="1"/>
  <c r="AO43" i="26" s="1"/>
  <c r="AP43" i="26" s="1"/>
  <c r="AQ43" i="26" s="1"/>
  <c r="AR43" i="26" s="1"/>
  <c r="AD43" i="26"/>
  <c r="AE43" i="26" s="1"/>
  <c r="AF43" i="26" s="1"/>
  <c r="AG43" i="26" s="1"/>
  <c r="AH43" i="26" s="1"/>
  <c r="AI43" i="26" s="1"/>
  <c r="AJ43" i="26" s="1"/>
  <c r="V43" i="26"/>
  <c r="W43" i="26" s="1"/>
  <c r="X43" i="26" s="1"/>
  <c r="Y43" i="26" s="1"/>
  <c r="Z43" i="26" s="1"/>
  <c r="AA43" i="26" s="1"/>
  <c r="AB43" i="26" s="1"/>
  <c r="N43" i="26"/>
  <c r="O43" i="26" s="1"/>
  <c r="P43" i="26" s="1"/>
  <c r="Q43" i="26" s="1"/>
  <c r="R43" i="26" s="1"/>
  <c r="S43" i="26" s="1"/>
  <c r="T43" i="26" s="1"/>
  <c r="F43" i="26"/>
  <c r="AL42" i="26"/>
  <c r="AM42" i="26" s="1"/>
  <c r="AN42" i="26" s="1"/>
  <c r="AO42" i="26" s="1"/>
  <c r="AP42" i="26" s="1"/>
  <c r="AQ42" i="26" s="1"/>
  <c r="AR42" i="26" s="1"/>
  <c r="AD42" i="26"/>
  <c r="AE42" i="26" s="1"/>
  <c r="AF42" i="26" s="1"/>
  <c r="AG42" i="26" s="1"/>
  <c r="AH42" i="26" s="1"/>
  <c r="AI42" i="26" s="1"/>
  <c r="AJ42" i="26" s="1"/>
  <c r="V42" i="26"/>
  <c r="W42" i="26" s="1"/>
  <c r="X42" i="26" s="1"/>
  <c r="Y42" i="26" s="1"/>
  <c r="Z42" i="26" s="1"/>
  <c r="AA42" i="26" s="1"/>
  <c r="AB42" i="26" s="1"/>
  <c r="N42" i="26"/>
  <c r="O42" i="26" s="1"/>
  <c r="P42" i="26" s="1"/>
  <c r="Q42" i="26" s="1"/>
  <c r="R42" i="26" s="1"/>
  <c r="S42" i="26" s="1"/>
  <c r="T42" i="26" s="1"/>
  <c r="F42" i="26"/>
  <c r="AL41" i="26"/>
  <c r="AM41" i="26" s="1"/>
  <c r="AN41" i="26" s="1"/>
  <c r="AO41" i="26" s="1"/>
  <c r="AP41" i="26" s="1"/>
  <c r="AQ41" i="26" s="1"/>
  <c r="AR41" i="26" s="1"/>
  <c r="AD41" i="26"/>
  <c r="AE41" i="26" s="1"/>
  <c r="AF41" i="26" s="1"/>
  <c r="AG41" i="26" s="1"/>
  <c r="AH41" i="26" s="1"/>
  <c r="AI41" i="26" s="1"/>
  <c r="AJ41" i="26" s="1"/>
  <c r="V41" i="26"/>
  <c r="W41" i="26" s="1"/>
  <c r="X41" i="26" s="1"/>
  <c r="Z41" i="26" s="1"/>
  <c r="AA41" i="26" s="1"/>
  <c r="AB41" i="26" s="1"/>
  <c r="N41" i="26"/>
  <c r="O41" i="26" s="1"/>
  <c r="P41" i="26" s="1"/>
  <c r="Q41" i="26" s="1"/>
  <c r="R41" i="26" s="1"/>
  <c r="S41" i="26" s="1"/>
  <c r="T41" i="26" s="1"/>
  <c r="F41" i="26"/>
  <c r="AL40" i="26"/>
  <c r="AM40" i="26" s="1"/>
  <c r="AN40" i="26" s="1"/>
  <c r="AO40" i="26" s="1"/>
  <c r="AP40" i="26" s="1"/>
  <c r="AQ40" i="26" s="1"/>
  <c r="AR40" i="26" s="1"/>
  <c r="AD40" i="26"/>
  <c r="AE40" i="26" s="1"/>
  <c r="AF40" i="26" s="1"/>
  <c r="AG40" i="26" s="1"/>
  <c r="AH40" i="26" s="1"/>
  <c r="AI40" i="26" s="1"/>
  <c r="AJ40" i="26" s="1"/>
  <c r="V40" i="26"/>
  <c r="W40" i="26" s="1"/>
  <c r="X40" i="26" s="1"/>
  <c r="Y40" i="26" s="1"/>
  <c r="Z40" i="26" s="1"/>
  <c r="AA40" i="26" s="1"/>
  <c r="AB40" i="26" s="1"/>
  <c r="N40" i="26"/>
  <c r="O40" i="26" s="1"/>
  <c r="P40" i="26" s="1"/>
  <c r="Q40" i="26" s="1"/>
  <c r="R40" i="26" s="1"/>
  <c r="S40" i="26" s="1"/>
  <c r="T40" i="26" s="1"/>
  <c r="F40" i="26"/>
  <c r="AL39" i="26"/>
  <c r="AM39" i="26" s="1"/>
  <c r="AN39" i="26" s="1"/>
  <c r="AO39" i="26" s="1"/>
  <c r="AP39" i="26" s="1"/>
  <c r="AQ39" i="26" s="1"/>
  <c r="AR39" i="26" s="1"/>
  <c r="AD39" i="26"/>
  <c r="AE39" i="26" s="1"/>
  <c r="AF39" i="26" s="1"/>
  <c r="AG39" i="26" s="1"/>
  <c r="AH39" i="26" s="1"/>
  <c r="AI39" i="26" s="1"/>
  <c r="AJ39" i="26" s="1"/>
  <c r="V39" i="26"/>
  <c r="W39" i="26" s="1"/>
  <c r="X39" i="26" s="1"/>
  <c r="Y39" i="26" s="1"/>
  <c r="Z39" i="26" s="1"/>
  <c r="AA39" i="26" s="1"/>
  <c r="AB39" i="26" s="1"/>
  <c r="N39" i="26"/>
  <c r="O39" i="26" s="1"/>
  <c r="P39" i="26" s="1"/>
  <c r="Q39" i="26" s="1"/>
  <c r="R39" i="26" s="1"/>
  <c r="S39" i="26" s="1"/>
  <c r="T39" i="26" s="1"/>
  <c r="F39" i="26"/>
  <c r="AL38" i="26"/>
  <c r="AM38" i="26" s="1"/>
  <c r="AN38" i="26" s="1"/>
  <c r="AO38" i="26" s="1"/>
  <c r="AP38" i="26" s="1"/>
  <c r="AQ38" i="26" s="1"/>
  <c r="AR38" i="26" s="1"/>
  <c r="AD38" i="26"/>
  <c r="AE38" i="26" s="1"/>
  <c r="AF38" i="26" s="1"/>
  <c r="AG38" i="26" s="1"/>
  <c r="AH38" i="26" s="1"/>
  <c r="AI38" i="26" s="1"/>
  <c r="AJ38" i="26" s="1"/>
  <c r="V38" i="26"/>
  <c r="W38" i="26" s="1"/>
  <c r="X38" i="26" s="1"/>
  <c r="Y38" i="26" s="1"/>
  <c r="Z38" i="26" s="1"/>
  <c r="AA38" i="26" s="1"/>
  <c r="AB38" i="26" s="1"/>
  <c r="N38" i="26"/>
  <c r="O38" i="26" s="1"/>
  <c r="P38" i="26" s="1"/>
  <c r="Q38" i="26" s="1"/>
  <c r="R38" i="26" s="1"/>
  <c r="S38" i="26" s="1"/>
  <c r="T38" i="26" s="1"/>
  <c r="F38" i="26"/>
  <c r="AL37" i="26"/>
  <c r="AM37" i="26" s="1"/>
  <c r="AN37" i="26" s="1"/>
  <c r="AO37" i="26" s="1"/>
  <c r="AP37" i="26" s="1"/>
  <c r="AQ37" i="26" s="1"/>
  <c r="AR37" i="26" s="1"/>
  <c r="AD37" i="26"/>
  <c r="AE37" i="26" s="1"/>
  <c r="AF37" i="26" s="1"/>
  <c r="AG37" i="26" s="1"/>
  <c r="AH37" i="26" s="1"/>
  <c r="AI37" i="26" s="1"/>
  <c r="AJ37" i="26" s="1"/>
  <c r="W37" i="26"/>
  <c r="X37" i="26" s="1"/>
  <c r="Y37" i="26" s="1"/>
  <c r="Z37" i="26" s="1"/>
  <c r="AA37" i="26" s="1"/>
  <c r="AB37" i="26" s="1"/>
  <c r="V37" i="26"/>
  <c r="N37" i="26"/>
  <c r="O37" i="26" s="1"/>
  <c r="P37" i="26" s="1"/>
  <c r="Q37" i="26" s="1"/>
  <c r="R37" i="26" s="1"/>
  <c r="S37" i="26" s="1"/>
  <c r="T37" i="26" s="1"/>
  <c r="F37" i="26"/>
  <c r="AL36" i="26"/>
  <c r="AM36" i="26" s="1"/>
  <c r="AN36" i="26" s="1"/>
  <c r="AO36" i="26" s="1"/>
  <c r="AP36" i="26" s="1"/>
  <c r="AQ36" i="26" s="1"/>
  <c r="AR36" i="26" s="1"/>
  <c r="AD36" i="26"/>
  <c r="AE36" i="26" s="1"/>
  <c r="AF36" i="26" s="1"/>
  <c r="AG36" i="26" s="1"/>
  <c r="AH36" i="26" s="1"/>
  <c r="AI36" i="26" s="1"/>
  <c r="AJ36" i="26" s="1"/>
  <c r="V36" i="26"/>
  <c r="W36" i="26" s="1"/>
  <c r="X36" i="26" s="1"/>
  <c r="Y36" i="26" s="1"/>
  <c r="Z36" i="26" s="1"/>
  <c r="AA36" i="26" s="1"/>
  <c r="AB36" i="26" s="1"/>
  <c r="N36" i="26"/>
  <c r="O36" i="26" s="1"/>
  <c r="P36" i="26" s="1"/>
  <c r="Q36" i="26" s="1"/>
  <c r="R36" i="26" s="1"/>
  <c r="S36" i="26" s="1"/>
  <c r="T36" i="26" s="1"/>
  <c r="F36" i="26"/>
  <c r="AL35" i="26"/>
  <c r="AM35" i="26" s="1"/>
  <c r="AN35" i="26" s="1"/>
  <c r="AO35" i="26" s="1"/>
  <c r="AP35" i="26" s="1"/>
  <c r="AQ35" i="26" s="1"/>
  <c r="AR35" i="26" s="1"/>
  <c r="AD35" i="26"/>
  <c r="AE35" i="26" s="1"/>
  <c r="AF35" i="26" s="1"/>
  <c r="AG35" i="26" s="1"/>
  <c r="AH35" i="26" s="1"/>
  <c r="AI35" i="26" s="1"/>
  <c r="AJ35" i="26" s="1"/>
  <c r="V35" i="26"/>
  <c r="W35" i="26" s="1"/>
  <c r="X35" i="26" s="1"/>
  <c r="Y35" i="26" s="1"/>
  <c r="Z35" i="26" s="1"/>
  <c r="AA35" i="26" s="1"/>
  <c r="AB35" i="26" s="1"/>
  <c r="N35" i="26"/>
  <c r="O35" i="26" s="1"/>
  <c r="P35" i="26" s="1"/>
  <c r="Q35" i="26" s="1"/>
  <c r="R35" i="26" s="1"/>
  <c r="S35" i="26" s="1"/>
  <c r="T35" i="26" s="1"/>
  <c r="F35" i="26"/>
  <c r="AL34" i="26"/>
  <c r="AM34" i="26" s="1"/>
  <c r="AN34" i="26" s="1"/>
  <c r="AO34" i="26" s="1"/>
  <c r="AP34" i="26" s="1"/>
  <c r="AQ34" i="26" s="1"/>
  <c r="AR34" i="26" s="1"/>
  <c r="AD34" i="26"/>
  <c r="AE34" i="26" s="1"/>
  <c r="AF34" i="26" s="1"/>
  <c r="AG34" i="26" s="1"/>
  <c r="AH34" i="26" s="1"/>
  <c r="AI34" i="26" s="1"/>
  <c r="AJ34" i="26" s="1"/>
  <c r="V34" i="26"/>
  <c r="W34" i="26" s="1"/>
  <c r="X34" i="26" s="1"/>
  <c r="Y34" i="26" s="1"/>
  <c r="Z34" i="26" s="1"/>
  <c r="AA34" i="26" s="1"/>
  <c r="AB34" i="26" s="1"/>
  <c r="N34" i="26"/>
  <c r="O34" i="26" s="1"/>
  <c r="P34" i="26" s="1"/>
  <c r="Q34" i="26" s="1"/>
  <c r="R34" i="26" s="1"/>
  <c r="S34" i="26" s="1"/>
  <c r="T34" i="26" s="1"/>
  <c r="F34" i="26"/>
  <c r="AL33" i="26"/>
  <c r="AM33" i="26" s="1"/>
  <c r="AN33" i="26" s="1"/>
  <c r="AO33" i="26" s="1"/>
  <c r="AP33" i="26" s="1"/>
  <c r="AQ33" i="26" s="1"/>
  <c r="AR33" i="26" s="1"/>
  <c r="AD33" i="26"/>
  <c r="AE33" i="26" s="1"/>
  <c r="AF33" i="26" s="1"/>
  <c r="AG33" i="26" s="1"/>
  <c r="AH33" i="26" s="1"/>
  <c r="AI33" i="26" s="1"/>
  <c r="AJ33" i="26" s="1"/>
  <c r="V33" i="26"/>
  <c r="W33" i="26" s="1"/>
  <c r="X33" i="26" s="1"/>
  <c r="Y33" i="26" s="1"/>
  <c r="Z33" i="26" s="1"/>
  <c r="AA33" i="26" s="1"/>
  <c r="AB33" i="26" s="1"/>
  <c r="N33" i="26"/>
  <c r="O33" i="26" s="1"/>
  <c r="P33" i="26" s="1"/>
  <c r="Q33" i="26" s="1"/>
  <c r="R33" i="26" s="1"/>
  <c r="S33" i="26" s="1"/>
  <c r="T33" i="26" s="1"/>
  <c r="F33" i="26"/>
  <c r="AL32" i="26"/>
  <c r="AM32" i="26" s="1"/>
  <c r="AN32" i="26" s="1"/>
  <c r="AO32" i="26" s="1"/>
  <c r="AP32" i="26" s="1"/>
  <c r="AQ32" i="26" s="1"/>
  <c r="AR32" i="26" s="1"/>
  <c r="AD32" i="26"/>
  <c r="AE32" i="26" s="1"/>
  <c r="AF32" i="26" s="1"/>
  <c r="AG32" i="26" s="1"/>
  <c r="AH32" i="26" s="1"/>
  <c r="AI32" i="26" s="1"/>
  <c r="AJ32" i="26" s="1"/>
  <c r="V32" i="26"/>
  <c r="W32" i="26" s="1"/>
  <c r="X32" i="26" s="1"/>
  <c r="Y32" i="26" s="1"/>
  <c r="Z32" i="26" s="1"/>
  <c r="AA32" i="26" s="1"/>
  <c r="AB32" i="26" s="1"/>
  <c r="N32" i="26"/>
  <c r="O32" i="26" s="1"/>
  <c r="P32" i="26" s="1"/>
  <c r="Q32" i="26" s="1"/>
  <c r="R32" i="26" s="1"/>
  <c r="S32" i="26" s="1"/>
  <c r="T32" i="26" s="1"/>
  <c r="F32" i="26"/>
  <c r="AL31" i="26"/>
  <c r="AM31" i="26" s="1"/>
  <c r="AN31" i="26" s="1"/>
  <c r="AO31" i="26" s="1"/>
  <c r="AP31" i="26" s="1"/>
  <c r="AQ31" i="26" s="1"/>
  <c r="AR31" i="26" s="1"/>
  <c r="AD31" i="26"/>
  <c r="AE31" i="26" s="1"/>
  <c r="AF31" i="26" s="1"/>
  <c r="AG31" i="26" s="1"/>
  <c r="AH31" i="26" s="1"/>
  <c r="AI31" i="26" s="1"/>
  <c r="AJ31" i="26" s="1"/>
  <c r="V31" i="26"/>
  <c r="W31" i="26" s="1"/>
  <c r="X31" i="26" s="1"/>
  <c r="Y31" i="26" s="1"/>
  <c r="Z31" i="26" s="1"/>
  <c r="AA31" i="26" s="1"/>
  <c r="AB31" i="26" s="1"/>
  <c r="N31" i="26"/>
  <c r="O31" i="26" s="1"/>
  <c r="P31" i="26" s="1"/>
  <c r="Q31" i="26" s="1"/>
  <c r="R31" i="26" s="1"/>
  <c r="S31" i="26" s="1"/>
  <c r="T31" i="26" s="1"/>
  <c r="F31" i="26"/>
  <c r="AL30" i="26"/>
  <c r="AM30" i="26" s="1"/>
  <c r="AN30" i="26" s="1"/>
  <c r="AO30" i="26" s="1"/>
  <c r="AP30" i="26" s="1"/>
  <c r="AQ30" i="26" s="1"/>
  <c r="AR30" i="26" s="1"/>
  <c r="AD30" i="26"/>
  <c r="AE30" i="26" s="1"/>
  <c r="AF30" i="26" s="1"/>
  <c r="AG30" i="26" s="1"/>
  <c r="AH30" i="26" s="1"/>
  <c r="AI30" i="26" s="1"/>
  <c r="AJ30" i="26" s="1"/>
  <c r="V30" i="26"/>
  <c r="W30" i="26" s="1"/>
  <c r="X30" i="26" s="1"/>
  <c r="Y30" i="26" s="1"/>
  <c r="Z30" i="26" s="1"/>
  <c r="AA30" i="26" s="1"/>
  <c r="AB30" i="26" s="1"/>
  <c r="N30" i="26"/>
  <c r="O30" i="26" s="1"/>
  <c r="P30" i="26" s="1"/>
  <c r="Q30" i="26" s="1"/>
  <c r="R30" i="26" s="1"/>
  <c r="S30" i="26" s="1"/>
  <c r="T30" i="26" s="1"/>
  <c r="F30" i="26"/>
  <c r="AL29" i="26"/>
  <c r="AM29" i="26" s="1"/>
  <c r="AN29" i="26" s="1"/>
  <c r="AO29" i="26" s="1"/>
  <c r="AP29" i="26" s="1"/>
  <c r="AQ29" i="26" s="1"/>
  <c r="AR29" i="26" s="1"/>
  <c r="AD29" i="26"/>
  <c r="AE29" i="26" s="1"/>
  <c r="AF29" i="26" s="1"/>
  <c r="AG29" i="26" s="1"/>
  <c r="AH29" i="26" s="1"/>
  <c r="AI29" i="26" s="1"/>
  <c r="AJ29" i="26" s="1"/>
  <c r="V29" i="26"/>
  <c r="W29" i="26" s="1"/>
  <c r="X29" i="26" s="1"/>
  <c r="Y29" i="26" s="1"/>
  <c r="Z29" i="26" s="1"/>
  <c r="AA29" i="26" s="1"/>
  <c r="AB29" i="26" s="1"/>
  <c r="N29" i="26"/>
  <c r="O29" i="26" s="1"/>
  <c r="P29" i="26" s="1"/>
  <c r="Q29" i="26" s="1"/>
  <c r="R29" i="26" s="1"/>
  <c r="S29" i="26" s="1"/>
  <c r="T29" i="26" s="1"/>
  <c r="F29" i="26"/>
  <c r="AL28" i="26"/>
  <c r="AM28" i="26" s="1"/>
  <c r="AN28" i="26" s="1"/>
  <c r="AO28" i="26" s="1"/>
  <c r="AP28" i="26" s="1"/>
  <c r="AQ28" i="26" s="1"/>
  <c r="AR28" i="26" s="1"/>
  <c r="AD28" i="26"/>
  <c r="AE28" i="26" s="1"/>
  <c r="AF28" i="26" s="1"/>
  <c r="AG28" i="26" s="1"/>
  <c r="AH28" i="26" s="1"/>
  <c r="AI28" i="26" s="1"/>
  <c r="AJ28" i="26" s="1"/>
  <c r="V28" i="26"/>
  <c r="W28" i="26" s="1"/>
  <c r="X28" i="26" s="1"/>
  <c r="Y28" i="26" s="1"/>
  <c r="Z28" i="26" s="1"/>
  <c r="AA28" i="26" s="1"/>
  <c r="AB28" i="26" s="1"/>
  <c r="N28" i="26"/>
  <c r="O28" i="26" s="1"/>
  <c r="P28" i="26" s="1"/>
  <c r="Q28" i="26" s="1"/>
  <c r="R28" i="26" s="1"/>
  <c r="S28" i="26" s="1"/>
  <c r="T28" i="26" s="1"/>
  <c r="F28" i="26"/>
  <c r="AL27" i="26"/>
  <c r="AM27" i="26" s="1"/>
  <c r="AN27" i="26" s="1"/>
  <c r="AO27" i="26" s="1"/>
  <c r="AP27" i="26" s="1"/>
  <c r="AQ27" i="26" s="1"/>
  <c r="AR27" i="26" s="1"/>
  <c r="AD27" i="26"/>
  <c r="AE27" i="26" s="1"/>
  <c r="AF27" i="26" s="1"/>
  <c r="AG27" i="26" s="1"/>
  <c r="AH27" i="26" s="1"/>
  <c r="AI27" i="26" s="1"/>
  <c r="AJ27" i="26" s="1"/>
  <c r="V27" i="26"/>
  <c r="W27" i="26" s="1"/>
  <c r="X27" i="26" s="1"/>
  <c r="Y27" i="26" s="1"/>
  <c r="Z27" i="26" s="1"/>
  <c r="AA27" i="26" s="1"/>
  <c r="AB27" i="26" s="1"/>
  <c r="N27" i="26"/>
  <c r="O27" i="26" s="1"/>
  <c r="P27" i="26" s="1"/>
  <c r="Q27" i="26" s="1"/>
  <c r="R27" i="26" s="1"/>
  <c r="S27" i="26" s="1"/>
  <c r="T27" i="26" s="1"/>
  <c r="F27" i="26"/>
  <c r="AL26" i="26"/>
  <c r="AM26" i="26" s="1"/>
  <c r="AN26" i="26" s="1"/>
  <c r="AO26" i="26" s="1"/>
  <c r="AP26" i="26" s="1"/>
  <c r="AQ26" i="26" s="1"/>
  <c r="AR26" i="26" s="1"/>
  <c r="AD26" i="26"/>
  <c r="AE26" i="26" s="1"/>
  <c r="AF26" i="26" s="1"/>
  <c r="AG26" i="26" s="1"/>
  <c r="AH26" i="26" s="1"/>
  <c r="AI26" i="26" s="1"/>
  <c r="AJ26" i="26" s="1"/>
  <c r="V26" i="26"/>
  <c r="W26" i="26" s="1"/>
  <c r="X26" i="26" s="1"/>
  <c r="Y26" i="26" s="1"/>
  <c r="Z26" i="26" s="1"/>
  <c r="AA26" i="26" s="1"/>
  <c r="AB26" i="26" s="1"/>
  <c r="N26" i="26"/>
  <c r="O26" i="26" s="1"/>
  <c r="P26" i="26" s="1"/>
  <c r="Q26" i="26" s="1"/>
  <c r="R26" i="26" s="1"/>
  <c r="S26" i="26" s="1"/>
  <c r="T26" i="26" s="1"/>
  <c r="F26" i="26"/>
  <c r="AL25" i="26"/>
  <c r="AM25" i="26" s="1"/>
  <c r="AN25" i="26" s="1"/>
  <c r="AO25" i="26" s="1"/>
  <c r="AP25" i="26" s="1"/>
  <c r="AQ25" i="26" s="1"/>
  <c r="AR25" i="26" s="1"/>
  <c r="AD25" i="26"/>
  <c r="AE25" i="26" s="1"/>
  <c r="AF25" i="26" s="1"/>
  <c r="AG25" i="26" s="1"/>
  <c r="AH25" i="26" s="1"/>
  <c r="AI25" i="26" s="1"/>
  <c r="AJ25" i="26" s="1"/>
  <c r="V25" i="26"/>
  <c r="W25" i="26" s="1"/>
  <c r="X25" i="26" s="1"/>
  <c r="Y25" i="26" s="1"/>
  <c r="Z25" i="26" s="1"/>
  <c r="AA25" i="26" s="1"/>
  <c r="AB25" i="26" s="1"/>
  <c r="N25" i="26"/>
  <c r="O25" i="26" s="1"/>
  <c r="P25" i="26" s="1"/>
  <c r="Q25" i="26" s="1"/>
  <c r="R25" i="26" s="1"/>
  <c r="S25" i="26" s="1"/>
  <c r="T25" i="26" s="1"/>
  <c r="F25" i="26"/>
  <c r="AL24" i="26"/>
  <c r="AM24" i="26" s="1"/>
  <c r="AN24" i="26" s="1"/>
  <c r="AO24" i="26" s="1"/>
  <c r="AP24" i="26" s="1"/>
  <c r="AQ24" i="26" s="1"/>
  <c r="AR24" i="26" s="1"/>
  <c r="AD24" i="26"/>
  <c r="AE24" i="26" s="1"/>
  <c r="AF24" i="26" s="1"/>
  <c r="AG24" i="26" s="1"/>
  <c r="AH24" i="26" s="1"/>
  <c r="AI24" i="26" s="1"/>
  <c r="AJ24" i="26" s="1"/>
  <c r="V24" i="26"/>
  <c r="W24" i="26" s="1"/>
  <c r="X24" i="26" s="1"/>
  <c r="Y24" i="26" s="1"/>
  <c r="Z24" i="26" s="1"/>
  <c r="AA24" i="26" s="1"/>
  <c r="AB24" i="26" s="1"/>
  <c r="N24" i="26"/>
  <c r="O24" i="26" s="1"/>
  <c r="P24" i="26" s="1"/>
  <c r="Q24" i="26" s="1"/>
  <c r="R24" i="26" s="1"/>
  <c r="S24" i="26" s="1"/>
  <c r="T24" i="26" s="1"/>
  <c r="F24" i="26"/>
  <c r="AL23" i="26"/>
  <c r="AM23" i="26" s="1"/>
  <c r="AN23" i="26" s="1"/>
  <c r="AO23" i="26" s="1"/>
  <c r="AP23" i="26" s="1"/>
  <c r="AQ23" i="26" s="1"/>
  <c r="AR23" i="26" s="1"/>
  <c r="AD23" i="26"/>
  <c r="AE23" i="26" s="1"/>
  <c r="AF23" i="26" s="1"/>
  <c r="AG23" i="26" s="1"/>
  <c r="AH23" i="26" s="1"/>
  <c r="AI23" i="26" s="1"/>
  <c r="AJ23" i="26" s="1"/>
  <c r="V23" i="26"/>
  <c r="W23" i="26" s="1"/>
  <c r="X23" i="26" s="1"/>
  <c r="Y23" i="26" s="1"/>
  <c r="Z23" i="26" s="1"/>
  <c r="AA23" i="26" s="1"/>
  <c r="AB23" i="26" s="1"/>
  <c r="N23" i="26"/>
  <c r="O23" i="26" s="1"/>
  <c r="P23" i="26" s="1"/>
  <c r="Q23" i="26" s="1"/>
  <c r="R23" i="26" s="1"/>
  <c r="S23" i="26" s="1"/>
  <c r="T23" i="26" s="1"/>
  <c r="F23" i="26"/>
  <c r="AL22" i="26"/>
  <c r="AM22" i="26" s="1"/>
  <c r="AN22" i="26" s="1"/>
  <c r="AO22" i="26" s="1"/>
  <c r="AP22" i="26" s="1"/>
  <c r="AQ22" i="26" s="1"/>
  <c r="AR22" i="26" s="1"/>
  <c r="AD22" i="26"/>
  <c r="AE22" i="26" s="1"/>
  <c r="AF22" i="26" s="1"/>
  <c r="AG22" i="26" s="1"/>
  <c r="AH22" i="26" s="1"/>
  <c r="AI22" i="26" s="1"/>
  <c r="AJ22" i="26" s="1"/>
  <c r="V22" i="26"/>
  <c r="W22" i="26" s="1"/>
  <c r="X22" i="26" s="1"/>
  <c r="Y22" i="26" s="1"/>
  <c r="Z22" i="26" s="1"/>
  <c r="AA22" i="26" s="1"/>
  <c r="AB22" i="26" s="1"/>
  <c r="N22" i="26"/>
  <c r="O22" i="26" s="1"/>
  <c r="P22" i="26" s="1"/>
  <c r="Q22" i="26" s="1"/>
  <c r="R22" i="26" s="1"/>
  <c r="S22" i="26" s="1"/>
  <c r="T22" i="26" s="1"/>
  <c r="F22" i="26"/>
  <c r="AL21" i="26"/>
  <c r="AM21" i="26" s="1"/>
  <c r="AN21" i="26" s="1"/>
  <c r="AO21" i="26" s="1"/>
  <c r="AP21" i="26" s="1"/>
  <c r="AQ21" i="26" s="1"/>
  <c r="AR21" i="26" s="1"/>
  <c r="AD21" i="26"/>
  <c r="AE21" i="26" s="1"/>
  <c r="AF21" i="26" s="1"/>
  <c r="AG21" i="26" s="1"/>
  <c r="AH21" i="26" s="1"/>
  <c r="AI21" i="26" s="1"/>
  <c r="AJ21" i="26" s="1"/>
  <c r="V21" i="26"/>
  <c r="W21" i="26" s="1"/>
  <c r="X21" i="26" s="1"/>
  <c r="Y21" i="26" s="1"/>
  <c r="Z21" i="26" s="1"/>
  <c r="AA21" i="26" s="1"/>
  <c r="AB21" i="26" s="1"/>
  <c r="N21" i="26"/>
  <c r="O21" i="26" s="1"/>
  <c r="P21" i="26" s="1"/>
  <c r="Q21" i="26" s="1"/>
  <c r="R21" i="26" s="1"/>
  <c r="S21" i="26" s="1"/>
  <c r="T21" i="26" s="1"/>
  <c r="F21" i="26"/>
  <c r="AL20" i="26"/>
  <c r="AM20" i="26" s="1"/>
  <c r="AN20" i="26" s="1"/>
  <c r="AO20" i="26" s="1"/>
  <c r="AP20" i="26" s="1"/>
  <c r="AQ20" i="26" s="1"/>
  <c r="AR20" i="26" s="1"/>
  <c r="AD20" i="26"/>
  <c r="AE20" i="26" s="1"/>
  <c r="AF20" i="26" s="1"/>
  <c r="AG20" i="26" s="1"/>
  <c r="AH20" i="26" s="1"/>
  <c r="AI20" i="26" s="1"/>
  <c r="AJ20" i="26" s="1"/>
  <c r="W20" i="26"/>
  <c r="X20" i="26" s="1"/>
  <c r="Y20" i="26" s="1"/>
  <c r="Z20" i="26" s="1"/>
  <c r="AA20" i="26" s="1"/>
  <c r="AB20" i="26" s="1"/>
  <c r="V20" i="26"/>
  <c r="N20" i="26"/>
  <c r="O20" i="26" s="1"/>
  <c r="P20" i="26" s="1"/>
  <c r="Q20" i="26" s="1"/>
  <c r="R20" i="26" s="1"/>
  <c r="S20" i="26" s="1"/>
  <c r="T20" i="26" s="1"/>
  <c r="F20" i="26"/>
  <c r="AL19" i="26"/>
  <c r="AM19" i="26" s="1"/>
  <c r="AN19" i="26" s="1"/>
  <c r="AO19" i="26" s="1"/>
  <c r="AP19" i="26" s="1"/>
  <c r="AQ19" i="26" s="1"/>
  <c r="AR19" i="26" s="1"/>
  <c r="AD19" i="26"/>
  <c r="AE19" i="26" s="1"/>
  <c r="AF19" i="26" s="1"/>
  <c r="AG19" i="26" s="1"/>
  <c r="AH19" i="26" s="1"/>
  <c r="AI19" i="26" s="1"/>
  <c r="AJ19" i="26" s="1"/>
  <c r="V19" i="26"/>
  <c r="W19" i="26" s="1"/>
  <c r="X19" i="26" s="1"/>
  <c r="Y19" i="26" s="1"/>
  <c r="Z19" i="26" s="1"/>
  <c r="AA19" i="26" s="1"/>
  <c r="AB19" i="26" s="1"/>
  <c r="N19" i="26"/>
  <c r="O19" i="26" s="1"/>
  <c r="P19" i="26" s="1"/>
  <c r="Q19" i="26" s="1"/>
  <c r="R19" i="26" s="1"/>
  <c r="S19" i="26" s="1"/>
  <c r="T19" i="26" s="1"/>
  <c r="F19" i="26"/>
  <c r="AL18" i="26"/>
  <c r="AM18" i="26" s="1"/>
  <c r="AN18" i="26" s="1"/>
  <c r="AO18" i="26" s="1"/>
  <c r="AP18" i="26" s="1"/>
  <c r="AQ18" i="26" s="1"/>
  <c r="AR18" i="26" s="1"/>
  <c r="AD18" i="26"/>
  <c r="AE18" i="26" s="1"/>
  <c r="AF18" i="26" s="1"/>
  <c r="AG18" i="26" s="1"/>
  <c r="AH18" i="26" s="1"/>
  <c r="AI18" i="26" s="1"/>
  <c r="AJ18" i="26" s="1"/>
  <c r="V18" i="26"/>
  <c r="W18" i="26" s="1"/>
  <c r="X18" i="26" s="1"/>
  <c r="Y18" i="26" s="1"/>
  <c r="Z18" i="26" s="1"/>
  <c r="AA18" i="26" s="1"/>
  <c r="AB18" i="26" s="1"/>
  <c r="N18" i="26"/>
  <c r="O18" i="26" s="1"/>
  <c r="P18" i="26" s="1"/>
  <c r="Q18" i="26" s="1"/>
  <c r="R18" i="26" s="1"/>
  <c r="S18" i="26" s="1"/>
  <c r="T18" i="26" s="1"/>
  <c r="F18" i="26"/>
  <c r="AL17" i="26"/>
  <c r="AM17" i="26" s="1"/>
  <c r="AN17" i="26" s="1"/>
  <c r="AO17" i="26" s="1"/>
  <c r="AP17" i="26" s="1"/>
  <c r="AQ17" i="26" s="1"/>
  <c r="AR17" i="26" s="1"/>
  <c r="AD17" i="26"/>
  <c r="AE17" i="26" s="1"/>
  <c r="AF17" i="26" s="1"/>
  <c r="AG17" i="26" s="1"/>
  <c r="AH17" i="26" s="1"/>
  <c r="AI17" i="26" s="1"/>
  <c r="AJ17" i="26" s="1"/>
  <c r="V17" i="26"/>
  <c r="W17" i="26" s="1"/>
  <c r="X17" i="26" s="1"/>
  <c r="Y17" i="26" s="1"/>
  <c r="Z17" i="26" s="1"/>
  <c r="AA17" i="26" s="1"/>
  <c r="AB17" i="26" s="1"/>
  <c r="N17" i="26"/>
  <c r="O17" i="26" s="1"/>
  <c r="P17" i="26" s="1"/>
  <c r="Q17" i="26" s="1"/>
  <c r="R17" i="26" s="1"/>
  <c r="S17" i="26" s="1"/>
  <c r="T17" i="26" s="1"/>
  <c r="F17" i="26"/>
  <c r="AL16" i="26"/>
  <c r="AM16" i="26" s="1"/>
  <c r="AN16" i="26" s="1"/>
  <c r="AO16" i="26" s="1"/>
  <c r="AP16" i="26" s="1"/>
  <c r="AQ16" i="26" s="1"/>
  <c r="AR16" i="26" s="1"/>
  <c r="AD16" i="26"/>
  <c r="AE16" i="26" s="1"/>
  <c r="AF16" i="26" s="1"/>
  <c r="AH16" i="26" s="1"/>
  <c r="AI16" i="26" s="1"/>
  <c r="AJ16" i="26" s="1"/>
  <c r="V16" i="26"/>
  <c r="W16" i="26" s="1"/>
  <c r="X16" i="26" s="1"/>
  <c r="Y16" i="26" s="1"/>
  <c r="Z16" i="26" s="1"/>
  <c r="AA16" i="26" s="1"/>
  <c r="AB16" i="26" s="1"/>
  <c r="N16" i="26"/>
  <c r="O16" i="26" s="1"/>
  <c r="P16" i="26" s="1"/>
  <c r="Q16" i="26" s="1"/>
  <c r="R16" i="26" s="1"/>
  <c r="S16" i="26" s="1"/>
  <c r="T16" i="26" s="1"/>
  <c r="F16" i="26"/>
  <c r="AL15" i="26"/>
  <c r="AM15" i="26" s="1"/>
  <c r="AN15" i="26" s="1"/>
  <c r="AO15" i="26" s="1"/>
  <c r="AP15" i="26" s="1"/>
  <c r="AQ15" i="26" s="1"/>
  <c r="AR15" i="26" s="1"/>
  <c r="AD15" i="26"/>
  <c r="AE15" i="26" s="1"/>
  <c r="AF15" i="26" s="1"/>
  <c r="AG15" i="26" s="1"/>
  <c r="AH15" i="26" s="1"/>
  <c r="AI15" i="26" s="1"/>
  <c r="AJ15" i="26" s="1"/>
  <c r="V15" i="26"/>
  <c r="W15" i="26" s="1"/>
  <c r="X15" i="26" s="1"/>
  <c r="Y15" i="26" s="1"/>
  <c r="Z15" i="26" s="1"/>
  <c r="AA15" i="26" s="1"/>
  <c r="AB15" i="26" s="1"/>
  <c r="N15" i="26"/>
  <c r="O15" i="26" s="1"/>
  <c r="P15" i="26" s="1"/>
  <c r="Q15" i="26" s="1"/>
  <c r="R15" i="26" s="1"/>
  <c r="S15" i="26" s="1"/>
  <c r="T15" i="26" s="1"/>
  <c r="F15" i="26"/>
  <c r="AL14" i="26"/>
  <c r="AM14" i="26" s="1"/>
  <c r="AN14" i="26" s="1"/>
  <c r="AO14" i="26" s="1"/>
  <c r="AP14" i="26" s="1"/>
  <c r="AQ14" i="26" s="1"/>
  <c r="AR14" i="26" s="1"/>
  <c r="AD14" i="26"/>
  <c r="AE14" i="26" s="1"/>
  <c r="AF14" i="26" s="1"/>
  <c r="AG14" i="26" s="1"/>
  <c r="AH14" i="26" s="1"/>
  <c r="AI14" i="26" s="1"/>
  <c r="AJ14" i="26" s="1"/>
  <c r="V14" i="26"/>
  <c r="W14" i="26" s="1"/>
  <c r="X14" i="26" s="1"/>
  <c r="Y14" i="26" s="1"/>
  <c r="Z14" i="26" s="1"/>
  <c r="AA14" i="26" s="1"/>
  <c r="AB14" i="26" s="1"/>
  <c r="N14" i="26"/>
  <c r="O14" i="26" s="1"/>
  <c r="P14" i="26" s="1"/>
  <c r="Q14" i="26" s="1"/>
  <c r="R14" i="26" s="1"/>
  <c r="S14" i="26" s="1"/>
  <c r="T14" i="26" s="1"/>
  <c r="F14" i="26"/>
  <c r="AL13" i="26"/>
  <c r="AM13" i="26" s="1"/>
  <c r="AN13" i="26" s="1"/>
  <c r="AO13" i="26" s="1"/>
  <c r="AP13" i="26" s="1"/>
  <c r="AQ13" i="26" s="1"/>
  <c r="AR13" i="26" s="1"/>
  <c r="AD13" i="26"/>
  <c r="AE13" i="26" s="1"/>
  <c r="AF13" i="26" s="1"/>
  <c r="AG13" i="26" s="1"/>
  <c r="AH13" i="26" s="1"/>
  <c r="AI13" i="26" s="1"/>
  <c r="AJ13" i="26" s="1"/>
  <c r="V13" i="26"/>
  <c r="W13" i="26" s="1"/>
  <c r="X13" i="26" s="1"/>
  <c r="Y13" i="26" s="1"/>
  <c r="Z13" i="26" s="1"/>
  <c r="AA13" i="26" s="1"/>
  <c r="AB13" i="26" s="1"/>
  <c r="N13" i="26"/>
  <c r="O13" i="26" s="1"/>
  <c r="P13" i="26" s="1"/>
  <c r="Q13" i="26" s="1"/>
  <c r="R13" i="26" s="1"/>
  <c r="S13" i="26" s="1"/>
  <c r="T13" i="26" s="1"/>
  <c r="F13" i="26"/>
  <c r="AL12" i="26"/>
  <c r="AM12" i="26" s="1"/>
  <c r="AN12" i="26" s="1"/>
  <c r="AO12" i="26" s="1"/>
  <c r="AP12" i="26" s="1"/>
  <c r="AQ12" i="26" s="1"/>
  <c r="AR12" i="26" s="1"/>
  <c r="AD12" i="26"/>
  <c r="AE12" i="26" s="1"/>
  <c r="AF12" i="26" s="1"/>
  <c r="AG12" i="26" s="1"/>
  <c r="AH12" i="26" s="1"/>
  <c r="AI12" i="26" s="1"/>
  <c r="AJ12" i="26" s="1"/>
  <c r="V12" i="26"/>
  <c r="W12" i="26" s="1"/>
  <c r="X12" i="26" s="1"/>
  <c r="Y12" i="26" s="1"/>
  <c r="Z12" i="26" s="1"/>
  <c r="AA12" i="26" s="1"/>
  <c r="AB12" i="26" s="1"/>
  <c r="N12" i="26"/>
  <c r="O12" i="26" s="1"/>
  <c r="P12" i="26" s="1"/>
  <c r="Q12" i="26" s="1"/>
  <c r="R12" i="26" s="1"/>
  <c r="S12" i="26" s="1"/>
  <c r="T12" i="26" s="1"/>
  <c r="F12" i="26"/>
  <c r="AL11" i="26"/>
  <c r="AM11" i="26" s="1"/>
  <c r="AN11" i="26" s="1"/>
  <c r="AO11" i="26" s="1"/>
  <c r="AP11" i="26" s="1"/>
  <c r="AQ11" i="26" s="1"/>
  <c r="AR11" i="26" s="1"/>
  <c r="AD11" i="26"/>
  <c r="AE11" i="26" s="1"/>
  <c r="AF11" i="26" s="1"/>
  <c r="AG11" i="26" s="1"/>
  <c r="AH11" i="26" s="1"/>
  <c r="AI11" i="26" s="1"/>
  <c r="AJ11" i="26" s="1"/>
  <c r="V11" i="26"/>
  <c r="W11" i="26" s="1"/>
  <c r="X11" i="26" s="1"/>
  <c r="Y11" i="26" s="1"/>
  <c r="Z11" i="26" s="1"/>
  <c r="AA11" i="26" s="1"/>
  <c r="AB11" i="26" s="1"/>
  <c r="N11" i="26"/>
  <c r="O11" i="26" s="1"/>
  <c r="P11" i="26" s="1"/>
  <c r="Q11" i="26" s="1"/>
  <c r="R11" i="26" s="1"/>
  <c r="S11" i="26" s="1"/>
  <c r="T11" i="26" s="1"/>
  <c r="J11" i="26"/>
  <c r="K11" i="26" s="1"/>
  <c r="L11" i="26" s="1"/>
  <c r="F11" i="26"/>
  <c r="AL10" i="26"/>
  <c r="AD10" i="26"/>
  <c r="V10" i="26"/>
  <c r="N10" i="26"/>
  <c r="F10" i="26"/>
  <c r="BB5" i="26"/>
  <c r="AK74" i="25"/>
  <c r="AC74" i="25"/>
  <c r="U74" i="25"/>
  <c r="M74" i="25"/>
  <c r="E74" i="25"/>
  <c r="AL73" i="25"/>
  <c r="AM73" i="25" s="1"/>
  <c r="AN73" i="25" s="1"/>
  <c r="AO73" i="25" s="1"/>
  <c r="AP73" i="25" s="1"/>
  <c r="AQ73" i="25" s="1"/>
  <c r="AR73" i="25" s="1"/>
  <c r="AD73" i="25"/>
  <c r="AE73" i="25" s="1"/>
  <c r="AF73" i="25" s="1"/>
  <c r="AG73" i="25" s="1"/>
  <c r="AH73" i="25" s="1"/>
  <c r="AI73" i="25" s="1"/>
  <c r="AJ73" i="25" s="1"/>
  <c r="V73" i="25"/>
  <c r="W73" i="25" s="1"/>
  <c r="X73" i="25" s="1"/>
  <c r="Y73" i="25" s="1"/>
  <c r="Z73" i="25" s="1"/>
  <c r="AA73" i="25" s="1"/>
  <c r="AB73" i="25" s="1"/>
  <c r="N73" i="25"/>
  <c r="O73" i="25" s="1"/>
  <c r="P73" i="25" s="1"/>
  <c r="Q73" i="25" s="1"/>
  <c r="R73" i="25" s="1"/>
  <c r="S73" i="25" s="1"/>
  <c r="T73" i="25" s="1"/>
  <c r="F73" i="25"/>
  <c r="AL72" i="25"/>
  <c r="AM72" i="25" s="1"/>
  <c r="AN72" i="25" s="1"/>
  <c r="AO72" i="25" s="1"/>
  <c r="AP72" i="25" s="1"/>
  <c r="AQ72" i="25" s="1"/>
  <c r="AR72" i="25" s="1"/>
  <c r="AD72" i="25"/>
  <c r="AE72" i="25" s="1"/>
  <c r="AF72" i="25" s="1"/>
  <c r="AG72" i="25" s="1"/>
  <c r="AH72" i="25" s="1"/>
  <c r="AI72" i="25" s="1"/>
  <c r="AJ72" i="25" s="1"/>
  <c r="V72" i="25"/>
  <c r="W72" i="25" s="1"/>
  <c r="X72" i="25" s="1"/>
  <c r="Y72" i="25" s="1"/>
  <c r="Z72" i="25" s="1"/>
  <c r="AA72" i="25" s="1"/>
  <c r="AB72" i="25" s="1"/>
  <c r="N72" i="25"/>
  <c r="O72" i="25" s="1"/>
  <c r="P72" i="25" s="1"/>
  <c r="Q72" i="25" s="1"/>
  <c r="R72" i="25" s="1"/>
  <c r="S72" i="25" s="1"/>
  <c r="T72" i="25" s="1"/>
  <c r="F72" i="25"/>
  <c r="AL71" i="25"/>
  <c r="AM71" i="25" s="1"/>
  <c r="AN71" i="25" s="1"/>
  <c r="AO71" i="25" s="1"/>
  <c r="AP71" i="25" s="1"/>
  <c r="AQ71" i="25" s="1"/>
  <c r="AR71" i="25" s="1"/>
  <c r="AD71" i="25"/>
  <c r="AE71" i="25" s="1"/>
  <c r="AF71" i="25" s="1"/>
  <c r="AG71" i="25" s="1"/>
  <c r="AH71" i="25" s="1"/>
  <c r="AI71" i="25" s="1"/>
  <c r="AJ71" i="25" s="1"/>
  <c r="V71" i="25"/>
  <c r="W71" i="25" s="1"/>
  <c r="X71" i="25" s="1"/>
  <c r="Y71" i="25" s="1"/>
  <c r="Z71" i="25" s="1"/>
  <c r="AA71" i="25" s="1"/>
  <c r="AB71" i="25" s="1"/>
  <c r="N71" i="25"/>
  <c r="O71" i="25" s="1"/>
  <c r="P71" i="25" s="1"/>
  <c r="Q71" i="25" s="1"/>
  <c r="R71" i="25" s="1"/>
  <c r="S71" i="25" s="1"/>
  <c r="T71" i="25" s="1"/>
  <c r="F71" i="25"/>
  <c r="AL70" i="25"/>
  <c r="AM70" i="25" s="1"/>
  <c r="AN70" i="25" s="1"/>
  <c r="AO70" i="25" s="1"/>
  <c r="AP70" i="25" s="1"/>
  <c r="AQ70" i="25" s="1"/>
  <c r="AR70" i="25" s="1"/>
  <c r="AD70" i="25"/>
  <c r="AE70" i="25" s="1"/>
  <c r="AF70" i="25" s="1"/>
  <c r="AG70" i="25" s="1"/>
  <c r="AH70" i="25" s="1"/>
  <c r="AI70" i="25" s="1"/>
  <c r="AJ70" i="25" s="1"/>
  <c r="V70" i="25"/>
  <c r="W70" i="25" s="1"/>
  <c r="X70" i="25" s="1"/>
  <c r="Y70" i="25" s="1"/>
  <c r="Z70" i="25" s="1"/>
  <c r="AA70" i="25" s="1"/>
  <c r="AB70" i="25" s="1"/>
  <c r="N70" i="25"/>
  <c r="O70" i="25" s="1"/>
  <c r="P70" i="25" s="1"/>
  <c r="Q70" i="25" s="1"/>
  <c r="R70" i="25" s="1"/>
  <c r="S70" i="25" s="1"/>
  <c r="T70" i="25" s="1"/>
  <c r="F70" i="25"/>
  <c r="AL69" i="25"/>
  <c r="AM69" i="25" s="1"/>
  <c r="AN69" i="25" s="1"/>
  <c r="AO69" i="25" s="1"/>
  <c r="AP69" i="25" s="1"/>
  <c r="AQ69" i="25" s="1"/>
  <c r="AR69" i="25" s="1"/>
  <c r="AD69" i="25"/>
  <c r="AE69" i="25" s="1"/>
  <c r="AF69" i="25" s="1"/>
  <c r="AG69" i="25" s="1"/>
  <c r="AH69" i="25" s="1"/>
  <c r="AI69" i="25" s="1"/>
  <c r="AJ69" i="25" s="1"/>
  <c r="V69" i="25"/>
  <c r="W69" i="25" s="1"/>
  <c r="X69" i="25" s="1"/>
  <c r="Y69" i="25" s="1"/>
  <c r="Z69" i="25" s="1"/>
  <c r="AA69" i="25" s="1"/>
  <c r="AB69" i="25" s="1"/>
  <c r="N69" i="25"/>
  <c r="O69" i="25" s="1"/>
  <c r="P69" i="25" s="1"/>
  <c r="Q69" i="25" s="1"/>
  <c r="R69" i="25" s="1"/>
  <c r="S69" i="25" s="1"/>
  <c r="T69" i="25" s="1"/>
  <c r="F69" i="25"/>
  <c r="AL68" i="25"/>
  <c r="AM68" i="25" s="1"/>
  <c r="AN68" i="25" s="1"/>
  <c r="AO68" i="25" s="1"/>
  <c r="AP68" i="25" s="1"/>
  <c r="AQ68" i="25" s="1"/>
  <c r="AR68" i="25" s="1"/>
  <c r="AD68" i="25"/>
  <c r="AE68" i="25" s="1"/>
  <c r="AF68" i="25" s="1"/>
  <c r="AG68" i="25" s="1"/>
  <c r="AH68" i="25" s="1"/>
  <c r="AI68" i="25" s="1"/>
  <c r="AJ68" i="25" s="1"/>
  <c r="V68" i="25"/>
  <c r="W68" i="25" s="1"/>
  <c r="X68" i="25" s="1"/>
  <c r="Y68" i="25" s="1"/>
  <c r="Z68" i="25" s="1"/>
  <c r="AA68" i="25" s="1"/>
  <c r="AB68" i="25" s="1"/>
  <c r="N68" i="25"/>
  <c r="O68" i="25" s="1"/>
  <c r="P68" i="25" s="1"/>
  <c r="Q68" i="25" s="1"/>
  <c r="R68" i="25" s="1"/>
  <c r="S68" i="25" s="1"/>
  <c r="T68" i="25" s="1"/>
  <c r="F68" i="25"/>
  <c r="AL67" i="25"/>
  <c r="AM67" i="25" s="1"/>
  <c r="AN67" i="25" s="1"/>
  <c r="AO67" i="25" s="1"/>
  <c r="AP67" i="25" s="1"/>
  <c r="AQ67" i="25" s="1"/>
  <c r="AR67" i="25" s="1"/>
  <c r="AD67" i="25"/>
  <c r="AE67" i="25" s="1"/>
  <c r="AF67" i="25" s="1"/>
  <c r="AG67" i="25" s="1"/>
  <c r="AH67" i="25" s="1"/>
  <c r="AI67" i="25" s="1"/>
  <c r="AJ67" i="25" s="1"/>
  <c r="V67" i="25"/>
  <c r="W67" i="25" s="1"/>
  <c r="X67" i="25" s="1"/>
  <c r="Y67" i="25" s="1"/>
  <c r="Z67" i="25" s="1"/>
  <c r="AA67" i="25" s="1"/>
  <c r="AB67" i="25" s="1"/>
  <c r="N67" i="25"/>
  <c r="O67" i="25" s="1"/>
  <c r="P67" i="25" s="1"/>
  <c r="Q67" i="25" s="1"/>
  <c r="R67" i="25" s="1"/>
  <c r="S67" i="25" s="1"/>
  <c r="T67" i="25" s="1"/>
  <c r="F67" i="25"/>
  <c r="AL66" i="25"/>
  <c r="AM66" i="25" s="1"/>
  <c r="AN66" i="25" s="1"/>
  <c r="AO66" i="25" s="1"/>
  <c r="AP66" i="25" s="1"/>
  <c r="AQ66" i="25" s="1"/>
  <c r="AR66" i="25" s="1"/>
  <c r="AD66" i="25"/>
  <c r="AE66" i="25" s="1"/>
  <c r="AF66" i="25" s="1"/>
  <c r="AG66" i="25" s="1"/>
  <c r="AH66" i="25" s="1"/>
  <c r="AI66" i="25" s="1"/>
  <c r="AJ66" i="25" s="1"/>
  <c r="V66" i="25"/>
  <c r="W66" i="25" s="1"/>
  <c r="X66" i="25" s="1"/>
  <c r="Y66" i="25" s="1"/>
  <c r="Z66" i="25" s="1"/>
  <c r="AA66" i="25" s="1"/>
  <c r="AB66" i="25" s="1"/>
  <c r="N66" i="25"/>
  <c r="O66" i="25" s="1"/>
  <c r="P66" i="25" s="1"/>
  <c r="Q66" i="25" s="1"/>
  <c r="R66" i="25" s="1"/>
  <c r="S66" i="25" s="1"/>
  <c r="T66" i="25" s="1"/>
  <c r="F66" i="25"/>
  <c r="AL65" i="25"/>
  <c r="AM65" i="25" s="1"/>
  <c r="AN65" i="25" s="1"/>
  <c r="AO65" i="25" s="1"/>
  <c r="AP65" i="25" s="1"/>
  <c r="AQ65" i="25" s="1"/>
  <c r="AR65" i="25" s="1"/>
  <c r="AD65" i="25"/>
  <c r="AE65" i="25" s="1"/>
  <c r="AF65" i="25" s="1"/>
  <c r="AG65" i="25" s="1"/>
  <c r="AH65" i="25" s="1"/>
  <c r="AI65" i="25" s="1"/>
  <c r="AJ65" i="25" s="1"/>
  <c r="W65" i="25"/>
  <c r="X65" i="25" s="1"/>
  <c r="Y65" i="25" s="1"/>
  <c r="Z65" i="25" s="1"/>
  <c r="AA65" i="25" s="1"/>
  <c r="AB65" i="25" s="1"/>
  <c r="V65" i="25"/>
  <c r="N65" i="25"/>
  <c r="O65" i="25" s="1"/>
  <c r="P65" i="25" s="1"/>
  <c r="Q65" i="25" s="1"/>
  <c r="R65" i="25" s="1"/>
  <c r="S65" i="25" s="1"/>
  <c r="T65" i="25" s="1"/>
  <c r="F65" i="25"/>
  <c r="AL64" i="25"/>
  <c r="AM64" i="25" s="1"/>
  <c r="AN64" i="25" s="1"/>
  <c r="AO64" i="25" s="1"/>
  <c r="AP64" i="25" s="1"/>
  <c r="AQ64" i="25" s="1"/>
  <c r="AR64" i="25" s="1"/>
  <c r="AD64" i="25"/>
  <c r="AE64" i="25" s="1"/>
  <c r="AF64" i="25" s="1"/>
  <c r="AG64" i="25" s="1"/>
  <c r="AH64" i="25" s="1"/>
  <c r="AI64" i="25" s="1"/>
  <c r="AJ64" i="25" s="1"/>
  <c r="V64" i="25"/>
  <c r="W64" i="25" s="1"/>
  <c r="X64" i="25" s="1"/>
  <c r="Y64" i="25" s="1"/>
  <c r="Z64" i="25" s="1"/>
  <c r="AA64" i="25" s="1"/>
  <c r="AB64" i="25" s="1"/>
  <c r="N64" i="25"/>
  <c r="O64" i="25" s="1"/>
  <c r="P64" i="25" s="1"/>
  <c r="Q64" i="25" s="1"/>
  <c r="R64" i="25" s="1"/>
  <c r="S64" i="25" s="1"/>
  <c r="T64" i="25" s="1"/>
  <c r="F64" i="25"/>
  <c r="AL63" i="25"/>
  <c r="AM63" i="25" s="1"/>
  <c r="AN63" i="25" s="1"/>
  <c r="AO63" i="25" s="1"/>
  <c r="AP63" i="25" s="1"/>
  <c r="AQ63" i="25" s="1"/>
  <c r="AR63" i="25" s="1"/>
  <c r="AD63" i="25"/>
  <c r="AE63" i="25" s="1"/>
  <c r="AF63" i="25" s="1"/>
  <c r="AG63" i="25" s="1"/>
  <c r="AH63" i="25" s="1"/>
  <c r="AI63" i="25" s="1"/>
  <c r="AJ63" i="25" s="1"/>
  <c r="V63" i="25"/>
  <c r="W63" i="25" s="1"/>
  <c r="X63" i="25" s="1"/>
  <c r="Y63" i="25" s="1"/>
  <c r="Z63" i="25" s="1"/>
  <c r="AA63" i="25" s="1"/>
  <c r="AB63" i="25" s="1"/>
  <c r="N63" i="25"/>
  <c r="O63" i="25" s="1"/>
  <c r="P63" i="25" s="1"/>
  <c r="Q63" i="25" s="1"/>
  <c r="R63" i="25" s="1"/>
  <c r="S63" i="25" s="1"/>
  <c r="T63" i="25" s="1"/>
  <c r="F63" i="25"/>
  <c r="AL62" i="25"/>
  <c r="AM62" i="25" s="1"/>
  <c r="AN62" i="25" s="1"/>
  <c r="AO62" i="25" s="1"/>
  <c r="AP62" i="25" s="1"/>
  <c r="AQ62" i="25" s="1"/>
  <c r="AR62" i="25" s="1"/>
  <c r="AD62" i="25"/>
  <c r="AE62" i="25" s="1"/>
  <c r="AF62" i="25" s="1"/>
  <c r="AG62" i="25" s="1"/>
  <c r="AH62" i="25" s="1"/>
  <c r="AI62" i="25" s="1"/>
  <c r="AJ62" i="25" s="1"/>
  <c r="V62" i="25"/>
  <c r="W62" i="25" s="1"/>
  <c r="X62" i="25" s="1"/>
  <c r="Y62" i="25" s="1"/>
  <c r="Z62" i="25" s="1"/>
  <c r="AA62" i="25" s="1"/>
  <c r="AB62" i="25" s="1"/>
  <c r="N62" i="25"/>
  <c r="O62" i="25" s="1"/>
  <c r="P62" i="25" s="1"/>
  <c r="Q62" i="25" s="1"/>
  <c r="R62" i="25" s="1"/>
  <c r="S62" i="25" s="1"/>
  <c r="T62" i="25" s="1"/>
  <c r="F62" i="25"/>
  <c r="AL61" i="25"/>
  <c r="AM61" i="25" s="1"/>
  <c r="AN61" i="25" s="1"/>
  <c r="AO61" i="25" s="1"/>
  <c r="AP61" i="25" s="1"/>
  <c r="AQ61" i="25" s="1"/>
  <c r="AR61" i="25" s="1"/>
  <c r="AD61" i="25"/>
  <c r="AE61" i="25" s="1"/>
  <c r="AF61" i="25" s="1"/>
  <c r="AG61" i="25" s="1"/>
  <c r="AH61" i="25" s="1"/>
  <c r="AI61" i="25" s="1"/>
  <c r="AJ61" i="25" s="1"/>
  <c r="V61" i="25"/>
  <c r="W61" i="25" s="1"/>
  <c r="X61" i="25" s="1"/>
  <c r="Y61" i="25" s="1"/>
  <c r="Z61" i="25" s="1"/>
  <c r="AA61" i="25" s="1"/>
  <c r="AB61" i="25" s="1"/>
  <c r="N61" i="25"/>
  <c r="O61" i="25" s="1"/>
  <c r="P61" i="25" s="1"/>
  <c r="Q61" i="25" s="1"/>
  <c r="R61" i="25" s="1"/>
  <c r="S61" i="25" s="1"/>
  <c r="T61" i="25" s="1"/>
  <c r="F61" i="25"/>
  <c r="AL60" i="25"/>
  <c r="AM60" i="25" s="1"/>
  <c r="AN60" i="25" s="1"/>
  <c r="AO60" i="25" s="1"/>
  <c r="AP60" i="25" s="1"/>
  <c r="AQ60" i="25" s="1"/>
  <c r="AR60" i="25" s="1"/>
  <c r="AD60" i="25"/>
  <c r="AE60" i="25" s="1"/>
  <c r="AF60" i="25" s="1"/>
  <c r="AG60" i="25" s="1"/>
  <c r="AH60" i="25" s="1"/>
  <c r="AI60" i="25" s="1"/>
  <c r="AJ60" i="25" s="1"/>
  <c r="V60" i="25"/>
  <c r="W60" i="25" s="1"/>
  <c r="X60" i="25" s="1"/>
  <c r="Y60" i="25" s="1"/>
  <c r="Z60" i="25" s="1"/>
  <c r="AA60" i="25" s="1"/>
  <c r="AB60" i="25" s="1"/>
  <c r="N60" i="25"/>
  <c r="O60" i="25" s="1"/>
  <c r="P60" i="25" s="1"/>
  <c r="Q60" i="25" s="1"/>
  <c r="R60" i="25" s="1"/>
  <c r="S60" i="25" s="1"/>
  <c r="T60" i="25" s="1"/>
  <c r="F60" i="25"/>
  <c r="AL59" i="25"/>
  <c r="AM59" i="25" s="1"/>
  <c r="AN59" i="25" s="1"/>
  <c r="AO59" i="25" s="1"/>
  <c r="AP59" i="25" s="1"/>
  <c r="AQ59" i="25" s="1"/>
  <c r="AR59" i="25" s="1"/>
  <c r="AD59" i="25"/>
  <c r="AE59" i="25" s="1"/>
  <c r="AF59" i="25" s="1"/>
  <c r="AG59" i="25" s="1"/>
  <c r="AH59" i="25" s="1"/>
  <c r="AI59" i="25" s="1"/>
  <c r="AJ59" i="25" s="1"/>
  <c r="V59" i="25"/>
  <c r="W59" i="25" s="1"/>
  <c r="X59" i="25" s="1"/>
  <c r="Y59" i="25" s="1"/>
  <c r="Z59" i="25" s="1"/>
  <c r="AA59" i="25" s="1"/>
  <c r="AB59" i="25" s="1"/>
  <c r="N59" i="25"/>
  <c r="O59" i="25" s="1"/>
  <c r="P59" i="25" s="1"/>
  <c r="Q59" i="25" s="1"/>
  <c r="R59" i="25" s="1"/>
  <c r="S59" i="25" s="1"/>
  <c r="T59" i="25" s="1"/>
  <c r="F59" i="25"/>
  <c r="AL58" i="25"/>
  <c r="AM58" i="25" s="1"/>
  <c r="AN58" i="25" s="1"/>
  <c r="AO58" i="25" s="1"/>
  <c r="AP58" i="25" s="1"/>
  <c r="AQ58" i="25" s="1"/>
  <c r="AR58" i="25" s="1"/>
  <c r="AD58" i="25"/>
  <c r="AE58" i="25" s="1"/>
  <c r="AF58" i="25" s="1"/>
  <c r="AG58" i="25" s="1"/>
  <c r="AH58" i="25" s="1"/>
  <c r="AI58" i="25" s="1"/>
  <c r="AJ58" i="25" s="1"/>
  <c r="V58" i="25"/>
  <c r="W58" i="25" s="1"/>
  <c r="X58" i="25" s="1"/>
  <c r="Y58" i="25" s="1"/>
  <c r="Z58" i="25" s="1"/>
  <c r="AA58" i="25" s="1"/>
  <c r="AB58" i="25" s="1"/>
  <c r="N58" i="25"/>
  <c r="O58" i="25" s="1"/>
  <c r="P58" i="25" s="1"/>
  <c r="Q58" i="25" s="1"/>
  <c r="R58" i="25" s="1"/>
  <c r="S58" i="25" s="1"/>
  <c r="T58" i="25" s="1"/>
  <c r="F58" i="25"/>
  <c r="AL57" i="25"/>
  <c r="AM57" i="25" s="1"/>
  <c r="AN57" i="25" s="1"/>
  <c r="AO57" i="25" s="1"/>
  <c r="AP57" i="25" s="1"/>
  <c r="AQ57" i="25" s="1"/>
  <c r="AR57" i="25" s="1"/>
  <c r="AD57" i="25"/>
  <c r="AE57" i="25" s="1"/>
  <c r="AF57" i="25" s="1"/>
  <c r="AG57" i="25" s="1"/>
  <c r="AH57" i="25" s="1"/>
  <c r="AI57" i="25" s="1"/>
  <c r="AJ57" i="25" s="1"/>
  <c r="V57" i="25"/>
  <c r="W57" i="25" s="1"/>
  <c r="X57" i="25" s="1"/>
  <c r="Y57" i="25" s="1"/>
  <c r="Z57" i="25" s="1"/>
  <c r="AA57" i="25" s="1"/>
  <c r="AB57" i="25" s="1"/>
  <c r="N57" i="25"/>
  <c r="O57" i="25" s="1"/>
  <c r="P57" i="25" s="1"/>
  <c r="Q57" i="25" s="1"/>
  <c r="R57" i="25" s="1"/>
  <c r="S57" i="25" s="1"/>
  <c r="T57" i="25" s="1"/>
  <c r="F57" i="25"/>
  <c r="AL56" i="25"/>
  <c r="AM56" i="25" s="1"/>
  <c r="AN56" i="25" s="1"/>
  <c r="AO56" i="25" s="1"/>
  <c r="AP56" i="25" s="1"/>
  <c r="AQ56" i="25" s="1"/>
  <c r="AR56" i="25" s="1"/>
  <c r="AD56" i="25"/>
  <c r="AE56" i="25" s="1"/>
  <c r="AF56" i="25" s="1"/>
  <c r="AG56" i="25" s="1"/>
  <c r="AH56" i="25" s="1"/>
  <c r="AI56" i="25" s="1"/>
  <c r="AJ56" i="25" s="1"/>
  <c r="V56" i="25"/>
  <c r="W56" i="25" s="1"/>
  <c r="X56" i="25" s="1"/>
  <c r="Y56" i="25" s="1"/>
  <c r="Z56" i="25" s="1"/>
  <c r="AA56" i="25" s="1"/>
  <c r="AB56" i="25" s="1"/>
  <c r="N56" i="25"/>
  <c r="O56" i="25" s="1"/>
  <c r="P56" i="25" s="1"/>
  <c r="Q56" i="25" s="1"/>
  <c r="R56" i="25" s="1"/>
  <c r="S56" i="25" s="1"/>
  <c r="T56" i="25" s="1"/>
  <c r="F56" i="25"/>
  <c r="AL55" i="25"/>
  <c r="AM55" i="25" s="1"/>
  <c r="AN55" i="25" s="1"/>
  <c r="AO55" i="25" s="1"/>
  <c r="AP55" i="25" s="1"/>
  <c r="AQ55" i="25" s="1"/>
  <c r="AR55" i="25" s="1"/>
  <c r="AD55" i="25"/>
  <c r="AE55" i="25" s="1"/>
  <c r="AF55" i="25" s="1"/>
  <c r="AG55" i="25" s="1"/>
  <c r="AH55" i="25" s="1"/>
  <c r="AI55" i="25" s="1"/>
  <c r="AJ55" i="25" s="1"/>
  <c r="V55" i="25"/>
  <c r="W55" i="25" s="1"/>
  <c r="X55" i="25" s="1"/>
  <c r="Y55" i="25" s="1"/>
  <c r="Z55" i="25" s="1"/>
  <c r="AA55" i="25" s="1"/>
  <c r="AB55" i="25" s="1"/>
  <c r="N55" i="25"/>
  <c r="O55" i="25" s="1"/>
  <c r="P55" i="25" s="1"/>
  <c r="Q55" i="25" s="1"/>
  <c r="R55" i="25" s="1"/>
  <c r="S55" i="25" s="1"/>
  <c r="T55" i="25" s="1"/>
  <c r="F55" i="25"/>
  <c r="AL54" i="25"/>
  <c r="AM54" i="25" s="1"/>
  <c r="AN54" i="25" s="1"/>
  <c r="AO54" i="25" s="1"/>
  <c r="AP54" i="25" s="1"/>
  <c r="AQ54" i="25" s="1"/>
  <c r="AR54" i="25" s="1"/>
  <c r="AD54" i="25"/>
  <c r="AE54" i="25" s="1"/>
  <c r="AF54" i="25" s="1"/>
  <c r="AG54" i="25" s="1"/>
  <c r="AH54" i="25" s="1"/>
  <c r="AI54" i="25" s="1"/>
  <c r="AJ54" i="25" s="1"/>
  <c r="V54" i="25"/>
  <c r="W54" i="25" s="1"/>
  <c r="X54" i="25" s="1"/>
  <c r="Y54" i="25" s="1"/>
  <c r="Z54" i="25" s="1"/>
  <c r="AA54" i="25" s="1"/>
  <c r="AB54" i="25" s="1"/>
  <c r="N54" i="25"/>
  <c r="O54" i="25" s="1"/>
  <c r="P54" i="25" s="1"/>
  <c r="Q54" i="25" s="1"/>
  <c r="R54" i="25" s="1"/>
  <c r="S54" i="25" s="1"/>
  <c r="T54" i="25" s="1"/>
  <c r="F54" i="25"/>
  <c r="AL53" i="25"/>
  <c r="AM53" i="25" s="1"/>
  <c r="AN53" i="25" s="1"/>
  <c r="AO53" i="25" s="1"/>
  <c r="AP53" i="25" s="1"/>
  <c r="AQ53" i="25" s="1"/>
  <c r="AR53" i="25" s="1"/>
  <c r="AD53" i="25"/>
  <c r="AE53" i="25" s="1"/>
  <c r="AF53" i="25" s="1"/>
  <c r="AG53" i="25" s="1"/>
  <c r="AH53" i="25" s="1"/>
  <c r="AI53" i="25" s="1"/>
  <c r="AJ53" i="25" s="1"/>
  <c r="V53" i="25"/>
  <c r="W53" i="25" s="1"/>
  <c r="X53" i="25" s="1"/>
  <c r="Y53" i="25" s="1"/>
  <c r="Z53" i="25" s="1"/>
  <c r="AA53" i="25" s="1"/>
  <c r="AB53" i="25" s="1"/>
  <c r="N53" i="25"/>
  <c r="O53" i="25" s="1"/>
  <c r="P53" i="25" s="1"/>
  <c r="Q53" i="25" s="1"/>
  <c r="R53" i="25" s="1"/>
  <c r="S53" i="25" s="1"/>
  <c r="T53" i="25" s="1"/>
  <c r="F53" i="25"/>
  <c r="AL52" i="25"/>
  <c r="AM52" i="25" s="1"/>
  <c r="AN52" i="25" s="1"/>
  <c r="AO52" i="25" s="1"/>
  <c r="AP52" i="25" s="1"/>
  <c r="AQ52" i="25" s="1"/>
  <c r="AR52" i="25" s="1"/>
  <c r="AD52" i="25"/>
  <c r="AE52" i="25" s="1"/>
  <c r="AF52" i="25" s="1"/>
  <c r="AG52" i="25" s="1"/>
  <c r="AH52" i="25" s="1"/>
  <c r="AI52" i="25" s="1"/>
  <c r="AJ52" i="25" s="1"/>
  <c r="V52" i="25"/>
  <c r="W52" i="25" s="1"/>
  <c r="X52" i="25" s="1"/>
  <c r="Y52" i="25" s="1"/>
  <c r="Z52" i="25" s="1"/>
  <c r="AA52" i="25" s="1"/>
  <c r="AB52" i="25" s="1"/>
  <c r="N52" i="25"/>
  <c r="O52" i="25" s="1"/>
  <c r="P52" i="25" s="1"/>
  <c r="Q52" i="25" s="1"/>
  <c r="R52" i="25" s="1"/>
  <c r="S52" i="25" s="1"/>
  <c r="T52" i="25" s="1"/>
  <c r="F52" i="25"/>
  <c r="AL51" i="25"/>
  <c r="AM51" i="25" s="1"/>
  <c r="AN51" i="25" s="1"/>
  <c r="AO51" i="25" s="1"/>
  <c r="AP51" i="25" s="1"/>
  <c r="AQ51" i="25" s="1"/>
  <c r="AR51" i="25" s="1"/>
  <c r="AD51" i="25"/>
  <c r="AE51" i="25" s="1"/>
  <c r="AF51" i="25" s="1"/>
  <c r="AG51" i="25" s="1"/>
  <c r="AH51" i="25" s="1"/>
  <c r="AI51" i="25" s="1"/>
  <c r="AJ51" i="25" s="1"/>
  <c r="V51" i="25"/>
  <c r="W51" i="25" s="1"/>
  <c r="X51" i="25" s="1"/>
  <c r="Y51" i="25" s="1"/>
  <c r="Z51" i="25" s="1"/>
  <c r="AA51" i="25" s="1"/>
  <c r="AB51" i="25" s="1"/>
  <c r="N51" i="25"/>
  <c r="O51" i="25" s="1"/>
  <c r="P51" i="25" s="1"/>
  <c r="Q51" i="25" s="1"/>
  <c r="R51" i="25" s="1"/>
  <c r="S51" i="25" s="1"/>
  <c r="T51" i="25" s="1"/>
  <c r="F51" i="25"/>
  <c r="AL50" i="25"/>
  <c r="AM50" i="25" s="1"/>
  <c r="AN50" i="25" s="1"/>
  <c r="AO50" i="25" s="1"/>
  <c r="AP50" i="25" s="1"/>
  <c r="AQ50" i="25" s="1"/>
  <c r="AR50" i="25" s="1"/>
  <c r="AD50" i="25"/>
  <c r="AE50" i="25" s="1"/>
  <c r="AF50" i="25" s="1"/>
  <c r="AG50" i="25" s="1"/>
  <c r="AH50" i="25" s="1"/>
  <c r="AI50" i="25" s="1"/>
  <c r="AJ50" i="25" s="1"/>
  <c r="V50" i="25"/>
  <c r="W50" i="25" s="1"/>
  <c r="X50" i="25" s="1"/>
  <c r="Y50" i="25" s="1"/>
  <c r="Z50" i="25" s="1"/>
  <c r="AA50" i="25" s="1"/>
  <c r="AB50" i="25" s="1"/>
  <c r="N50" i="25"/>
  <c r="O50" i="25" s="1"/>
  <c r="P50" i="25" s="1"/>
  <c r="Q50" i="25" s="1"/>
  <c r="R50" i="25" s="1"/>
  <c r="S50" i="25" s="1"/>
  <c r="T50" i="25" s="1"/>
  <c r="F50" i="25"/>
  <c r="AL49" i="25"/>
  <c r="AM49" i="25" s="1"/>
  <c r="AN49" i="25" s="1"/>
  <c r="AO49" i="25" s="1"/>
  <c r="AP49" i="25" s="1"/>
  <c r="AQ49" i="25" s="1"/>
  <c r="AR49" i="25" s="1"/>
  <c r="AD49" i="25"/>
  <c r="AE49" i="25" s="1"/>
  <c r="AF49" i="25" s="1"/>
  <c r="AG49" i="25" s="1"/>
  <c r="AH49" i="25" s="1"/>
  <c r="AI49" i="25" s="1"/>
  <c r="AJ49" i="25" s="1"/>
  <c r="V49" i="25"/>
  <c r="W49" i="25" s="1"/>
  <c r="X49" i="25" s="1"/>
  <c r="Y49" i="25" s="1"/>
  <c r="Z49" i="25" s="1"/>
  <c r="AA49" i="25" s="1"/>
  <c r="AB49" i="25" s="1"/>
  <c r="N49" i="25"/>
  <c r="O49" i="25" s="1"/>
  <c r="P49" i="25" s="1"/>
  <c r="Q49" i="25" s="1"/>
  <c r="R49" i="25" s="1"/>
  <c r="S49" i="25" s="1"/>
  <c r="T49" i="25" s="1"/>
  <c r="F49" i="25"/>
  <c r="AL48" i="25"/>
  <c r="AM48" i="25" s="1"/>
  <c r="AN48" i="25" s="1"/>
  <c r="AO48" i="25" s="1"/>
  <c r="AP48" i="25" s="1"/>
  <c r="AQ48" i="25" s="1"/>
  <c r="AR48" i="25" s="1"/>
  <c r="AD48" i="25"/>
  <c r="AE48" i="25" s="1"/>
  <c r="AF48" i="25" s="1"/>
  <c r="AG48" i="25" s="1"/>
  <c r="AH48" i="25" s="1"/>
  <c r="AI48" i="25" s="1"/>
  <c r="AJ48" i="25" s="1"/>
  <c r="V48" i="25"/>
  <c r="W48" i="25" s="1"/>
  <c r="X48" i="25" s="1"/>
  <c r="Y48" i="25" s="1"/>
  <c r="Z48" i="25" s="1"/>
  <c r="AA48" i="25" s="1"/>
  <c r="AB48" i="25" s="1"/>
  <c r="N48" i="25"/>
  <c r="O48" i="25" s="1"/>
  <c r="P48" i="25" s="1"/>
  <c r="Q48" i="25" s="1"/>
  <c r="R48" i="25" s="1"/>
  <c r="S48" i="25" s="1"/>
  <c r="T48" i="25" s="1"/>
  <c r="F48" i="25"/>
  <c r="AL47" i="25"/>
  <c r="AM47" i="25" s="1"/>
  <c r="AN47" i="25" s="1"/>
  <c r="AO47" i="25" s="1"/>
  <c r="AP47" i="25" s="1"/>
  <c r="AQ47" i="25" s="1"/>
  <c r="AR47" i="25" s="1"/>
  <c r="AD47" i="25"/>
  <c r="AE47" i="25" s="1"/>
  <c r="AF47" i="25" s="1"/>
  <c r="AG47" i="25" s="1"/>
  <c r="AH47" i="25" s="1"/>
  <c r="AI47" i="25" s="1"/>
  <c r="AJ47" i="25" s="1"/>
  <c r="V47" i="25"/>
  <c r="W47" i="25" s="1"/>
  <c r="X47" i="25" s="1"/>
  <c r="Y47" i="25" s="1"/>
  <c r="Z47" i="25" s="1"/>
  <c r="AA47" i="25" s="1"/>
  <c r="AB47" i="25" s="1"/>
  <c r="N47" i="25"/>
  <c r="O47" i="25" s="1"/>
  <c r="P47" i="25" s="1"/>
  <c r="Q47" i="25" s="1"/>
  <c r="R47" i="25" s="1"/>
  <c r="S47" i="25" s="1"/>
  <c r="T47" i="25" s="1"/>
  <c r="F47" i="25"/>
  <c r="AL46" i="25"/>
  <c r="AM46" i="25" s="1"/>
  <c r="AN46" i="25" s="1"/>
  <c r="AO46" i="25" s="1"/>
  <c r="AP46" i="25" s="1"/>
  <c r="AQ46" i="25" s="1"/>
  <c r="AR46" i="25" s="1"/>
  <c r="AD46" i="25"/>
  <c r="AE46" i="25" s="1"/>
  <c r="AF46" i="25" s="1"/>
  <c r="AG46" i="25" s="1"/>
  <c r="AH46" i="25" s="1"/>
  <c r="AI46" i="25" s="1"/>
  <c r="AJ46" i="25" s="1"/>
  <c r="V46" i="25"/>
  <c r="W46" i="25" s="1"/>
  <c r="X46" i="25" s="1"/>
  <c r="Y46" i="25" s="1"/>
  <c r="Z46" i="25" s="1"/>
  <c r="AA46" i="25" s="1"/>
  <c r="AB46" i="25" s="1"/>
  <c r="N46" i="25"/>
  <c r="O46" i="25" s="1"/>
  <c r="P46" i="25" s="1"/>
  <c r="Q46" i="25" s="1"/>
  <c r="R46" i="25" s="1"/>
  <c r="S46" i="25" s="1"/>
  <c r="T46" i="25" s="1"/>
  <c r="F46" i="25"/>
  <c r="AL45" i="25"/>
  <c r="AM45" i="25" s="1"/>
  <c r="AN45" i="25" s="1"/>
  <c r="AO45" i="25" s="1"/>
  <c r="AP45" i="25" s="1"/>
  <c r="AQ45" i="25" s="1"/>
  <c r="AR45" i="25" s="1"/>
  <c r="AD45" i="25"/>
  <c r="AE45" i="25" s="1"/>
  <c r="AF45" i="25" s="1"/>
  <c r="AG45" i="25" s="1"/>
  <c r="AH45" i="25" s="1"/>
  <c r="AI45" i="25" s="1"/>
  <c r="AJ45" i="25" s="1"/>
  <c r="V45" i="25"/>
  <c r="W45" i="25" s="1"/>
  <c r="X45" i="25" s="1"/>
  <c r="Y45" i="25" s="1"/>
  <c r="Z45" i="25" s="1"/>
  <c r="AA45" i="25" s="1"/>
  <c r="AB45" i="25" s="1"/>
  <c r="N45" i="25"/>
  <c r="O45" i="25" s="1"/>
  <c r="P45" i="25" s="1"/>
  <c r="Q45" i="25" s="1"/>
  <c r="R45" i="25" s="1"/>
  <c r="S45" i="25" s="1"/>
  <c r="T45" i="25" s="1"/>
  <c r="F45" i="25"/>
  <c r="AL44" i="25"/>
  <c r="AM44" i="25" s="1"/>
  <c r="AN44" i="25" s="1"/>
  <c r="AO44" i="25" s="1"/>
  <c r="AP44" i="25" s="1"/>
  <c r="AQ44" i="25" s="1"/>
  <c r="AR44" i="25" s="1"/>
  <c r="AD44" i="25"/>
  <c r="AE44" i="25" s="1"/>
  <c r="AF44" i="25" s="1"/>
  <c r="AG44" i="25" s="1"/>
  <c r="AH44" i="25" s="1"/>
  <c r="AI44" i="25" s="1"/>
  <c r="AJ44" i="25" s="1"/>
  <c r="V44" i="25"/>
  <c r="W44" i="25" s="1"/>
  <c r="X44" i="25" s="1"/>
  <c r="Y44" i="25" s="1"/>
  <c r="Z44" i="25" s="1"/>
  <c r="AA44" i="25" s="1"/>
  <c r="AB44" i="25" s="1"/>
  <c r="N44" i="25"/>
  <c r="O44" i="25" s="1"/>
  <c r="P44" i="25" s="1"/>
  <c r="Q44" i="25" s="1"/>
  <c r="R44" i="25" s="1"/>
  <c r="S44" i="25" s="1"/>
  <c r="T44" i="25" s="1"/>
  <c r="F44" i="25"/>
  <c r="AL43" i="25"/>
  <c r="AM43" i="25" s="1"/>
  <c r="AN43" i="25" s="1"/>
  <c r="AO43" i="25" s="1"/>
  <c r="AP43" i="25" s="1"/>
  <c r="AQ43" i="25" s="1"/>
  <c r="AR43" i="25" s="1"/>
  <c r="AD43" i="25"/>
  <c r="AE43" i="25" s="1"/>
  <c r="AF43" i="25" s="1"/>
  <c r="AG43" i="25" s="1"/>
  <c r="AH43" i="25" s="1"/>
  <c r="AI43" i="25" s="1"/>
  <c r="AJ43" i="25" s="1"/>
  <c r="V43" i="25"/>
  <c r="W43" i="25" s="1"/>
  <c r="X43" i="25" s="1"/>
  <c r="Y43" i="25" s="1"/>
  <c r="Z43" i="25" s="1"/>
  <c r="AA43" i="25" s="1"/>
  <c r="AB43" i="25" s="1"/>
  <c r="O43" i="25"/>
  <c r="P43" i="25" s="1"/>
  <c r="Q43" i="25" s="1"/>
  <c r="R43" i="25" s="1"/>
  <c r="S43" i="25" s="1"/>
  <c r="T43" i="25" s="1"/>
  <c r="N43" i="25"/>
  <c r="F43" i="25"/>
  <c r="AL42" i="25"/>
  <c r="AM42" i="25" s="1"/>
  <c r="AN42" i="25" s="1"/>
  <c r="AO42" i="25" s="1"/>
  <c r="AP42" i="25" s="1"/>
  <c r="AQ42" i="25" s="1"/>
  <c r="AR42" i="25" s="1"/>
  <c r="AD42" i="25"/>
  <c r="AE42" i="25" s="1"/>
  <c r="AF42" i="25" s="1"/>
  <c r="AG42" i="25" s="1"/>
  <c r="AH42" i="25" s="1"/>
  <c r="AI42" i="25" s="1"/>
  <c r="AJ42" i="25" s="1"/>
  <c r="V42" i="25"/>
  <c r="W42" i="25" s="1"/>
  <c r="X42" i="25" s="1"/>
  <c r="Y42" i="25" s="1"/>
  <c r="Z42" i="25" s="1"/>
  <c r="AA42" i="25" s="1"/>
  <c r="AB42" i="25" s="1"/>
  <c r="N42" i="25"/>
  <c r="O42" i="25" s="1"/>
  <c r="P42" i="25" s="1"/>
  <c r="Q42" i="25" s="1"/>
  <c r="R42" i="25" s="1"/>
  <c r="S42" i="25" s="1"/>
  <c r="T42" i="25" s="1"/>
  <c r="F42" i="25"/>
  <c r="AL41" i="25"/>
  <c r="AM41" i="25" s="1"/>
  <c r="AN41" i="25" s="1"/>
  <c r="AO41" i="25" s="1"/>
  <c r="AP41" i="25" s="1"/>
  <c r="AQ41" i="25" s="1"/>
  <c r="AR41" i="25" s="1"/>
  <c r="AD41" i="25"/>
  <c r="AE41" i="25" s="1"/>
  <c r="AF41" i="25" s="1"/>
  <c r="AG41" i="25" s="1"/>
  <c r="AH41" i="25" s="1"/>
  <c r="AI41" i="25" s="1"/>
  <c r="AJ41" i="25" s="1"/>
  <c r="V41" i="25"/>
  <c r="W41" i="25" s="1"/>
  <c r="X41" i="25" s="1"/>
  <c r="Y41" i="25" s="1"/>
  <c r="Z41" i="25" s="1"/>
  <c r="AA41" i="25" s="1"/>
  <c r="AB41" i="25" s="1"/>
  <c r="N41" i="25"/>
  <c r="O41" i="25" s="1"/>
  <c r="P41" i="25" s="1"/>
  <c r="Q41" i="25" s="1"/>
  <c r="R41" i="25" s="1"/>
  <c r="S41" i="25" s="1"/>
  <c r="T41" i="25" s="1"/>
  <c r="F41" i="25"/>
  <c r="AL40" i="25"/>
  <c r="AM40" i="25" s="1"/>
  <c r="AN40" i="25" s="1"/>
  <c r="AO40" i="25" s="1"/>
  <c r="AP40" i="25" s="1"/>
  <c r="AQ40" i="25" s="1"/>
  <c r="AR40" i="25" s="1"/>
  <c r="AD40" i="25"/>
  <c r="AE40" i="25" s="1"/>
  <c r="AF40" i="25" s="1"/>
  <c r="AG40" i="25" s="1"/>
  <c r="AH40" i="25" s="1"/>
  <c r="AI40" i="25" s="1"/>
  <c r="AJ40" i="25" s="1"/>
  <c r="V40" i="25"/>
  <c r="W40" i="25" s="1"/>
  <c r="X40" i="25" s="1"/>
  <c r="Y40" i="25" s="1"/>
  <c r="Z40" i="25" s="1"/>
  <c r="AA40" i="25" s="1"/>
  <c r="AB40" i="25" s="1"/>
  <c r="N40" i="25"/>
  <c r="O40" i="25" s="1"/>
  <c r="P40" i="25" s="1"/>
  <c r="Q40" i="25" s="1"/>
  <c r="R40" i="25" s="1"/>
  <c r="S40" i="25" s="1"/>
  <c r="T40" i="25" s="1"/>
  <c r="F40" i="25"/>
  <c r="AL39" i="25"/>
  <c r="AM39" i="25" s="1"/>
  <c r="AN39" i="25" s="1"/>
  <c r="AO39" i="25" s="1"/>
  <c r="AP39" i="25" s="1"/>
  <c r="AQ39" i="25" s="1"/>
  <c r="AR39" i="25" s="1"/>
  <c r="AD39" i="25"/>
  <c r="AE39" i="25" s="1"/>
  <c r="AF39" i="25" s="1"/>
  <c r="AG39" i="25" s="1"/>
  <c r="AH39" i="25" s="1"/>
  <c r="AI39" i="25" s="1"/>
  <c r="AJ39" i="25" s="1"/>
  <c r="V39" i="25"/>
  <c r="W39" i="25" s="1"/>
  <c r="X39" i="25" s="1"/>
  <c r="Y39" i="25" s="1"/>
  <c r="Z39" i="25" s="1"/>
  <c r="AA39" i="25" s="1"/>
  <c r="AB39" i="25" s="1"/>
  <c r="N39" i="25"/>
  <c r="O39" i="25" s="1"/>
  <c r="P39" i="25" s="1"/>
  <c r="Q39" i="25" s="1"/>
  <c r="R39" i="25" s="1"/>
  <c r="S39" i="25" s="1"/>
  <c r="T39" i="25" s="1"/>
  <c r="F39" i="25"/>
  <c r="AL38" i="25"/>
  <c r="AM38" i="25" s="1"/>
  <c r="AN38" i="25" s="1"/>
  <c r="AO38" i="25" s="1"/>
  <c r="AP38" i="25" s="1"/>
  <c r="AQ38" i="25" s="1"/>
  <c r="AR38" i="25" s="1"/>
  <c r="AD38" i="25"/>
  <c r="AE38" i="25" s="1"/>
  <c r="AF38" i="25" s="1"/>
  <c r="AG38" i="25" s="1"/>
  <c r="AH38" i="25" s="1"/>
  <c r="AI38" i="25" s="1"/>
  <c r="AJ38" i="25" s="1"/>
  <c r="W38" i="25"/>
  <c r="X38" i="25" s="1"/>
  <c r="Y38" i="25" s="1"/>
  <c r="Z38" i="25" s="1"/>
  <c r="AA38" i="25" s="1"/>
  <c r="AB38" i="25" s="1"/>
  <c r="V38" i="25"/>
  <c r="N38" i="25"/>
  <c r="O38" i="25" s="1"/>
  <c r="P38" i="25" s="1"/>
  <c r="Q38" i="25" s="1"/>
  <c r="R38" i="25" s="1"/>
  <c r="S38" i="25" s="1"/>
  <c r="T38" i="25" s="1"/>
  <c r="F38" i="25"/>
  <c r="AL37" i="25"/>
  <c r="AM37" i="25" s="1"/>
  <c r="AN37" i="25" s="1"/>
  <c r="AO37" i="25" s="1"/>
  <c r="AP37" i="25" s="1"/>
  <c r="AQ37" i="25" s="1"/>
  <c r="AR37" i="25" s="1"/>
  <c r="AD37" i="25"/>
  <c r="AE37" i="25" s="1"/>
  <c r="AF37" i="25" s="1"/>
  <c r="AG37" i="25" s="1"/>
  <c r="AH37" i="25" s="1"/>
  <c r="AI37" i="25" s="1"/>
  <c r="AJ37" i="25" s="1"/>
  <c r="V37" i="25"/>
  <c r="W37" i="25" s="1"/>
  <c r="X37" i="25" s="1"/>
  <c r="Y37" i="25" s="1"/>
  <c r="Z37" i="25" s="1"/>
  <c r="AA37" i="25" s="1"/>
  <c r="AB37" i="25" s="1"/>
  <c r="N37" i="25"/>
  <c r="O37" i="25" s="1"/>
  <c r="P37" i="25" s="1"/>
  <c r="Q37" i="25" s="1"/>
  <c r="R37" i="25" s="1"/>
  <c r="S37" i="25" s="1"/>
  <c r="T37" i="25" s="1"/>
  <c r="F37" i="25"/>
  <c r="AL36" i="25"/>
  <c r="AM36" i="25" s="1"/>
  <c r="AN36" i="25" s="1"/>
  <c r="AO36" i="25" s="1"/>
  <c r="AP36" i="25" s="1"/>
  <c r="AQ36" i="25" s="1"/>
  <c r="AR36" i="25" s="1"/>
  <c r="AD36" i="25"/>
  <c r="AE36" i="25" s="1"/>
  <c r="AF36" i="25" s="1"/>
  <c r="AG36" i="25" s="1"/>
  <c r="AH36" i="25" s="1"/>
  <c r="AI36" i="25" s="1"/>
  <c r="AJ36" i="25" s="1"/>
  <c r="V36" i="25"/>
  <c r="W36" i="25" s="1"/>
  <c r="X36" i="25" s="1"/>
  <c r="Y36" i="25" s="1"/>
  <c r="Z36" i="25" s="1"/>
  <c r="AA36" i="25" s="1"/>
  <c r="AB36" i="25" s="1"/>
  <c r="N36" i="25"/>
  <c r="O36" i="25" s="1"/>
  <c r="P36" i="25" s="1"/>
  <c r="Q36" i="25" s="1"/>
  <c r="R36" i="25" s="1"/>
  <c r="S36" i="25" s="1"/>
  <c r="T36" i="25" s="1"/>
  <c r="F36" i="25"/>
  <c r="AL35" i="25"/>
  <c r="AM35" i="25" s="1"/>
  <c r="AN35" i="25" s="1"/>
  <c r="AO35" i="25" s="1"/>
  <c r="AP35" i="25" s="1"/>
  <c r="AQ35" i="25" s="1"/>
  <c r="AR35" i="25" s="1"/>
  <c r="AD35" i="25"/>
  <c r="AE35" i="25" s="1"/>
  <c r="AF35" i="25" s="1"/>
  <c r="AG35" i="25" s="1"/>
  <c r="AH35" i="25" s="1"/>
  <c r="AI35" i="25" s="1"/>
  <c r="AJ35" i="25" s="1"/>
  <c r="V35" i="25"/>
  <c r="W35" i="25" s="1"/>
  <c r="X35" i="25" s="1"/>
  <c r="Y35" i="25" s="1"/>
  <c r="Z35" i="25" s="1"/>
  <c r="AA35" i="25" s="1"/>
  <c r="AB35" i="25" s="1"/>
  <c r="N35" i="25"/>
  <c r="O35" i="25" s="1"/>
  <c r="P35" i="25" s="1"/>
  <c r="Q35" i="25" s="1"/>
  <c r="R35" i="25" s="1"/>
  <c r="S35" i="25" s="1"/>
  <c r="T35" i="25" s="1"/>
  <c r="F35" i="25"/>
  <c r="AL34" i="25"/>
  <c r="AM34" i="25" s="1"/>
  <c r="AN34" i="25" s="1"/>
  <c r="AO34" i="25" s="1"/>
  <c r="AP34" i="25" s="1"/>
  <c r="AQ34" i="25" s="1"/>
  <c r="AR34" i="25" s="1"/>
  <c r="AD34" i="25"/>
  <c r="AE34" i="25" s="1"/>
  <c r="AF34" i="25" s="1"/>
  <c r="AG34" i="25" s="1"/>
  <c r="AH34" i="25" s="1"/>
  <c r="AI34" i="25" s="1"/>
  <c r="AJ34" i="25" s="1"/>
  <c r="V34" i="25"/>
  <c r="W34" i="25" s="1"/>
  <c r="X34" i="25" s="1"/>
  <c r="Y34" i="25" s="1"/>
  <c r="Z34" i="25" s="1"/>
  <c r="AA34" i="25" s="1"/>
  <c r="AB34" i="25" s="1"/>
  <c r="N34" i="25"/>
  <c r="O34" i="25" s="1"/>
  <c r="P34" i="25" s="1"/>
  <c r="Q34" i="25" s="1"/>
  <c r="R34" i="25" s="1"/>
  <c r="S34" i="25" s="1"/>
  <c r="T34" i="25" s="1"/>
  <c r="F34" i="25"/>
  <c r="AL33" i="25"/>
  <c r="AM33" i="25" s="1"/>
  <c r="AN33" i="25" s="1"/>
  <c r="AO33" i="25" s="1"/>
  <c r="AP33" i="25" s="1"/>
  <c r="AQ33" i="25" s="1"/>
  <c r="AR33" i="25" s="1"/>
  <c r="AD33" i="25"/>
  <c r="AE33" i="25" s="1"/>
  <c r="AF33" i="25" s="1"/>
  <c r="AG33" i="25" s="1"/>
  <c r="AH33" i="25" s="1"/>
  <c r="AI33" i="25" s="1"/>
  <c r="AJ33" i="25" s="1"/>
  <c r="V33" i="25"/>
  <c r="W33" i="25" s="1"/>
  <c r="X33" i="25" s="1"/>
  <c r="Y33" i="25" s="1"/>
  <c r="Z33" i="25" s="1"/>
  <c r="AA33" i="25" s="1"/>
  <c r="AB33" i="25" s="1"/>
  <c r="N33" i="25"/>
  <c r="O33" i="25" s="1"/>
  <c r="P33" i="25" s="1"/>
  <c r="Q33" i="25" s="1"/>
  <c r="R33" i="25" s="1"/>
  <c r="S33" i="25" s="1"/>
  <c r="T33" i="25" s="1"/>
  <c r="F33" i="25"/>
  <c r="AL32" i="25"/>
  <c r="AM32" i="25" s="1"/>
  <c r="AN32" i="25" s="1"/>
  <c r="AO32" i="25" s="1"/>
  <c r="AP32" i="25" s="1"/>
  <c r="AQ32" i="25" s="1"/>
  <c r="AR32" i="25" s="1"/>
  <c r="AD32" i="25"/>
  <c r="AE32" i="25" s="1"/>
  <c r="AF32" i="25" s="1"/>
  <c r="AG32" i="25" s="1"/>
  <c r="AH32" i="25" s="1"/>
  <c r="AI32" i="25" s="1"/>
  <c r="AJ32" i="25" s="1"/>
  <c r="V32" i="25"/>
  <c r="W32" i="25" s="1"/>
  <c r="X32" i="25" s="1"/>
  <c r="Y32" i="25" s="1"/>
  <c r="Z32" i="25" s="1"/>
  <c r="AA32" i="25" s="1"/>
  <c r="AB32" i="25" s="1"/>
  <c r="N32" i="25"/>
  <c r="O32" i="25" s="1"/>
  <c r="P32" i="25" s="1"/>
  <c r="Q32" i="25" s="1"/>
  <c r="R32" i="25" s="1"/>
  <c r="S32" i="25" s="1"/>
  <c r="T32" i="25" s="1"/>
  <c r="F32" i="25"/>
  <c r="AL31" i="25"/>
  <c r="AM31" i="25" s="1"/>
  <c r="AN31" i="25" s="1"/>
  <c r="AO31" i="25" s="1"/>
  <c r="AP31" i="25" s="1"/>
  <c r="AQ31" i="25" s="1"/>
  <c r="AR31" i="25" s="1"/>
  <c r="AD31" i="25"/>
  <c r="AE31" i="25" s="1"/>
  <c r="AF31" i="25" s="1"/>
  <c r="AG31" i="25" s="1"/>
  <c r="AH31" i="25" s="1"/>
  <c r="AI31" i="25" s="1"/>
  <c r="AJ31" i="25" s="1"/>
  <c r="V31" i="25"/>
  <c r="W31" i="25" s="1"/>
  <c r="X31" i="25" s="1"/>
  <c r="Y31" i="25" s="1"/>
  <c r="Z31" i="25" s="1"/>
  <c r="AA31" i="25" s="1"/>
  <c r="AB31" i="25" s="1"/>
  <c r="N31" i="25"/>
  <c r="O31" i="25" s="1"/>
  <c r="P31" i="25" s="1"/>
  <c r="Q31" i="25" s="1"/>
  <c r="R31" i="25" s="1"/>
  <c r="S31" i="25" s="1"/>
  <c r="T31" i="25" s="1"/>
  <c r="F31" i="25"/>
  <c r="AL30" i="25"/>
  <c r="AM30" i="25" s="1"/>
  <c r="AN30" i="25" s="1"/>
  <c r="AO30" i="25" s="1"/>
  <c r="AP30" i="25" s="1"/>
  <c r="AQ30" i="25" s="1"/>
  <c r="AR30" i="25" s="1"/>
  <c r="AD30" i="25"/>
  <c r="AE30" i="25" s="1"/>
  <c r="AF30" i="25" s="1"/>
  <c r="AG30" i="25" s="1"/>
  <c r="AH30" i="25" s="1"/>
  <c r="AI30" i="25" s="1"/>
  <c r="AJ30" i="25" s="1"/>
  <c r="V30" i="25"/>
  <c r="W30" i="25" s="1"/>
  <c r="X30" i="25" s="1"/>
  <c r="Y30" i="25" s="1"/>
  <c r="Z30" i="25" s="1"/>
  <c r="AA30" i="25" s="1"/>
  <c r="AB30" i="25" s="1"/>
  <c r="N30" i="25"/>
  <c r="O30" i="25" s="1"/>
  <c r="P30" i="25" s="1"/>
  <c r="Q30" i="25" s="1"/>
  <c r="R30" i="25" s="1"/>
  <c r="S30" i="25" s="1"/>
  <c r="T30" i="25" s="1"/>
  <c r="F30" i="25"/>
  <c r="AL29" i="25"/>
  <c r="AM29" i="25" s="1"/>
  <c r="AN29" i="25" s="1"/>
  <c r="AO29" i="25" s="1"/>
  <c r="AP29" i="25" s="1"/>
  <c r="AQ29" i="25" s="1"/>
  <c r="AR29" i="25" s="1"/>
  <c r="AD29" i="25"/>
  <c r="AE29" i="25" s="1"/>
  <c r="AF29" i="25" s="1"/>
  <c r="AG29" i="25" s="1"/>
  <c r="AH29" i="25" s="1"/>
  <c r="AI29" i="25" s="1"/>
  <c r="AJ29" i="25" s="1"/>
  <c r="V29" i="25"/>
  <c r="W29" i="25" s="1"/>
  <c r="X29" i="25" s="1"/>
  <c r="Y29" i="25" s="1"/>
  <c r="Z29" i="25" s="1"/>
  <c r="AA29" i="25" s="1"/>
  <c r="AB29" i="25" s="1"/>
  <c r="N29" i="25"/>
  <c r="O29" i="25" s="1"/>
  <c r="P29" i="25" s="1"/>
  <c r="Q29" i="25" s="1"/>
  <c r="R29" i="25" s="1"/>
  <c r="S29" i="25" s="1"/>
  <c r="T29" i="25" s="1"/>
  <c r="F29" i="25"/>
  <c r="AL28" i="25"/>
  <c r="AM28" i="25" s="1"/>
  <c r="AN28" i="25" s="1"/>
  <c r="AO28" i="25" s="1"/>
  <c r="AP28" i="25" s="1"/>
  <c r="AQ28" i="25" s="1"/>
  <c r="AR28" i="25" s="1"/>
  <c r="AD28" i="25"/>
  <c r="AE28" i="25" s="1"/>
  <c r="AF28" i="25" s="1"/>
  <c r="AG28" i="25" s="1"/>
  <c r="AH28" i="25" s="1"/>
  <c r="AI28" i="25" s="1"/>
  <c r="AJ28" i="25" s="1"/>
  <c r="V28" i="25"/>
  <c r="W28" i="25" s="1"/>
  <c r="X28" i="25" s="1"/>
  <c r="Y28" i="25" s="1"/>
  <c r="Z28" i="25" s="1"/>
  <c r="AA28" i="25" s="1"/>
  <c r="AB28" i="25" s="1"/>
  <c r="N28" i="25"/>
  <c r="O28" i="25" s="1"/>
  <c r="P28" i="25" s="1"/>
  <c r="Q28" i="25" s="1"/>
  <c r="R28" i="25" s="1"/>
  <c r="S28" i="25" s="1"/>
  <c r="T28" i="25" s="1"/>
  <c r="F28" i="25"/>
  <c r="AL27" i="25"/>
  <c r="AM27" i="25" s="1"/>
  <c r="AN27" i="25" s="1"/>
  <c r="AO27" i="25" s="1"/>
  <c r="AP27" i="25" s="1"/>
  <c r="AQ27" i="25" s="1"/>
  <c r="AR27" i="25" s="1"/>
  <c r="AD27" i="25"/>
  <c r="AE27" i="25" s="1"/>
  <c r="AF27" i="25" s="1"/>
  <c r="AG27" i="25" s="1"/>
  <c r="AH27" i="25" s="1"/>
  <c r="AI27" i="25" s="1"/>
  <c r="AJ27" i="25" s="1"/>
  <c r="V27" i="25"/>
  <c r="W27" i="25" s="1"/>
  <c r="X27" i="25" s="1"/>
  <c r="Y27" i="25" s="1"/>
  <c r="Z27" i="25" s="1"/>
  <c r="AA27" i="25" s="1"/>
  <c r="AB27" i="25" s="1"/>
  <c r="N27" i="25"/>
  <c r="O27" i="25" s="1"/>
  <c r="P27" i="25" s="1"/>
  <c r="Q27" i="25" s="1"/>
  <c r="R27" i="25" s="1"/>
  <c r="S27" i="25" s="1"/>
  <c r="T27" i="25" s="1"/>
  <c r="F27" i="25"/>
  <c r="AL26" i="25"/>
  <c r="AM26" i="25" s="1"/>
  <c r="AN26" i="25" s="1"/>
  <c r="AO26" i="25" s="1"/>
  <c r="AP26" i="25" s="1"/>
  <c r="AQ26" i="25" s="1"/>
  <c r="AR26" i="25" s="1"/>
  <c r="AD26" i="25"/>
  <c r="AE26" i="25" s="1"/>
  <c r="AF26" i="25" s="1"/>
  <c r="AG26" i="25" s="1"/>
  <c r="AH26" i="25" s="1"/>
  <c r="AI26" i="25" s="1"/>
  <c r="AJ26" i="25" s="1"/>
  <c r="V26" i="25"/>
  <c r="W26" i="25" s="1"/>
  <c r="X26" i="25" s="1"/>
  <c r="Y26" i="25" s="1"/>
  <c r="Z26" i="25" s="1"/>
  <c r="AA26" i="25" s="1"/>
  <c r="AB26" i="25" s="1"/>
  <c r="N26" i="25"/>
  <c r="O26" i="25" s="1"/>
  <c r="P26" i="25" s="1"/>
  <c r="Q26" i="25" s="1"/>
  <c r="R26" i="25" s="1"/>
  <c r="S26" i="25" s="1"/>
  <c r="T26" i="25" s="1"/>
  <c r="F26" i="25"/>
  <c r="AL25" i="25"/>
  <c r="AM25" i="25" s="1"/>
  <c r="AN25" i="25" s="1"/>
  <c r="AO25" i="25" s="1"/>
  <c r="AP25" i="25" s="1"/>
  <c r="AQ25" i="25" s="1"/>
  <c r="AR25" i="25" s="1"/>
  <c r="AD25" i="25"/>
  <c r="AE25" i="25" s="1"/>
  <c r="AF25" i="25" s="1"/>
  <c r="AG25" i="25" s="1"/>
  <c r="AH25" i="25" s="1"/>
  <c r="AI25" i="25" s="1"/>
  <c r="AJ25" i="25" s="1"/>
  <c r="V25" i="25"/>
  <c r="W25" i="25" s="1"/>
  <c r="X25" i="25" s="1"/>
  <c r="Y25" i="25" s="1"/>
  <c r="Z25" i="25" s="1"/>
  <c r="AA25" i="25" s="1"/>
  <c r="AB25" i="25" s="1"/>
  <c r="N25" i="25"/>
  <c r="O25" i="25" s="1"/>
  <c r="P25" i="25" s="1"/>
  <c r="Q25" i="25" s="1"/>
  <c r="R25" i="25" s="1"/>
  <c r="S25" i="25" s="1"/>
  <c r="T25" i="25" s="1"/>
  <c r="F25" i="25"/>
  <c r="AL24" i="25"/>
  <c r="AM24" i="25" s="1"/>
  <c r="AN24" i="25" s="1"/>
  <c r="AO24" i="25" s="1"/>
  <c r="AP24" i="25" s="1"/>
  <c r="AQ24" i="25" s="1"/>
  <c r="AR24" i="25" s="1"/>
  <c r="AD24" i="25"/>
  <c r="AE24" i="25" s="1"/>
  <c r="AF24" i="25" s="1"/>
  <c r="AG24" i="25" s="1"/>
  <c r="AH24" i="25" s="1"/>
  <c r="AI24" i="25" s="1"/>
  <c r="AJ24" i="25" s="1"/>
  <c r="V24" i="25"/>
  <c r="W24" i="25" s="1"/>
  <c r="X24" i="25" s="1"/>
  <c r="Y24" i="25" s="1"/>
  <c r="Z24" i="25" s="1"/>
  <c r="AA24" i="25" s="1"/>
  <c r="AB24" i="25" s="1"/>
  <c r="N24" i="25"/>
  <c r="O24" i="25" s="1"/>
  <c r="P24" i="25" s="1"/>
  <c r="Q24" i="25" s="1"/>
  <c r="R24" i="25" s="1"/>
  <c r="S24" i="25" s="1"/>
  <c r="T24" i="25" s="1"/>
  <c r="F24" i="25"/>
  <c r="AL23" i="25"/>
  <c r="AM23" i="25" s="1"/>
  <c r="AN23" i="25" s="1"/>
  <c r="AO23" i="25" s="1"/>
  <c r="AP23" i="25" s="1"/>
  <c r="AQ23" i="25" s="1"/>
  <c r="AR23" i="25" s="1"/>
  <c r="AD23" i="25"/>
  <c r="AE23" i="25" s="1"/>
  <c r="AF23" i="25" s="1"/>
  <c r="AG23" i="25" s="1"/>
  <c r="AH23" i="25" s="1"/>
  <c r="AI23" i="25" s="1"/>
  <c r="AJ23" i="25" s="1"/>
  <c r="V23" i="25"/>
  <c r="W23" i="25" s="1"/>
  <c r="X23" i="25" s="1"/>
  <c r="Y23" i="25" s="1"/>
  <c r="Z23" i="25" s="1"/>
  <c r="AA23" i="25" s="1"/>
  <c r="AB23" i="25" s="1"/>
  <c r="N23" i="25"/>
  <c r="O23" i="25" s="1"/>
  <c r="P23" i="25" s="1"/>
  <c r="Q23" i="25" s="1"/>
  <c r="R23" i="25" s="1"/>
  <c r="S23" i="25" s="1"/>
  <c r="T23" i="25" s="1"/>
  <c r="F23" i="25"/>
  <c r="AL22" i="25"/>
  <c r="AM22" i="25" s="1"/>
  <c r="AN22" i="25" s="1"/>
  <c r="AO22" i="25" s="1"/>
  <c r="AP22" i="25" s="1"/>
  <c r="AQ22" i="25" s="1"/>
  <c r="AR22" i="25" s="1"/>
  <c r="AD22" i="25"/>
  <c r="AE22" i="25" s="1"/>
  <c r="AF22" i="25" s="1"/>
  <c r="AG22" i="25" s="1"/>
  <c r="AH22" i="25" s="1"/>
  <c r="AI22" i="25" s="1"/>
  <c r="AJ22" i="25" s="1"/>
  <c r="V22" i="25"/>
  <c r="W22" i="25" s="1"/>
  <c r="X22" i="25" s="1"/>
  <c r="Y22" i="25" s="1"/>
  <c r="Z22" i="25" s="1"/>
  <c r="AA22" i="25" s="1"/>
  <c r="AB22" i="25" s="1"/>
  <c r="N22" i="25"/>
  <c r="O22" i="25" s="1"/>
  <c r="P22" i="25" s="1"/>
  <c r="Q22" i="25" s="1"/>
  <c r="R22" i="25" s="1"/>
  <c r="S22" i="25" s="1"/>
  <c r="T22" i="25" s="1"/>
  <c r="F22" i="25"/>
  <c r="AL21" i="25"/>
  <c r="AM21" i="25" s="1"/>
  <c r="AN21" i="25" s="1"/>
  <c r="AO21" i="25" s="1"/>
  <c r="AP21" i="25" s="1"/>
  <c r="AQ21" i="25" s="1"/>
  <c r="AR21" i="25" s="1"/>
  <c r="AD21" i="25"/>
  <c r="AE21" i="25" s="1"/>
  <c r="AF21" i="25" s="1"/>
  <c r="AG21" i="25" s="1"/>
  <c r="AH21" i="25" s="1"/>
  <c r="AI21" i="25" s="1"/>
  <c r="AJ21" i="25" s="1"/>
  <c r="V21" i="25"/>
  <c r="W21" i="25" s="1"/>
  <c r="X21" i="25" s="1"/>
  <c r="Y21" i="25" s="1"/>
  <c r="Z21" i="25" s="1"/>
  <c r="AA21" i="25" s="1"/>
  <c r="AB21" i="25" s="1"/>
  <c r="N21" i="25"/>
  <c r="O21" i="25" s="1"/>
  <c r="P21" i="25" s="1"/>
  <c r="Q21" i="25" s="1"/>
  <c r="R21" i="25" s="1"/>
  <c r="S21" i="25" s="1"/>
  <c r="T21" i="25" s="1"/>
  <c r="F21" i="25"/>
  <c r="AL20" i="25"/>
  <c r="AM20" i="25" s="1"/>
  <c r="AN20" i="25" s="1"/>
  <c r="AO20" i="25" s="1"/>
  <c r="AP20" i="25" s="1"/>
  <c r="AQ20" i="25" s="1"/>
  <c r="AR20" i="25" s="1"/>
  <c r="AD20" i="25"/>
  <c r="AE20" i="25" s="1"/>
  <c r="AF20" i="25" s="1"/>
  <c r="AG20" i="25" s="1"/>
  <c r="AH20" i="25" s="1"/>
  <c r="AI20" i="25" s="1"/>
  <c r="AJ20" i="25" s="1"/>
  <c r="V20" i="25"/>
  <c r="W20" i="25" s="1"/>
  <c r="X20" i="25" s="1"/>
  <c r="Y20" i="25" s="1"/>
  <c r="Z20" i="25" s="1"/>
  <c r="AA20" i="25" s="1"/>
  <c r="AB20" i="25" s="1"/>
  <c r="N20" i="25"/>
  <c r="O20" i="25" s="1"/>
  <c r="P20" i="25" s="1"/>
  <c r="Q20" i="25" s="1"/>
  <c r="R20" i="25" s="1"/>
  <c r="S20" i="25" s="1"/>
  <c r="T20" i="25" s="1"/>
  <c r="F20" i="25"/>
  <c r="AL19" i="25"/>
  <c r="AM19" i="25" s="1"/>
  <c r="AN19" i="25" s="1"/>
  <c r="AO19" i="25" s="1"/>
  <c r="AP19" i="25" s="1"/>
  <c r="AQ19" i="25" s="1"/>
  <c r="AR19" i="25" s="1"/>
  <c r="AD19" i="25"/>
  <c r="AE19" i="25" s="1"/>
  <c r="AF19" i="25" s="1"/>
  <c r="AG19" i="25" s="1"/>
  <c r="AH19" i="25" s="1"/>
  <c r="AI19" i="25" s="1"/>
  <c r="AJ19" i="25" s="1"/>
  <c r="V19" i="25"/>
  <c r="W19" i="25" s="1"/>
  <c r="X19" i="25" s="1"/>
  <c r="Y19" i="25" s="1"/>
  <c r="Z19" i="25" s="1"/>
  <c r="AA19" i="25" s="1"/>
  <c r="AB19" i="25" s="1"/>
  <c r="N19" i="25"/>
  <c r="O19" i="25" s="1"/>
  <c r="P19" i="25" s="1"/>
  <c r="Q19" i="25" s="1"/>
  <c r="R19" i="25" s="1"/>
  <c r="S19" i="25" s="1"/>
  <c r="T19" i="25" s="1"/>
  <c r="F19" i="25"/>
  <c r="AL18" i="25"/>
  <c r="AM18" i="25" s="1"/>
  <c r="AN18" i="25" s="1"/>
  <c r="AO18" i="25" s="1"/>
  <c r="AP18" i="25" s="1"/>
  <c r="AQ18" i="25" s="1"/>
  <c r="AR18" i="25" s="1"/>
  <c r="AD18" i="25"/>
  <c r="AE18" i="25" s="1"/>
  <c r="AF18" i="25" s="1"/>
  <c r="AG18" i="25" s="1"/>
  <c r="AH18" i="25" s="1"/>
  <c r="AI18" i="25" s="1"/>
  <c r="AJ18" i="25" s="1"/>
  <c r="V18" i="25"/>
  <c r="W18" i="25" s="1"/>
  <c r="X18" i="25" s="1"/>
  <c r="Y18" i="25" s="1"/>
  <c r="Z18" i="25" s="1"/>
  <c r="AA18" i="25" s="1"/>
  <c r="AB18" i="25" s="1"/>
  <c r="N18" i="25"/>
  <c r="O18" i="25" s="1"/>
  <c r="P18" i="25" s="1"/>
  <c r="Q18" i="25" s="1"/>
  <c r="R18" i="25" s="1"/>
  <c r="S18" i="25" s="1"/>
  <c r="T18" i="25" s="1"/>
  <c r="F18" i="25"/>
  <c r="AL17" i="25"/>
  <c r="AM17" i="25" s="1"/>
  <c r="AN17" i="25" s="1"/>
  <c r="AO17" i="25" s="1"/>
  <c r="AP17" i="25" s="1"/>
  <c r="AQ17" i="25" s="1"/>
  <c r="AR17" i="25" s="1"/>
  <c r="AD17" i="25"/>
  <c r="AE17" i="25" s="1"/>
  <c r="AF17" i="25" s="1"/>
  <c r="AG17" i="25" s="1"/>
  <c r="AH17" i="25" s="1"/>
  <c r="AI17" i="25" s="1"/>
  <c r="AJ17" i="25" s="1"/>
  <c r="V17" i="25"/>
  <c r="W17" i="25" s="1"/>
  <c r="X17" i="25" s="1"/>
  <c r="Y17" i="25" s="1"/>
  <c r="Z17" i="25" s="1"/>
  <c r="AA17" i="25" s="1"/>
  <c r="AB17" i="25" s="1"/>
  <c r="N17" i="25"/>
  <c r="O17" i="25" s="1"/>
  <c r="P17" i="25" s="1"/>
  <c r="Q17" i="25" s="1"/>
  <c r="R17" i="25" s="1"/>
  <c r="S17" i="25" s="1"/>
  <c r="T17" i="25" s="1"/>
  <c r="F17" i="25"/>
  <c r="AL16" i="25"/>
  <c r="AM16" i="25" s="1"/>
  <c r="AN16" i="25" s="1"/>
  <c r="AO16" i="25" s="1"/>
  <c r="AP16" i="25" s="1"/>
  <c r="AQ16" i="25" s="1"/>
  <c r="AR16" i="25" s="1"/>
  <c r="AD16" i="25"/>
  <c r="AE16" i="25" s="1"/>
  <c r="AF16" i="25" s="1"/>
  <c r="AG16" i="25" s="1"/>
  <c r="AH16" i="25" s="1"/>
  <c r="AI16" i="25" s="1"/>
  <c r="AJ16" i="25" s="1"/>
  <c r="V16" i="25"/>
  <c r="W16" i="25" s="1"/>
  <c r="X16" i="25" s="1"/>
  <c r="Y16" i="25" s="1"/>
  <c r="Z16" i="25" s="1"/>
  <c r="AA16" i="25" s="1"/>
  <c r="AB16" i="25" s="1"/>
  <c r="N16" i="25"/>
  <c r="O16" i="25" s="1"/>
  <c r="P16" i="25" s="1"/>
  <c r="Q16" i="25" s="1"/>
  <c r="R16" i="25" s="1"/>
  <c r="S16" i="25" s="1"/>
  <c r="T16" i="25" s="1"/>
  <c r="F16" i="25"/>
  <c r="AL15" i="25"/>
  <c r="AM15" i="25" s="1"/>
  <c r="AN15" i="25" s="1"/>
  <c r="AO15" i="25" s="1"/>
  <c r="AP15" i="25" s="1"/>
  <c r="AQ15" i="25" s="1"/>
  <c r="AR15" i="25" s="1"/>
  <c r="AD15" i="25"/>
  <c r="AE15" i="25" s="1"/>
  <c r="AF15" i="25" s="1"/>
  <c r="AG15" i="25" s="1"/>
  <c r="AH15" i="25" s="1"/>
  <c r="AI15" i="25" s="1"/>
  <c r="AJ15" i="25" s="1"/>
  <c r="V15" i="25"/>
  <c r="W15" i="25" s="1"/>
  <c r="X15" i="25" s="1"/>
  <c r="Y15" i="25" s="1"/>
  <c r="Z15" i="25" s="1"/>
  <c r="AA15" i="25" s="1"/>
  <c r="AB15" i="25" s="1"/>
  <c r="N15" i="25"/>
  <c r="O15" i="25" s="1"/>
  <c r="P15" i="25" s="1"/>
  <c r="Q15" i="25" s="1"/>
  <c r="R15" i="25" s="1"/>
  <c r="S15" i="25" s="1"/>
  <c r="T15" i="25" s="1"/>
  <c r="F15" i="25"/>
  <c r="AL14" i="25"/>
  <c r="AM14" i="25" s="1"/>
  <c r="AN14" i="25" s="1"/>
  <c r="AO14" i="25" s="1"/>
  <c r="AP14" i="25" s="1"/>
  <c r="AQ14" i="25" s="1"/>
  <c r="AR14" i="25" s="1"/>
  <c r="AD14" i="25"/>
  <c r="AE14" i="25" s="1"/>
  <c r="AF14" i="25" s="1"/>
  <c r="AG14" i="25" s="1"/>
  <c r="AH14" i="25" s="1"/>
  <c r="AI14" i="25" s="1"/>
  <c r="AJ14" i="25" s="1"/>
  <c r="V14" i="25"/>
  <c r="W14" i="25" s="1"/>
  <c r="X14" i="25" s="1"/>
  <c r="Y14" i="25" s="1"/>
  <c r="Z14" i="25" s="1"/>
  <c r="AA14" i="25" s="1"/>
  <c r="AB14" i="25" s="1"/>
  <c r="N14" i="25"/>
  <c r="O14" i="25" s="1"/>
  <c r="P14" i="25" s="1"/>
  <c r="Q14" i="25" s="1"/>
  <c r="R14" i="25" s="1"/>
  <c r="S14" i="25" s="1"/>
  <c r="T14" i="25" s="1"/>
  <c r="F14" i="25"/>
  <c r="AL13" i="25"/>
  <c r="AM13" i="25" s="1"/>
  <c r="AN13" i="25" s="1"/>
  <c r="AO13" i="25" s="1"/>
  <c r="AP13" i="25" s="1"/>
  <c r="AQ13" i="25" s="1"/>
  <c r="AR13" i="25" s="1"/>
  <c r="AD13" i="25"/>
  <c r="AE13" i="25" s="1"/>
  <c r="AF13" i="25" s="1"/>
  <c r="AG13" i="25" s="1"/>
  <c r="AH13" i="25" s="1"/>
  <c r="AI13" i="25" s="1"/>
  <c r="AJ13" i="25" s="1"/>
  <c r="V13" i="25"/>
  <c r="W13" i="25" s="1"/>
  <c r="X13" i="25" s="1"/>
  <c r="Y13" i="25" s="1"/>
  <c r="Z13" i="25" s="1"/>
  <c r="AA13" i="25" s="1"/>
  <c r="AB13" i="25" s="1"/>
  <c r="N13" i="25"/>
  <c r="O13" i="25" s="1"/>
  <c r="P13" i="25" s="1"/>
  <c r="Q13" i="25" s="1"/>
  <c r="R13" i="25" s="1"/>
  <c r="S13" i="25" s="1"/>
  <c r="T13" i="25" s="1"/>
  <c r="F13" i="25"/>
  <c r="AL12" i="25"/>
  <c r="AM12" i="25" s="1"/>
  <c r="AN12" i="25" s="1"/>
  <c r="AO12" i="25" s="1"/>
  <c r="AP12" i="25" s="1"/>
  <c r="AQ12" i="25" s="1"/>
  <c r="AR12" i="25" s="1"/>
  <c r="AD12" i="25"/>
  <c r="AE12" i="25" s="1"/>
  <c r="AF12" i="25" s="1"/>
  <c r="AG12" i="25" s="1"/>
  <c r="AH12" i="25" s="1"/>
  <c r="AI12" i="25" s="1"/>
  <c r="AJ12" i="25" s="1"/>
  <c r="V12" i="25"/>
  <c r="W12" i="25" s="1"/>
  <c r="X12" i="25" s="1"/>
  <c r="Y12" i="25" s="1"/>
  <c r="Z12" i="25" s="1"/>
  <c r="AA12" i="25" s="1"/>
  <c r="AB12" i="25" s="1"/>
  <c r="N12" i="25"/>
  <c r="O12" i="25" s="1"/>
  <c r="P12" i="25" s="1"/>
  <c r="Q12" i="25" s="1"/>
  <c r="R12" i="25" s="1"/>
  <c r="S12" i="25" s="1"/>
  <c r="T12" i="25" s="1"/>
  <c r="F12" i="25"/>
  <c r="AL11" i="25"/>
  <c r="AM11" i="25" s="1"/>
  <c r="AN11" i="25" s="1"/>
  <c r="AO11" i="25" s="1"/>
  <c r="AP11" i="25" s="1"/>
  <c r="AQ11" i="25" s="1"/>
  <c r="AR11" i="25" s="1"/>
  <c r="AD11" i="25"/>
  <c r="AE11" i="25" s="1"/>
  <c r="AF11" i="25" s="1"/>
  <c r="AG11" i="25" s="1"/>
  <c r="AH11" i="25" s="1"/>
  <c r="AI11" i="25" s="1"/>
  <c r="AJ11" i="25" s="1"/>
  <c r="V11" i="25"/>
  <c r="W11" i="25" s="1"/>
  <c r="X11" i="25" s="1"/>
  <c r="Y11" i="25" s="1"/>
  <c r="Z11" i="25" s="1"/>
  <c r="AA11" i="25" s="1"/>
  <c r="AB11" i="25" s="1"/>
  <c r="N11" i="25"/>
  <c r="O11" i="25" s="1"/>
  <c r="P11" i="25" s="1"/>
  <c r="Q11" i="25" s="1"/>
  <c r="R11" i="25" s="1"/>
  <c r="S11" i="25" s="1"/>
  <c r="T11" i="25" s="1"/>
  <c r="J11" i="25"/>
  <c r="K11" i="25" s="1"/>
  <c r="L11" i="25" s="1"/>
  <c r="F11" i="25"/>
  <c r="AL10" i="25"/>
  <c r="AD10" i="25"/>
  <c r="V10" i="25"/>
  <c r="O10" i="25"/>
  <c r="N10" i="25"/>
  <c r="N74" i="25" s="1"/>
  <c r="F10" i="25"/>
  <c r="BB5" i="25"/>
  <c r="AS74" i="24"/>
  <c r="AK74" i="24"/>
  <c r="AC74" i="24"/>
  <c r="U74" i="24"/>
  <c r="M74" i="24"/>
  <c r="E74" i="24"/>
  <c r="AZ73" i="24"/>
  <c r="AT73" i="24"/>
  <c r="AU73" i="24" s="1"/>
  <c r="AV73" i="24" s="1"/>
  <c r="AW73" i="24" s="1"/>
  <c r="AX73" i="24" s="1"/>
  <c r="AY73" i="24" s="1"/>
  <c r="AR73" i="24"/>
  <c r="AM73" i="24"/>
  <c r="AN73" i="24" s="1"/>
  <c r="AO73" i="24" s="1"/>
  <c r="AP73" i="24" s="1"/>
  <c r="AQ73" i="24" s="1"/>
  <c r="AL73" i="24"/>
  <c r="AE73" i="24"/>
  <c r="AF73" i="24" s="1"/>
  <c r="AG73" i="24" s="1"/>
  <c r="AH73" i="24" s="1"/>
  <c r="AI73" i="24" s="1"/>
  <c r="AJ73" i="24" s="1"/>
  <c r="AD73" i="24"/>
  <c r="Y73" i="24"/>
  <c r="Z73" i="24" s="1"/>
  <c r="AA73" i="24" s="1"/>
  <c r="AB73" i="24" s="1"/>
  <c r="W73" i="24"/>
  <c r="X73" i="24" s="1"/>
  <c r="V73" i="24"/>
  <c r="Q73" i="24"/>
  <c r="R73" i="24" s="1"/>
  <c r="S73" i="24" s="1"/>
  <c r="T73" i="24" s="1"/>
  <c r="P73" i="24"/>
  <c r="N73" i="24"/>
  <c r="O73" i="24" s="1"/>
  <c r="I73" i="24"/>
  <c r="G73" i="24"/>
  <c r="H73" i="24" s="1"/>
  <c r="F73" i="24"/>
  <c r="AT72" i="24"/>
  <c r="AU72" i="24" s="1"/>
  <c r="AV72" i="24" s="1"/>
  <c r="AW72" i="24" s="1"/>
  <c r="AX72" i="24" s="1"/>
  <c r="AY72" i="24" s="1"/>
  <c r="AZ72" i="24" s="1"/>
  <c r="AL72" i="24"/>
  <c r="AM72" i="24" s="1"/>
  <c r="AN72" i="24" s="1"/>
  <c r="AO72" i="24" s="1"/>
  <c r="AP72" i="24" s="1"/>
  <c r="AQ72" i="24" s="1"/>
  <c r="AR72" i="24" s="1"/>
  <c r="AF72" i="24"/>
  <c r="AG72" i="24" s="1"/>
  <c r="AH72" i="24" s="1"/>
  <c r="AI72" i="24" s="1"/>
  <c r="AJ72" i="24" s="1"/>
  <c r="AE72" i="24"/>
  <c r="AD72" i="24"/>
  <c r="AA72" i="24"/>
  <c r="AB72" i="24" s="1"/>
  <c r="X72" i="24"/>
  <c r="Y72" i="24" s="1"/>
  <c r="Z72" i="24" s="1"/>
  <c r="V72" i="24"/>
  <c r="W72" i="24" s="1"/>
  <c r="Q72" i="24"/>
  <c r="R72" i="24" s="1"/>
  <c r="S72" i="24" s="1"/>
  <c r="T72" i="24" s="1"/>
  <c r="O72" i="24"/>
  <c r="P72" i="24" s="1"/>
  <c r="N72" i="24"/>
  <c r="J72" i="24"/>
  <c r="K72" i="24" s="1"/>
  <c r="L72" i="24" s="1"/>
  <c r="F72" i="24"/>
  <c r="G72" i="24" s="1"/>
  <c r="H72" i="24" s="1"/>
  <c r="I72" i="24" s="1"/>
  <c r="AT71" i="24"/>
  <c r="AU71" i="24" s="1"/>
  <c r="AV71" i="24" s="1"/>
  <c r="AW71" i="24" s="1"/>
  <c r="AX71" i="24" s="1"/>
  <c r="AY71" i="24" s="1"/>
  <c r="AZ71" i="24" s="1"/>
  <c r="AL71" i="24"/>
  <c r="AM71" i="24" s="1"/>
  <c r="AN71" i="24" s="1"/>
  <c r="AO71" i="24" s="1"/>
  <c r="AP71" i="24" s="1"/>
  <c r="AQ71" i="24" s="1"/>
  <c r="AR71" i="24" s="1"/>
  <c r="AD71" i="24"/>
  <c r="AE71" i="24" s="1"/>
  <c r="AF71" i="24" s="1"/>
  <c r="AG71" i="24" s="1"/>
  <c r="AH71" i="24" s="1"/>
  <c r="AI71" i="24" s="1"/>
  <c r="AJ71" i="24" s="1"/>
  <c r="X71" i="24"/>
  <c r="Y71" i="24" s="1"/>
  <c r="Z71" i="24" s="1"/>
  <c r="AA71" i="24" s="1"/>
  <c r="AB71" i="24" s="1"/>
  <c r="W71" i="24"/>
  <c r="V71" i="24"/>
  <c r="N71" i="24"/>
  <c r="O71" i="24" s="1"/>
  <c r="P71" i="24" s="1"/>
  <c r="Q71" i="24" s="1"/>
  <c r="R71" i="24" s="1"/>
  <c r="S71" i="24" s="1"/>
  <c r="T71" i="24" s="1"/>
  <c r="I71" i="24"/>
  <c r="J71" i="24" s="1"/>
  <c r="K71" i="24" s="1"/>
  <c r="L71" i="24" s="1"/>
  <c r="G71" i="24"/>
  <c r="H71" i="24" s="1"/>
  <c r="F71" i="24"/>
  <c r="AU70" i="24"/>
  <c r="AV70" i="24" s="1"/>
  <c r="AW70" i="24" s="1"/>
  <c r="AX70" i="24" s="1"/>
  <c r="AY70" i="24" s="1"/>
  <c r="AZ70" i="24" s="1"/>
  <c r="AT70" i="24"/>
  <c r="AM70" i="24"/>
  <c r="AN70" i="24" s="1"/>
  <c r="AO70" i="24" s="1"/>
  <c r="AP70" i="24" s="1"/>
  <c r="AQ70" i="24" s="1"/>
  <c r="AR70" i="24" s="1"/>
  <c r="AL70" i="24"/>
  <c r="AI70" i="24"/>
  <c r="AJ70" i="24" s="1"/>
  <c r="AE70" i="24"/>
  <c r="AF70" i="24" s="1"/>
  <c r="AG70" i="24" s="1"/>
  <c r="AH70" i="24" s="1"/>
  <c r="AD70" i="24"/>
  <c r="X70" i="24"/>
  <c r="Y70" i="24" s="1"/>
  <c r="Z70" i="24" s="1"/>
  <c r="AA70" i="24" s="1"/>
  <c r="AB70" i="24" s="1"/>
  <c r="V70" i="24"/>
  <c r="W70" i="24" s="1"/>
  <c r="Q70" i="24"/>
  <c r="R70" i="24" s="1"/>
  <c r="S70" i="24" s="1"/>
  <c r="T70" i="24" s="1"/>
  <c r="O70" i="24"/>
  <c r="P70" i="24" s="1"/>
  <c r="N70" i="24"/>
  <c r="G70" i="24"/>
  <c r="F70" i="24"/>
  <c r="AV69" i="24"/>
  <c r="AW69" i="24" s="1"/>
  <c r="AX69" i="24" s="1"/>
  <c r="AY69" i="24" s="1"/>
  <c r="AZ69" i="24" s="1"/>
  <c r="AT69" i="24"/>
  <c r="AU69" i="24" s="1"/>
  <c r="AN69" i="24"/>
  <c r="AO69" i="24" s="1"/>
  <c r="AP69" i="24" s="1"/>
  <c r="AQ69" i="24" s="1"/>
  <c r="AR69" i="24" s="1"/>
  <c r="AM69" i="24"/>
  <c r="AL69" i="24"/>
  <c r="AD69" i="24"/>
  <c r="AE69" i="24" s="1"/>
  <c r="AF69" i="24" s="1"/>
  <c r="AG69" i="24" s="1"/>
  <c r="AH69" i="24" s="1"/>
  <c r="AI69" i="24" s="1"/>
  <c r="AJ69" i="24" s="1"/>
  <c r="W69" i="24"/>
  <c r="X69" i="24" s="1"/>
  <c r="Y69" i="24" s="1"/>
  <c r="Z69" i="24" s="1"/>
  <c r="AA69" i="24" s="1"/>
  <c r="AB69" i="24" s="1"/>
  <c r="V69" i="24"/>
  <c r="N69" i="24"/>
  <c r="O69" i="24" s="1"/>
  <c r="P69" i="24" s="1"/>
  <c r="Q69" i="24" s="1"/>
  <c r="R69" i="24" s="1"/>
  <c r="S69" i="24" s="1"/>
  <c r="T69" i="24" s="1"/>
  <c r="H69" i="24"/>
  <c r="I69" i="24" s="1"/>
  <c r="J69" i="24" s="1"/>
  <c r="K69" i="24" s="1"/>
  <c r="L69" i="24" s="1"/>
  <c r="G69" i="24"/>
  <c r="F69" i="24"/>
  <c r="AT68" i="24"/>
  <c r="AU68" i="24" s="1"/>
  <c r="AV68" i="24" s="1"/>
  <c r="AW68" i="24" s="1"/>
  <c r="AX68" i="24" s="1"/>
  <c r="AY68" i="24" s="1"/>
  <c r="AZ68" i="24" s="1"/>
  <c r="AO68" i="24"/>
  <c r="AP68" i="24" s="1"/>
  <c r="AQ68" i="24" s="1"/>
  <c r="AR68" i="24" s="1"/>
  <c r="AN68" i="24"/>
  <c r="AL68" i="24"/>
  <c r="AM68" i="24" s="1"/>
  <c r="AI68" i="24"/>
  <c r="AJ68" i="24" s="1"/>
  <c r="AE68" i="24"/>
  <c r="AF68" i="24" s="1"/>
  <c r="AG68" i="24" s="1"/>
  <c r="AH68" i="24" s="1"/>
  <c r="AD68" i="24"/>
  <c r="W68" i="24"/>
  <c r="X68" i="24" s="1"/>
  <c r="Y68" i="24" s="1"/>
  <c r="Z68" i="24" s="1"/>
  <c r="AA68" i="24" s="1"/>
  <c r="AB68" i="24" s="1"/>
  <c r="V68" i="24"/>
  <c r="N68" i="24"/>
  <c r="O68" i="24" s="1"/>
  <c r="P68" i="24" s="1"/>
  <c r="Q68" i="24" s="1"/>
  <c r="R68" i="24" s="1"/>
  <c r="S68" i="24" s="1"/>
  <c r="T68" i="24" s="1"/>
  <c r="F68" i="24"/>
  <c r="AT67" i="24"/>
  <c r="AU67" i="24" s="1"/>
  <c r="AV67" i="24" s="1"/>
  <c r="AW67" i="24" s="1"/>
  <c r="AX67" i="24" s="1"/>
  <c r="AY67" i="24" s="1"/>
  <c r="AZ67" i="24" s="1"/>
  <c r="AO67" i="24"/>
  <c r="AP67" i="24" s="1"/>
  <c r="AQ67" i="24" s="1"/>
  <c r="AR67" i="24" s="1"/>
  <c r="AL67" i="24"/>
  <c r="AM67" i="24" s="1"/>
  <c r="AN67" i="24" s="1"/>
  <c r="AH67" i="24"/>
  <c r="AI67" i="24" s="1"/>
  <c r="AJ67" i="24" s="1"/>
  <c r="AG67" i="24"/>
  <c r="AF67" i="24"/>
  <c r="AD67" i="24"/>
  <c r="AE67" i="24" s="1"/>
  <c r="W67" i="24"/>
  <c r="X67" i="24" s="1"/>
  <c r="Y67" i="24" s="1"/>
  <c r="Z67" i="24" s="1"/>
  <c r="AA67" i="24" s="1"/>
  <c r="AB67" i="24" s="1"/>
  <c r="V67" i="24"/>
  <c r="T67" i="24"/>
  <c r="O67" i="24"/>
  <c r="P67" i="24" s="1"/>
  <c r="Q67" i="24" s="1"/>
  <c r="R67" i="24" s="1"/>
  <c r="S67" i="24" s="1"/>
  <c r="N67" i="24"/>
  <c r="F67" i="24"/>
  <c r="AW66" i="24"/>
  <c r="AX66" i="24" s="1"/>
  <c r="AY66" i="24" s="1"/>
  <c r="AZ66" i="24" s="1"/>
  <c r="AV66" i="24"/>
  <c r="AU66" i="24"/>
  <c r="AT66" i="24"/>
  <c r="AL66" i="24"/>
  <c r="AM66" i="24" s="1"/>
  <c r="AN66" i="24" s="1"/>
  <c r="AO66" i="24" s="1"/>
  <c r="AP66" i="24" s="1"/>
  <c r="AQ66" i="24" s="1"/>
  <c r="AR66" i="24" s="1"/>
  <c r="AG66" i="24"/>
  <c r="AH66" i="24" s="1"/>
  <c r="AI66" i="24" s="1"/>
  <c r="AJ66" i="24" s="1"/>
  <c r="AF66" i="24"/>
  <c r="AD66" i="24"/>
  <c r="AE66" i="24" s="1"/>
  <c r="X66" i="24"/>
  <c r="Y66" i="24" s="1"/>
  <c r="Z66" i="24" s="1"/>
  <c r="AA66" i="24" s="1"/>
  <c r="AB66" i="24" s="1"/>
  <c r="W66" i="24"/>
  <c r="V66" i="24"/>
  <c r="S66" i="24"/>
  <c r="T66" i="24" s="1"/>
  <c r="N66" i="24"/>
  <c r="O66" i="24" s="1"/>
  <c r="P66" i="24" s="1"/>
  <c r="Q66" i="24" s="1"/>
  <c r="R66" i="24" s="1"/>
  <c r="G66" i="24"/>
  <c r="F66" i="24"/>
  <c r="AW65" i="24"/>
  <c r="AX65" i="24" s="1"/>
  <c r="AY65" i="24" s="1"/>
  <c r="AZ65" i="24" s="1"/>
  <c r="AV65" i="24"/>
  <c r="AU65" i="24"/>
  <c r="AT65" i="24"/>
  <c r="AL65" i="24"/>
  <c r="AM65" i="24" s="1"/>
  <c r="AN65" i="24" s="1"/>
  <c r="AO65" i="24" s="1"/>
  <c r="AP65" i="24" s="1"/>
  <c r="AQ65" i="24" s="1"/>
  <c r="AR65" i="24" s="1"/>
  <c r="AI65" i="24"/>
  <c r="AJ65" i="24" s="1"/>
  <c r="AD65" i="24"/>
  <c r="AE65" i="24" s="1"/>
  <c r="AF65" i="24" s="1"/>
  <c r="AG65" i="24" s="1"/>
  <c r="AH65" i="24" s="1"/>
  <c r="X65" i="24"/>
  <c r="Y65" i="24" s="1"/>
  <c r="Z65" i="24" s="1"/>
  <c r="AA65" i="24" s="1"/>
  <c r="AB65" i="24" s="1"/>
  <c r="V65" i="24"/>
  <c r="W65" i="24" s="1"/>
  <c r="O65" i="24"/>
  <c r="P65" i="24" s="1"/>
  <c r="Q65" i="24" s="1"/>
  <c r="R65" i="24" s="1"/>
  <c r="S65" i="24" s="1"/>
  <c r="T65" i="24" s="1"/>
  <c r="N65" i="24"/>
  <c r="H65" i="24"/>
  <c r="I65" i="24" s="1"/>
  <c r="J65" i="24" s="1"/>
  <c r="K65" i="24" s="1"/>
  <c r="L65" i="24" s="1"/>
  <c r="G65" i="24"/>
  <c r="F65" i="24"/>
  <c r="AT64" i="24"/>
  <c r="AU64" i="24" s="1"/>
  <c r="AV64" i="24" s="1"/>
  <c r="AW64" i="24" s="1"/>
  <c r="AX64" i="24" s="1"/>
  <c r="AY64" i="24" s="1"/>
  <c r="AZ64" i="24" s="1"/>
  <c r="AN64" i="24"/>
  <c r="AO64" i="24" s="1"/>
  <c r="AP64" i="24" s="1"/>
  <c r="AQ64" i="24" s="1"/>
  <c r="AR64" i="24" s="1"/>
  <c r="AM64" i="24"/>
  <c r="AL64" i="24"/>
  <c r="AF64" i="24"/>
  <c r="AG64" i="24" s="1"/>
  <c r="AH64" i="24" s="1"/>
  <c r="AI64" i="24" s="1"/>
  <c r="AJ64" i="24" s="1"/>
  <c r="AE64" i="24"/>
  <c r="AD64" i="24"/>
  <c r="Y64" i="24"/>
  <c r="Z64" i="24" s="1"/>
  <c r="AA64" i="24" s="1"/>
  <c r="AB64" i="24" s="1"/>
  <c r="W64" i="24"/>
  <c r="X64" i="24" s="1"/>
  <c r="V64" i="24"/>
  <c r="R64" i="24"/>
  <c r="S64" i="24" s="1"/>
  <c r="T64" i="24" s="1"/>
  <c r="Q64" i="24"/>
  <c r="N64" i="24"/>
  <c r="O64" i="24" s="1"/>
  <c r="P64" i="24" s="1"/>
  <c r="K64" i="24"/>
  <c r="H64" i="24"/>
  <c r="I64" i="24" s="1"/>
  <c r="J64" i="24" s="1"/>
  <c r="G64" i="24"/>
  <c r="F64" i="24"/>
  <c r="AU63" i="24"/>
  <c r="AV63" i="24" s="1"/>
  <c r="AW63" i="24" s="1"/>
  <c r="AX63" i="24" s="1"/>
  <c r="AY63" i="24" s="1"/>
  <c r="AZ63" i="24" s="1"/>
  <c r="AT63" i="24"/>
  <c r="AN63" i="24"/>
  <c r="AO63" i="24" s="1"/>
  <c r="AP63" i="24" s="1"/>
  <c r="AQ63" i="24" s="1"/>
  <c r="AR63" i="24" s="1"/>
  <c r="AL63" i="24"/>
  <c r="AM63" i="24" s="1"/>
  <c r="AI63" i="24"/>
  <c r="AJ63" i="24" s="1"/>
  <c r="AE63" i="24"/>
  <c r="AF63" i="24" s="1"/>
  <c r="AG63" i="24" s="1"/>
  <c r="AH63" i="24" s="1"/>
  <c r="AD63" i="24"/>
  <c r="X63" i="24"/>
  <c r="Y63" i="24" s="1"/>
  <c r="Z63" i="24" s="1"/>
  <c r="AA63" i="24" s="1"/>
  <c r="AB63" i="24" s="1"/>
  <c r="W63" i="24"/>
  <c r="V63" i="24"/>
  <c r="N63" i="24"/>
  <c r="O63" i="24" s="1"/>
  <c r="P63" i="24" s="1"/>
  <c r="Q63" i="24" s="1"/>
  <c r="R63" i="24" s="1"/>
  <c r="S63" i="24" s="1"/>
  <c r="T63" i="24" s="1"/>
  <c r="L63" i="24"/>
  <c r="F63" i="24"/>
  <c r="G63" i="24" s="1"/>
  <c r="H63" i="24" s="1"/>
  <c r="I63" i="24" s="1"/>
  <c r="J63" i="24" s="1"/>
  <c r="K63" i="24" s="1"/>
  <c r="AT62" i="24"/>
  <c r="AU62" i="24" s="1"/>
  <c r="AV62" i="24" s="1"/>
  <c r="AW62" i="24" s="1"/>
  <c r="AX62" i="24" s="1"/>
  <c r="AY62" i="24" s="1"/>
  <c r="AZ62" i="24" s="1"/>
  <c r="AL62" i="24"/>
  <c r="AM62" i="24" s="1"/>
  <c r="AN62" i="24" s="1"/>
  <c r="AO62" i="24" s="1"/>
  <c r="AP62" i="24" s="1"/>
  <c r="AQ62" i="24" s="1"/>
  <c r="AR62" i="24" s="1"/>
  <c r="AF62" i="24"/>
  <c r="AG62" i="24" s="1"/>
  <c r="AH62" i="24" s="1"/>
  <c r="AI62" i="24" s="1"/>
  <c r="AJ62" i="24" s="1"/>
  <c r="AD62" i="24"/>
  <c r="AE62" i="24" s="1"/>
  <c r="W62" i="24"/>
  <c r="X62" i="24" s="1"/>
  <c r="Y62" i="24" s="1"/>
  <c r="Z62" i="24" s="1"/>
  <c r="AA62" i="24" s="1"/>
  <c r="AB62" i="24" s="1"/>
  <c r="V62" i="24"/>
  <c r="P62" i="24"/>
  <c r="Q62" i="24" s="1"/>
  <c r="R62" i="24" s="1"/>
  <c r="S62" i="24" s="1"/>
  <c r="T62" i="24" s="1"/>
  <c r="O62" i="24"/>
  <c r="N62" i="24"/>
  <c r="F62" i="24"/>
  <c r="AW61" i="24"/>
  <c r="AX61" i="24" s="1"/>
  <c r="AY61" i="24" s="1"/>
  <c r="AZ61" i="24" s="1"/>
  <c r="AV61" i="24"/>
  <c r="AU61" i="24"/>
  <c r="AT61" i="24"/>
  <c r="AL61" i="24"/>
  <c r="AM61" i="24" s="1"/>
  <c r="AN61" i="24" s="1"/>
  <c r="AO61" i="24" s="1"/>
  <c r="AP61" i="24" s="1"/>
  <c r="AQ61" i="24" s="1"/>
  <c r="AR61" i="24" s="1"/>
  <c r="AH61" i="24"/>
  <c r="AI61" i="24" s="1"/>
  <c r="AJ61" i="24" s="1"/>
  <c r="AG61" i="24"/>
  <c r="AE61" i="24"/>
  <c r="AF61" i="24" s="1"/>
  <c r="AD61" i="24"/>
  <c r="V61" i="24"/>
  <c r="W61" i="24" s="1"/>
  <c r="X61" i="24" s="1"/>
  <c r="Y61" i="24" s="1"/>
  <c r="Z61" i="24" s="1"/>
  <c r="AA61" i="24" s="1"/>
  <c r="AB61" i="24" s="1"/>
  <c r="S61" i="24"/>
  <c r="T61" i="24" s="1"/>
  <c r="O61" i="24"/>
  <c r="P61" i="24" s="1"/>
  <c r="Q61" i="24" s="1"/>
  <c r="R61" i="24" s="1"/>
  <c r="N61" i="24"/>
  <c r="H61" i="24"/>
  <c r="I61" i="24" s="1"/>
  <c r="J61" i="24" s="1"/>
  <c r="K61" i="24" s="1"/>
  <c r="F61" i="24"/>
  <c r="G61" i="24" s="1"/>
  <c r="AX60" i="24"/>
  <c r="AY60" i="24" s="1"/>
  <c r="AZ60" i="24" s="1"/>
  <c r="AW60" i="24"/>
  <c r="AV60" i="24"/>
  <c r="AT60" i="24"/>
  <c r="AU60" i="24" s="1"/>
  <c r="AR60" i="24"/>
  <c r="AQ60" i="24"/>
  <c r="AO60" i="24"/>
  <c r="AP60" i="24" s="1"/>
  <c r="AM60" i="24"/>
  <c r="AN60" i="24" s="1"/>
  <c r="AL60" i="24"/>
  <c r="AE60" i="24"/>
  <c r="AF60" i="24" s="1"/>
  <c r="AG60" i="24" s="1"/>
  <c r="AH60" i="24" s="1"/>
  <c r="AI60" i="24" s="1"/>
  <c r="AJ60" i="24" s="1"/>
  <c r="AD60" i="24"/>
  <c r="AA60" i="24"/>
  <c r="AB60" i="24" s="1"/>
  <c r="V60" i="24"/>
  <c r="W60" i="24" s="1"/>
  <c r="X60" i="24" s="1"/>
  <c r="Y60" i="24" s="1"/>
  <c r="Z60" i="24" s="1"/>
  <c r="P60" i="24"/>
  <c r="Q60" i="24" s="1"/>
  <c r="R60" i="24" s="1"/>
  <c r="S60" i="24" s="1"/>
  <c r="T60" i="24" s="1"/>
  <c r="N60" i="24"/>
  <c r="O60" i="24" s="1"/>
  <c r="G60" i="24"/>
  <c r="F60" i="24"/>
  <c r="AX59" i="24"/>
  <c r="AY59" i="24" s="1"/>
  <c r="AZ59" i="24" s="1"/>
  <c r="AU59" i="24"/>
  <c r="AV59" i="24" s="1"/>
  <c r="AW59" i="24" s="1"/>
  <c r="AT59" i="24"/>
  <c r="AR59" i="24"/>
  <c r="AO59" i="24"/>
  <c r="AP59" i="24" s="1"/>
  <c r="AQ59" i="24" s="1"/>
  <c r="AL59" i="24"/>
  <c r="AM59" i="24" s="1"/>
  <c r="AN59" i="24" s="1"/>
  <c r="AF59" i="24"/>
  <c r="AG59" i="24" s="1"/>
  <c r="AH59" i="24" s="1"/>
  <c r="AI59" i="24" s="1"/>
  <c r="AJ59" i="24" s="1"/>
  <c r="AE59" i="24"/>
  <c r="AD59" i="24"/>
  <c r="AA59" i="24"/>
  <c r="AB59" i="24" s="1"/>
  <c r="V59" i="24"/>
  <c r="W59" i="24" s="1"/>
  <c r="X59" i="24" s="1"/>
  <c r="Y59" i="24" s="1"/>
  <c r="Z59" i="24" s="1"/>
  <c r="N59" i="24"/>
  <c r="O59" i="24" s="1"/>
  <c r="P59" i="24" s="1"/>
  <c r="Q59" i="24" s="1"/>
  <c r="R59" i="24" s="1"/>
  <c r="S59" i="24" s="1"/>
  <c r="T59" i="24" s="1"/>
  <c r="J59" i="24"/>
  <c r="K59" i="24" s="1"/>
  <c r="L59" i="24" s="1"/>
  <c r="H59" i="24"/>
  <c r="I59" i="24" s="1"/>
  <c r="F59" i="24"/>
  <c r="G59" i="24" s="1"/>
  <c r="AX58" i="24"/>
  <c r="AY58" i="24" s="1"/>
  <c r="AZ58" i="24" s="1"/>
  <c r="AV58" i="24"/>
  <c r="AW58" i="24" s="1"/>
  <c r="AU58" i="24"/>
  <c r="AT58" i="24"/>
  <c r="AL58" i="24"/>
  <c r="AM58" i="24" s="1"/>
  <c r="AN58" i="24" s="1"/>
  <c r="AO58" i="24" s="1"/>
  <c r="AP58" i="24" s="1"/>
  <c r="AQ58" i="24" s="1"/>
  <c r="AR58" i="24" s="1"/>
  <c r="AH58" i="24"/>
  <c r="AI58" i="24" s="1"/>
  <c r="AJ58" i="24" s="1"/>
  <c r="AD58" i="24"/>
  <c r="AE58" i="24" s="1"/>
  <c r="AF58" i="24" s="1"/>
  <c r="AG58" i="24" s="1"/>
  <c r="W58" i="24"/>
  <c r="X58" i="24" s="1"/>
  <c r="Y58" i="24" s="1"/>
  <c r="Z58" i="24" s="1"/>
  <c r="AA58" i="24" s="1"/>
  <c r="AB58" i="24" s="1"/>
  <c r="V58" i="24"/>
  <c r="N58" i="24"/>
  <c r="O58" i="24" s="1"/>
  <c r="P58" i="24" s="1"/>
  <c r="Q58" i="24" s="1"/>
  <c r="R58" i="24" s="1"/>
  <c r="S58" i="24" s="1"/>
  <c r="T58" i="24" s="1"/>
  <c r="F58" i="24"/>
  <c r="AV57" i="24"/>
  <c r="AW57" i="24" s="1"/>
  <c r="AX57" i="24" s="1"/>
  <c r="AY57" i="24" s="1"/>
  <c r="AZ57" i="24" s="1"/>
  <c r="AU57" i="24"/>
  <c r="AT57" i="24"/>
  <c r="AP57" i="24"/>
  <c r="AQ57" i="24" s="1"/>
  <c r="AR57" i="24" s="1"/>
  <c r="AL57" i="24"/>
  <c r="AM57" i="24" s="1"/>
  <c r="AN57" i="24" s="1"/>
  <c r="AO57" i="24" s="1"/>
  <c r="AD57" i="24"/>
  <c r="AE57" i="24" s="1"/>
  <c r="AF57" i="24" s="1"/>
  <c r="AG57" i="24" s="1"/>
  <c r="AH57" i="24" s="1"/>
  <c r="AI57" i="24" s="1"/>
  <c r="AJ57" i="24" s="1"/>
  <c r="V57" i="24"/>
  <c r="W57" i="24" s="1"/>
  <c r="X57" i="24" s="1"/>
  <c r="Y57" i="24" s="1"/>
  <c r="Z57" i="24" s="1"/>
  <c r="AA57" i="24" s="1"/>
  <c r="AB57" i="24" s="1"/>
  <c r="S57" i="24"/>
  <c r="T57" i="24" s="1"/>
  <c r="Q57" i="24"/>
  <c r="R57" i="24" s="1"/>
  <c r="P57" i="24"/>
  <c r="O57" i="24"/>
  <c r="N57" i="24"/>
  <c r="F57" i="24"/>
  <c r="G57" i="24" s="1"/>
  <c r="H57" i="24" s="1"/>
  <c r="I57" i="24" s="1"/>
  <c r="J57" i="24" s="1"/>
  <c r="K57" i="24" s="1"/>
  <c r="L57" i="24" s="1"/>
  <c r="AX56" i="24"/>
  <c r="AY56" i="24" s="1"/>
  <c r="AZ56" i="24" s="1"/>
  <c r="AV56" i="24"/>
  <c r="AW56" i="24" s="1"/>
  <c r="AT56" i="24"/>
  <c r="AU56" i="24" s="1"/>
  <c r="AN56" i="24"/>
  <c r="AO56" i="24" s="1"/>
  <c r="AP56" i="24" s="1"/>
  <c r="AQ56" i="24" s="1"/>
  <c r="AR56" i="24" s="1"/>
  <c r="AM56" i="24"/>
  <c r="AL56" i="24"/>
  <c r="AI56" i="24"/>
  <c r="AJ56" i="24" s="1"/>
  <c r="AD56" i="24"/>
  <c r="AE56" i="24" s="1"/>
  <c r="AF56" i="24" s="1"/>
  <c r="AG56" i="24" s="1"/>
  <c r="AH56" i="24" s="1"/>
  <c r="V56" i="24"/>
  <c r="W56" i="24" s="1"/>
  <c r="X56" i="24" s="1"/>
  <c r="Y56" i="24" s="1"/>
  <c r="Z56" i="24" s="1"/>
  <c r="AA56" i="24" s="1"/>
  <c r="AB56" i="24" s="1"/>
  <c r="R56" i="24"/>
  <c r="S56" i="24" s="1"/>
  <c r="T56" i="24" s="1"/>
  <c r="P56" i="24"/>
  <c r="Q56" i="24" s="1"/>
  <c r="N56" i="24"/>
  <c r="O56" i="24" s="1"/>
  <c r="G56" i="24"/>
  <c r="F56" i="24"/>
  <c r="AT55" i="24"/>
  <c r="AU55" i="24" s="1"/>
  <c r="AV55" i="24" s="1"/>
  <c r="AW55" i="24" s="1"/>
  <c r="AX55" i="24" s="1"/>
  <c r="AY55" i="24" s="1"/>
  <c r="AZ55" i="24" s="1"/>
  <c r="AL55" i="24"/>
  <c r="AM55" i="24" s="1"/>
  <c r="AN55" i="24" s="1"/>
  <c r="AO55" i="24" s="1"/>
  <c r="AP55" i="24" s="1"/>
  <c r="AQ55" i="24" s="1"/>
  <c r="AR55" i="24" s="1"/>
  <c r="AI55" i="24"/>
  <c r="AJ55" i="24" s="1"/>
  <c r="AG55" i="24"/>
  <c r="AH55" i="24" s="1"/>
  <c r="AF55" i="24"/>
  <c r="AE55" i="24"/>
  <c r="AD55" i="24"/>
  <c r="V55" i="24"/>
  <c r="W55" i="24" s="1"/>
  <c r="X55" i="24" s="1"/>
  <c r="Y55" i="24" s="1"/>
  <c r="Z55" i="24" s="1"/>
  <c r="AA55" i="24" s="1"/>
  <c r="AB55" i="24" s="1"/>
  <c r="O55" i="24"/>
  <c r="P55" i="24" s="1"/>
  <c r="Q55" i="24" s="1"/>
  <c r="R55" i="24" s="1"/>
  <c r="S55" i="24" s="1"/>
  <c r="T55" i="24" s="1"/>
  <c r="N55" i="24"/>
  <c r="F55" i="24"/>
  <c r="G55" i="24" s="1"/>
  <c r="H55" i="24" s="1"/>
  <c r="I55" i="24" s="1"/>
  <c r="J55" i="24" s="1"/>
  <c r="K55" i="24" s="1"/>
  <c r="L55" i="24" s="1"/>
  <c r="AV54" i="24"/>
  <c r="AW54" i="24" s="1"/>
  <c r="AX54" i="24" s="1"/>
  <c r="AY54" i="24" s="1"/>
  <c r="AZ54" i="24" s="1"/>
  <c r="AT54" i="24"/>
  <c r="AU54" i="24" s="1"/>
  <c r="AM54" i="24"/>
  <c r="AN54" i="24" s="1"/>
  <c r="AO54" i="24" s="1"/>
  <c r="AP54" i="24" s="1"/>
  <c r="AQ54" i="24" s="1"/>
  <c r="AR54" i="24" s="1"/>
  <c r="AL54" i="24"/>
  <c r="AE54" i="24"/>
  <c r="AF54" i="24" s="1"/>
  <c r="AG54" i="24" s="1"/>
  <c r="AH54" i="24" s="1"/>
  <c r="AI54" i="24" s="1"/>
  <c r="AJ54" i="24" s="1"/>
  <c r="AD54" i="24"/>
  <c r="V54" i="24"/>
  <c r="W54" i="24" s="1"/>
  <c r="X54" i="24" s="1"/>
  <c r="Y54" i="24" s="1"/>
  <c r="Z54" i="24" s="1"/>
  <c r="AA54" i="24" s="1"/>
  <c r="AB54" i="24" s="1"/>
  <c r="N54" i="24"/>
  <c r="O54" i="24" s="1"/>
  <c r="P54" i="24" s="1"/>
  <c r="Q54" i="24" s="1"/>
  <c r="R54" i="24" s="1"/>
  <c r="S54" i="24" s="1"/>
  <c r="T54" i="24" s="1"/>
  <c r="G54" i="24"/>
  <c r="H54" i="24" s="1"/>
  <c r="I54" i="24" s="1"/>
  <c r="J54" i="24" s="1"/>
  <c r="K54" i="24" s="1"/>
  <c r="L54" i="24" s="1"/>
  <c r="F54" i="24"/>
  <c r="AU53" i="24"/>
  <c r="AV53" i="24" s="1"/>
  <c r="AW53" i="24" s="1"/>
  <c r="AX53" i="24" s="1"/>
  <c r="AY53" i="24" s="1"/>
  <c r="AZ53" i="24" s="1"/>
  <c r="AT53" i="24"/>
  <c r="AL53" i="24"/>
  <c r="AM53" i="24" s="1"/>
  <c r="AN53" i="24" s="1"/>
  <c r="AO53" i="24" s="1"/>
  <c r="AP53" i="24" s="1"/>
  <c r="AQ53" i="24" s="1"/>
  <c r="AR53" i="24" s="1"/>
  <c r="AE53" i="24"/>
  <c r="AF53" i="24" s="1"/>
  <c r="AG53" i="24" s="1"/>
  <c r="AH53" i="24" s="1"/>
  <c r="AI53" i="24" s="1"/>
  <c r="AJ53" i="24" s="1"/>
  <c r="AD53" i="24"/>
  <c r="V53" i="24"/>
  <c r="W53" i="24" s="1"/>
  <c r="X53" i="24" s="1"/>
  <c r="Y53" i="24" s="1"/>
  <c r="Z53" i="24" s="1"/>
  <c r="AA53" i="24" s="1"/>
  <c r="AB53" i="24" s="1"/>
  <c r="R53" i="24"/>
  <c r="S53" i="24" s="1"/>
  <c r="T53" i="24" s="1"/>
  <c r="N53" i="24"/>
  <c r="O53" i="24" s="1"/>
  <c r="P53" i="24" s="1"/>
  <c r="Q53" i="24" s="1"/>
  <c r="F53" i="24"/>
  <c r="G53" i="24" s="1"/>
  <c r="H53" i="24" s="1"/>
  <c r="I53" i="24" s="1"/>
  <c r="J53" i="24" s="1"/>
  <c r="K53" i="24" s="1"/>
  <c r="L53" i="24" s="1"/>
  <c r="AT52" i="24"/>
  <c r="AU52" i="24" s="1"/>
  <c r="AV52" i="24" s="1"/>
  <c r="AW52" i="24" s="1"/>
  <c r="AX52" i="24" s="1"/>
  <c r="AY52" i="24" s="1"/>
  <c r="AZ52" i="24" s="1"/>
  <c r="AM52" i="24"/>
  <c r="AN52" i="24" s="1"/>
  <c r="AO52" i="24" s="1"/>
  <c r="AP52" i="24" s="1"/>
  <c r="AQ52" i="24" s="1"/>
  <c r="AR52" i="24" s="1"/>
  <c r="AL52" i="24"/>
  <c r="AD52" i="24"/>
  <c r="AE52" i="24" s="1"/>
  <c r="AF52" i="24" s="1"/>
  <c r="AG52" i="24" s="1"/>
  <c r="AH52" i="24" s="1"/>
  <c r="AI52" i="24" s="1"/>
  <c r="AJ52" i="24" s="1"/>
  <c r="AA52" i="24"/>
  <c r="AB52" i="24" s="1"/>
  <c r="W52" i="24"/>
  <c r="X52" i="24" s="1"/>
  <c r="Y52" i="24" s="1"/>
  <c r="Z52" i="24" s="1"/>
  <c r="V52" i="24"/>
  <c r="P52" i="24"/>
  <c r="Q52" i="24" s="1"/>
  <c r="R52" i="24" s="1"/>
  <c r="S52" i="24" s="1"/>
  <c r="T52" i="24" s="1"/>
  <c r="N52" i="24"/>
  <c r="O52" i="24" s="1"/>
  <c r="F52" i="24"/>
  <c r="AU51" i="24"/>
  <c r="AV51" i="24" s="1"/>
  <c r="AW51" i="24" s="1"/>
  <c r="AX51" i="24" s="1"/>
  <c r="AY51" i="24" s="1"/>
  <c r="AZ51" i="24" s="1"/>
  <c r="AT51" i="24"/>
  <c r="AM51" i="24"/>
  <c r="AN51" i="24" s="1"/>
  <c r="AO51" i="24" s="1"/>
  <c r="AP51" i="24" s="1"/>
  <c r="AQ51" i="24" s="1"/>
  <c r="AR51" i="24" s="1"/>
  <c r="AL51" i="24"/>
  <c r="AD51" i="24"/>
  <c r="AE51" i="24" s="1"/>
  <c r="AF51" i="24" s="1"/>
  <c r="AG51" i="24" s="1"/>
  <c r="AH51" i="24" s="1"/>
  <c r="AI51" i="24" s="1"/>
  <c r="AJ51" i="24" s="1"/>
  <c r="V51" i="24"/>
  <c r="W51" i="24" s="1"/>
  <c r="X51" i="24" s="1"/>
  <c r="Y51" i="24" s="1"/>
  <c r="Z51" i="24" s="1"/>
  <c r="AA51" i="24" s="1"/>
  <c r="AB51" i="24" s="1"/>
  <c r="O51" i="24"/>
  <c r="P51" i="24" s="1"/>
  <c r="Q51" i="24" s="1"/>
  <c r="R51" i="24" s="1"/>
  <c r="S51" i="24" s="1"/>
  <c r="T51" i="24" s="1"/>
  <c r="N51" i="24"/>
  <c r="F51" i="24"/>
  <c r="AT50" i="24"/>
  <c r="AU50" i="24" s="1"/>
  <c r="AV50" i="24" s="1"/>
  <c r="AW50" i="24" s="1"/>
  <c r="AX50" i="24" s="1"/>
  <c r="AY50" i="24" s="1"/>
  <c r="AZ50" i="24" s="1"/>
  <c r="AQ50" i="24"/>
  <c r="AR50" i="24" s="1"/>
  <c r="AM50" i="24"/>
  <c r="AN50" i="24" s="1"/>
  <c r="AO50" i="24" s="1"/>
  <c r="AP50" i="24" s="1"/>
  <c r="AL50" i="24"/>
  <c r="AF50" i="24"/>
  <c r="AG50" i="24" s="1"/>
  <c r="AH50" i="24" s="1"/>
  <c r="AI50" i="24" s="1"/>
  <c r="AJ50" i="24" s="1"/>
  <c r="AD50" i="24"/>
  <c r="AE50" i="24" s="1"/>
  <c r="V50" i="24"/>
  <c r="W50" i="24" s="1"/>
  <c r="X50" i="24" s="1"/>
  <c r="Y50" i="24" s="1"/>
  <c r="Z50" i="24" s="1"/>
  <c r="AA50" i="24" s="1"/>
  <c r="AB50" i="24" s="1"/>
  <c r="N50" i="24"/>
  <c r="O50" i="24" s="1"/>
  <c r="P50" i="24" s="1"/>
  <c r="Q50" i="24" s="1"/>
  <c r="R50" i="24" s="1"/>
  <c r="S50" i="24" s="1"/>
  <c r="T50" i="24" s="1"/>
  <c r="I50" i="24"/>
  <c r="J50" i="24" s="1"/>
  <c r="K50" i="24" s="1"/>
  <c r="L50" i="24" s="1"/>
  <c r="H50" i="24"/>
  <c r="G50" i="24"/>
  <c r="F50" i="24"/>
  <c r="AT49" i="24"/>
  <c r="AU49" i="24" s="1"/>
  <c r="AV49" i="24" s="1"/>
  <c r="AW49" i="24" s="1"/>
  <c r="AX49" i="24" s="1"/>
  <c r="AY49" i="24" s="1"/>
  <c r="AZ49" i="24" s="1"/>
  <c r="AL49" i="24"/>
  <c r="AM49" i="24" s="1"/>
  <c r="AN49" i="24" s="1"/>
  <c r="AO49" i="24" s="1"/>
  <c r="AP49" i="24" s="1"/>
  <c r="AQ49" i="24" s="1"/>
  <c r="AR49" i="24" s="1"/>
  <c r="AE49" i="24"/>
  <c r="AF49" i="24" s="1"/>
  <c r="AG49" i="24" s="1"/>
  <c r="AH49" i="24" s="1"/>
  <c r="AI49" i="24" s="1"/>
  <c r="AJ49" i="24" s="1"/>
  <c r="AD49" i="24"/>
  <c r="V49" i="24"/>
  <c r="W49" i="24" s="1"/>
  <c r="X49" i="24" s="1"/>
  <c r="Y49" i="24" s="1"/>
  <c r="Z49" i="24" s="1"/>
  <c r="AA49" i="24" s="1"/>
  <c r="AB49" i="24" s="1"/>
  <c r="O49" i="24"/>
  <c r="P49" i="24" s="1"/>
  <c r="Q49" i="24" s="1"/>
  <c r="R49" i="24" s="1"/>
  <c r="S49" i="24" s="1"/>
  <c r="T49" i="24" s="1"/>
  <c r="N49" i="24"/>
  <c r="H49" i="24"/>
  <c r="I49" i="24" s="1"/>
  <c r="J49" i="24" s="1"/>
  <c r="K49" i="24" s="1"/>
  <c r="L49" i="24" s="1"/>
  <c r="F49" i="24"/>
  <c r="G49" i="24" s="1"/>
  <c r="AT48" i="24"/>
  <c r="AU48" i="24" s="1"/>
  <c r="AV48" i="24" s="1"/>
  <c r="AW48" i="24" s="1"/>
  <c r="AX48" i="24" s="1"/>
  <c r="AY48" i="24" s="1"/>
  <c r="AZ48" i="24" s="1"/>
  <c r="AL48" i="24"/>
  <c r="AM48" i="24" s="1"/>
  <c r="AN48" i="24" s="1"/>
  <c r="AO48" i="24" s="1"/>
  <c r="AP48" i="24" s="1"/>
  <c r="AQ48" i="24" s="1"/>
  <c r="AR48" i="24" s="1"/>
  <c r="AD48" i="24"/>
  <c r="AE48" i="24" s="1"/>
  <c r="AF48" i="24" s="1"/>
  <c r="AG48" i="24" s="1"/>
  <c r="AH48" i="24" s="1"/>
  <c r="AI48" i="24" s="1"/>
  <c r="AJ48" i="24" s="1"/>
  <c r="W48" i="24"/>
  <c r="X48" i="24" s="1"/>
  <c r="Y48" i="24" s="1"/>
  <c r="Z48" i="24" s="1"/>
  <c r="AA48" i="24" s="1"/>
  <c r="AB48" i="24" s="1"/>
  <c r="V48" i="24"/>
  <c r="N48" i="24"/>
  <c r="O48" i="24" s="1"/>
  <c r="P48" i="24" s="1"/>
  <c r="Q48" i="24" s="1"/>
  <c r="R48" i="24" s="1"/>
  <c r="S48" i="24" s="1"/>
  <c r="T48" i="24" s="1"/>
  <c r="G48" i="24"/>
  <c r="H48" i="24" s="1"/>
  <c r="I48" i="24" s="1"/>
  <c r="J48" i="24" s="1"/>
  <c r="K48" i="24" s="1"/>
  <c r="L48" i="24" s="1"/>
  <c r="F48" i="24"/>
  <c r="AU47" i="24"/>
  <c r="AV47" i="24" s="1"/>
  <c r="AW47" i="24" s="1"/>
  <c r="AX47" i="24" s="1"/>
  <c r="AY47" i="24" s="1"/>
  <c r="AZ47" i="24" s="1"/>
  <c r="AT47" i="24"/>
  <c r="AL47" i="24"/>
  <c r="AM47" i="24" s="1"/>
  <c r="AN47" i="24" s="1"/>
  <c r="AO47" i="24" s="1"/>
  <c r="AP47" i="24" s="1"/>
  <c r="AQ47" i="24" s="1"/>
  <c r="AR47" i="24" s="1"/>
  <c r="AD47" i="24"/>
  <c r="AE47" i="24" s="1"/>
  <c r="AF47" i="24" s="1"/>
  <c r="AG47" i="24" s="1"/>
  <c r="AH47" i="24" s="1"/>
  <c r="AI47" i="24" s="1"/>
  <c r="AJ47" i="24" s="1"/>
  <c r="V47" i="24"/>
  <c r="W47" i="24" s="1"/>
  <c r="X47" i="24" s="1"/>
  <c r="Y47" i="24" s="1"/>
  <c r="Z47" i="24" s="1"/>
  <c r="AA47" i="24" s="1"/>
  <c r="AB47" i="24" s="1"/>
  <c r="P47" i="24"/>
  <c r="Q47" i="24" s="1"/>
  <c r="R47" i="24" s="1"/>
  <c r="S47" i="24" s="1"/>
  <c r="T47" i="24" s="1"/>
  <c r="O47" i="24"/>
  <c r="N47" i="24"/>
  <c r="F47" i="24"/>
  <c r="AX46" i="24"/>
  <c r="AY46" i="24" s="1"/>
  <c r="AZ46" i="24" s="1"/>
  <c r="AT46" i="24"/>
  <c r="AU46" i="24" s="1"/>
  <c r="AV46" i="24" s="1"/>
  <c r="AW46" i="24" s="1"/>
  <c r="AM46" i="24"/>
  <c r="AN46" i="24" s="1"/>
  <c r="AO46" i="24" s="1"/>
  <c r="AP46" i="24" s="1"/>
  <c r="AQ46" i="24" s="1"/>
  <c r="AR46" i="24" s="1"/>
  <c r="AL46" i="24"/>
  <c r="AD46" i="24"/>
  <c r="AE46" i="24" s="1"/>
  <c r="AF46" i="24" s="1"/>
  <c r="AG46" i="24" s="1"/>
  <c r="AH46" i="24" s="1"/>
  <c r="AI46" i="24" s="1"/>
  <c r="AJ46" i="24" s="1"/>
  <c r="V46" i="24"/>
  <c r="W46" i="24" s="1"/>
  <c r="X46" i="24" s="1"/>
  <c r="Y46" i="24" s="1"/>
  <c r="Z46" i="24" s="1"/>
  <c r="AA46" i="24" s="1"/>
  <c r="AB46" i="24" s="1"/>
  <c r="Q46" i="24"/>
  <c r="R46" i="24" s="1"/>
  <c r="S46" i="24" s="1"/>
  <c r="T46" i="24" s="1"/>
  <c r="P46" i="24"/>
  <c r="N46" i="24"/>
  <c r="O46" i="24" s="1"/>
  <c r="I46" i="24"/>
  <c r="J46" i="24" s="1"/>
  <c r="K46" i="24" s="1"/>
  <c r="L46" i="24" s="1"/>
  <c r="G46" i="24"/>
  <c r="H46" i="24" s="1"/>
  <c r="F46" i="24"/>
  <c r="AT45" i="24"/>
  <c r="AU45" i="24" s="1"/>
  <c r="AV45" i="24" s="1"/>
  <c r="AW45" i="24" s="1"/>
  <c r="AX45" i="24" s="1"/>
  <c r="AY45" i="24" s="1"/>
  <c r="AZ45" i="24" s="1"/>
  <c r="AN45" i="24"/>
  <c r="AO45" i="24" s="1"/>
  <c r="AP45" i="24" s="1"/>
  <c r="AQ45" i="24" s="1"/>
  <c r="AR45" i="24" s="1"/>
  <c r="AL45" i="24"/>
  <c r="AM45" i="24" s="1"/>
  <c r="AF45" i="24"/>
  <c r="AG45" i="24" s="1"/>
  <c r="AH45" i="24" s="1"/>
  <c r="AI45" i="24" s="1"/>
  <c r="AJ45" i="24" s="1"/>
  <c r="AE45" i="24"/>
  <c r="AD45" i="24"/>
  <c r="W45" i="24"/>
  <c r="X45" i="24" s="1"/>
  <c r="Y45" i="24" s="1"/>
  <c r="Z45" i="24" s="1"/>
  <c r="AA45" i="24" s="1"/>
  <c r="AB45" i="24" s="1"/>
  <c r="V45" i="24"/>
  <c r="O45" i="24"/>
  <c r="P45" i="24" s="1"/>
  <c r="Q45" i="24" s="1"/>
  <c r="R45" i="24" s="1"/>
  <c r="S45" i="24" s="1"/>
  <c r="T45" i="24" s="1"/>
  <c r="N45" i="24"/>
  <c r="F45" i="24"/>
  <c r="G45" i="24" s="1"/>
  <c r="H45" i="24" s="1"/>
  <c r="I45" i="24" s="1"/>
  <c r="J45" i="24" s="1"/>
  <c r="K45" i="24" s="1"/>
  <c r="L45" i="24" s="1"/>
  <c r="AT44" i="24"/>
  <c r="AU44" i="24" s="1"/>
  <c r="AV44" i="24" s="1"/>
  <c r="AW44" i="24" s="1"/>
  <c r="AX44" i="24" s="1"/>
  <c r="AY44" i="24" s="1"/>
  <c r="AZ44" i="24" s="1"/>
  <c r="AL44" i="24"/>
  <c r="AM44" i="24" s="1"/>
  <c r="AN44" i="24" s="1"/>
  <c r="AO44" i="24" s="1"/>
  <c r="AP44" i="24" s="1"/>
  <c r="AQ44" i="24" s="1"/>
  <c r="AR44" i="24" s="1"/>
  <c r="AD44" i="24"/>
  <c r="AE44" i="24" s="1"/>
  <c r="AF44" i="24" s="1"/>
  <c r="AG44" i="24" s="1"/>
  <c r="AH44" i="24" s="1"/>
  <c r="AI44" i="24" s="1"/>
  <c r="AJ44" i="24" s="1"/>
  <c r="X44" i="24"/>
  <c r="Y44" i="24" s="1"/>
  <c r="Z44" i="24" s="1"/>
  <c r="AA44" i="24" s="1"/>
  <c r="AB44" i="24" s="1"/>
  <c r="W44" i="24"/>
  <c r="V44" i="24"/>
  <c r="N44" i="24"/>
  <c r="O44" i="24" s="1"/>
  <c r="P44" i="24" s="1"/>
  <c r="Q44" i="24" s="1"/>
  <c r="R44" i="24" s="1"/>
  <c r="S44" i="24" s="1"/>
  <c r="T44" i="24" s="1"/>
  <c r="G44" i="24"/>
  <c r="H44" i="24" s="1"/>
  <c r="I44" i="24" s="1"/>
  <c r="J44" i="24" s="1"/>
  <c r="K44" i="24" s="1"/>
  <c r="L44" i="24" s="1"/>
  <c r="F44" i="24"/>
  <c r="AV43" i="24"/>
  <c r="AW43" i="24" s="1"/>
  <c r="AX43" i="24" s="1"/>
  <c r="AY43" i="24" s="1"/>
  <c r="AZ43" i="24" s="1"/>
  <c r="AU43" i="24"/>
  <c r="AT43" i="24"/>
  <c r="AP43" i="24"/>
  <c r="AQ43" i="24" s="1"/>
  <c r="AR43" i="24" s="1"/>
  <c r="AL43" i="24"/>
  <c r="AM43" i="24" s="1"/>
  <c r="AN43" i="24" s="1"/>
  <c r="AO43" i="24" s="1"/>
  <c r="AD43" i="24"/>
  <c r="AE43" i="24" s="1"/>
  <c r="AF43" i="24" s="1"/>
  <c r="AG43" i="24" s="1"/>
  <c r="AH43" i="24" s="1"/>
  <c r="AI43" i="24" s="1"/>
  <c r="AJ43" i="24" s="1"/>
  <c r="X43" i="24"/>
  <c r="Y43" i="24" s="1"/>
  <c r="Z43" i="24" s="1"/>
  <c r="AA43" i="24" s="1"/>
  <c r="AB43" i="24" s="1"/>
  <c r="V43" i="24"/>
  <c r="W43" i="24" s="1"/>
  <c r="O43" i="24"/>
  <c r="P43" i="24" s="1"/>
  <c r="Q43" i="24" s="1"/>
  <c r="R43" i="24" s="1"/>
  <c r="S43" i="24" s="1"/>
  <c r="T43" i="24" s="1"/>
  <c r="N43" i="24"/>
  <c r="G43" i="24"/>
  <c r="H43" i="24" s="1"/>
  <c r="I43" i="24" s="1"/>
  <c r="J43" i="24" s="1"/>
  <c r="K43" i="24" s="1"/>
  <c r="L43" i="24" s="1"/>
  <c r="F43" i="24"/>
  <c r="AT42" i="24"/>
  <c r="AU42" i="24" s="1"/>
  <c r="AV42" i="24" s="1"/>
  <c r="AW42" i="24" s="1"/>
  <c r="AX42" i="24" s="1"/>
  <c r="AY42" i="24" s="1"/>
  <c r="AZ42" i="24" s="1"/>
  <c r="AO42" i="24"/>
  <c r="AP42" i="24" s="1"/>
  <c r="AQ42" i="24" s="1"/>
  <c r="AR42" i="24" s="1"/>
  <c r="AN42" i="24"/>
  <c r="AM42" i="24"/>
  <c r="AL42" i="24"/>
  <c r="AD42" i="24"/>
  <c r="AE42" i="24" s="1"/>
  <c r="AF42" i="24" s="1"/>
  <c r="AG42" i="24" s="1"/>
  <c r="AH42" i="24" s="1"/>
  <c r="AI42" i="24" s="1"/>
  <c r="AJ42" i="24" s="1"/>
  <c r="Y42" i="24"/>
  <c r="Z42" i="24" s="1"/>
  <c r="AA42" i="24" s="1"/>
  <c r="AB42" i="24" s="1"/>
  <c r="W42" i="24"/>
  <c r="X42" i="24" s="1"/>
  <c r="V42" i="24"/>
  <c r="Q42" i="24"/>
  <c r="R42" i="24" s="1"/>
  <c r="S42" i="24" s="1"/>
  <c r="T42" i="24" s="1"/>
  <c r="N42" i="24"/>
  <c r="O42" i="24" s="1"/>
  <c r="P42" i="24" s="1"/>
  <c r="G42" i="24"/>
  <c r="H42" i="24" s="1"/>
  <c r="I42" i="24" s="1"/>
  <c r="J42" i="24" s="1"/>
  <c r="K42" i="24" s="1"/>
  <c r="L42" i="24" s="1"/>
  <c r="F42" i="24"/>
  <c r="AU41" i="24"/>
  <c r="AV41" i="24" s="1"/>
  <c r="AW41" i="24" s="1"/>
  <c r="AX41" i="24" s="1"/>
  <c r="AY41" i="24" s="1"/>
  <c r="AZ41" i="24" s="1"/>
  <c r="AT41" i="24"/>
  <c r="AN41" i="24"/>
  <c r="AO41" i="24" s="1"/>
  <c r="AP41" i="24" s="1"/>
  <c r="AQ41" i="24" s="1"/>
  <c r="AR41" i="24" s="1"/>
  <c r="AL41" i="24"/>
  <c r="AM41" i="24" s="1"/>
  <c r="AE41" i="24"/>
  <c r="AF41" i="24" s="1"/>
  <c r="AG41" i="24" s="1"/>
  <c r="AH41" i="24" s="1"/>
  <c r="AI41" i="24" s="1"/>
  <c r="AJ41" i="24" s="1"/>
  <c r="AD41" i="24"/>
  <c r="W41" i="24"/>
  <c r="X41" i="24" s="1"/>
  <c r="Y41" i="24" s="1"/>
  <c r="Z41" i="24" s="1"/>
  <c r="AA41" i="24" s="1"/>
  <c r="AB41" i="24" s="1"/>
  <c r="V41" i="24"/>
  <c r="N41" i="24"/>
  <c r="O41" i="24" s="1"/>
  <c r="P41" i="24" s="1"/>
  <c r="Q41" i="24" s="1"/>
  <c r="R41" i="24" s="1"/>
  <c r="S41" i="24" s="1"/>
  <c r="T41" i="24" s="1"/>
  <c r="F41" i="24"/>
  <c r="G41" i="24" s="1"/>
  <c r="H41" i="24" s="1"/>
  <c r="I41" i="24" s="1"/>
  <c r="J41" i="24" s="1"/>
  <c r="K41" i="24" s="1"/>
  <c r="L41" i="24" s="1"/>
  <c r="AT40" i="24"/>
  <c r="AU40" i="24" s="1"/>
  <c r="AV40" i="24" s="1"/>
  <c r="AW40" i="24" s="1"/>
  <c r="AX40" i="24" s="1"/>
  <c r="AY40" i="24" s="1"/>
  <c r="AZ40" i="24" s="1"/>
  <c r="AM40" i="24"/>
  <c r="AN40" i="24" s="1"/>
  <c r="AO40" i="24" s="1"/>
  <c r="AP40" i="24" s="1"/>
  <c r="AQ40" i="24" s="1"/>
  <c r="AR40" i="24" s="1"/>
  <c r="AL40" i="24"/>
  <c r="AF40" i="24"/>
  <c r="AG40" i="24" s="1"/>
  <c r="AH40" i="24" s="1"/>
  <c r="AI40" i="24" s="1"/>
  <c r="AJ40" i="24" s="1"/>
  <c r="AD40" i="24"/>
  <c r="AE40" i="24" s="1"/>
  <c r="W40" i="24"/>
  <c r="X40" i="24" s="1"/>
  <c r="Y40" i="24" s="1"/>
  <c r="Z40" i="24" s="1"/>
  <c r="AA40" i="24" s="1"/>
  <c r="AB40" i="24" s="1"/>
  <c r="V40" i="24"/>
  <c r="O40" i="24"/>
  <c r="P40" i="24" s="1"/>
  <c r="Q40" i="24" s="1"/>
  <c r="R40" i="24" s="1"/>
  <c r="S40" i="24" s="1"/>
  <c r="T40" i="24" s="1"/>
  <c r="N40" i="24"/>
  <c r="F40" i="24"/>
  <c r="AV39" i="24"/>
  <c r="AW39" i="24" s="1"/>
  <c r="AX39" i="24" s="1"/>
  <c r="AY39" i="24" s="1"/>
  <c r="AZ39" i="24" s="1"/>
  <c r="AU39" i="24"/>
  <c r="AT39" i="24"/>
  <c r="AM39" i="24"/>
  <c r="AN39" i="24" s="1"/>
  <c r="AO39" i="24" s="1"/>
  <c r="AP39" i="24" s="1"/>
  <c r="AQ39" i="24" s="1"/>
  <c r="AR39" i="24" s="1"/>
  <c r="AL39" i="24"/>
  <c r="AE39" i="24"/>
  <c r="AF39" i="24" s="1"/>
  <c r="AG39" i="24" s="1"/>
  <c r="AH39" i="24" s="1"/>
  <c r="AI39" i="24" s="1"/>
  <c r="AJ39" i="24" s="1"/>
  <c r="AD39" i="24"/>
  <c r="V39" i="24"/>
  <c r="W39" i="24" s="1"/>
  <c r="X39" i="24" s="1"/>
  <c r="Y39" i="24" s="1"/>
  <c r="Z39" i="24" s="1"/>
  <c r="AA39" i="24" s="1"/>
  <c r="AB39" i="24" s="1"/>
  <c r="O39" i="24"/>
  <c r="P39" i="24" s="1"/>
  <c r="Q39" i="24" s="1"/>
  <c r="R39" i="24" s="1"/>
  <c r="S39" i="24" s="1"/>
  <c r="T39" i="24" s="1"/>
  <c r="N39" i="24"/>
  <c r="F39" i="24"/>
  <c r="G39" i="24" s="1"/>
  <c r="AV38" i="24"/>
  <c r="AW38" i="24" s="1"/>
  <c r="AX38" i="24" s="1"/>
  <c r="AY38" i="24" s="1"/>
  <c r="AZ38" i="24" s="1"/>
  <c r="AT38" i="24"/>
  <c r="AU38" i="24" s="1"/>
  <c r="AM38" i="24"/>
  <c r="AN38" i="24" s="1"/>
  <c r="AO38" i="24" s="1"/>
  <c r="AP38" i="24" s="1"/>
  <c r="AQ38" i="24" s="1"/>
  <c r="AR38" i="24" s="1"/>
  <c r="AL38" i="24"/>
  <c r="AE38" i="24"/>
  <c r="AF38" i="24" s="1"/>
  <c r="AG38" i="24" s="1"/>
  <c r="AH38" i="24" s="1"/>
  <c r="AI38" i="24" s="1"/>
  <c r="AJ38" i="24" s="1"/>
  <c r="AD38" i="24"/>
  <c r="V38" i="24"/>
  <c r="W38" i="24" s="1"/>
  <c r="X38" i="24" s="1"/>
  <c r="Y38" i="24" s="1"/>
  <c r="Z38" i="24" s="1"/>
  <c r="AA38" i="24" s="1"/>
  <c r="AB38" i="24" s="1"/>
  <c r="R38" i="24"/>
  <c r="S38" i="24" s="1"/>
  <c r="T38" i="24" s="1"/>
  <c r="N38" i="24"/>
  <c r="O38" i="24" s="1"/>
  <c r="P38" i="24" s="1"/>
  <c r="Q38" i="24" s="1"/>
  <c r="G38" i="24"/>
  <c r="H38" i="24" s="1"/>
  <c r="I38" i="24" s="1"/>
  <c r="J38" i="24" s="1"/>
  <c r="K38" i="24" s="1"/>
  <c r="L38" i="24" s="1"/>
  <c r="F38" i="24"/>
  <c r="AW37" i="24"/>
  <c r="AX37" i="24" s="1"/>
  <c r="AY37" i="24" s="1"/>
  <c r="AZ37" i="24" s="1"/>
  <c r="AU37" i="24"/>
  <c r="AV37" i="24" s="1"/>
  <c r="AT37" i="24"/>
  <c r="AO37" i="24"/>
  <c r="AP37" i="24" s="1"/>
  <c r="AQ37" i="24" s="1"/>
  <c r="AR37" i="24" s="1"/>
  <c r="AL37" i="24"/>
  <c r="AM37" i="24" s="1"/>
  <c r="AN37" i="24" s="1"/>
  <c r="AE37" i="24"/>
  <c r="AF37" i="24" s="1"/>
  <c r="AG37" i="24" s="1"/>
  <c r="AH37" i="24" s="1"/>
  <c r="AI37" i="24" s="1"/>
  <c r="AJ37" i="24" s="1"/>
  <c r="AD37" i="24"/>
  <c r="V37" i="24"/>
  <c r="W37" i="24" s="1"/>
  <c r="X37" i="24" s="1"/>
  <c r="Y37" i="24" s="1"/>
  <c r="Z37" i="24" s="1"/>
  <c r="AA37" i="24" s="1"/>
  <c r="AB37" i="24" s="1"/>
  <c r="N37" i="24"/>
  <c r="O37" i="24" s="1"/>
  <c r="P37" i="24" s="1"/>
  <c r="Q37" i="24" s="1"/>
  <c r="R37" i="24" s="1"/>
  <c r="S37" i="24" s="1"/>
  <c r="T37" i="24" s="1"/>
  <c r="F37" i="24"/>
  <c r="G37" i="24" s="1"/>
  <c r="H37" i="24" s="1"/>
  <c r="I37" i="24" s="1"/>
  <c r="J37" i="24" s="1"/>
  <c r="K37" i="24" s="1"/>
  <c r="L37" i="24" s="1"/>
  <c r="AU36" i="24"/>
  <c r="AV36" i="24" s="1"/>
  <c r="AW36" i="24" s="1"/>
  <c r="AX36" i="24" s="1"/>
  <c r="AY36" i="24" s="1"/>
  <c r="AZ36" i="24" s="1"/>
  <c r="AT36" i="24"/>
  <c r="AM36" i="24"/>
  <c r="AN36" i="24" s="1"/>
  <c r="AO36" i="24" s="1"/>
  <c r="AP36" i="24" s="1"/>
  <c r="AQ36" i="24" s="1"/>
  <c r="AR36" i="24" s="1"/>
  <c r="AL36" i="24"/>
  <c r="AG36" i="24"/>
  <c r="AH36" i="24" s="1"/>
  <c r="AI36" i="24" s="1"/>
  <c r="AJ36" i="24" s="1"/>
  <c r="AD36" i="24"/>
  <c r="AE36" i="24" s="1"/>
  <c r="AF36" i="24" s="1"/>
  <c r="X36" i="24"/>
  <c r="Y36" i="24" s="1"/>
  <c r="Z36" i="24" s="1"/>
  <c r="AA36" i="24" s="1"/>
  <c r="AB36" i="24" s="1"/>
  <c r="W36" i="24"/>
  <c r="V36" i="24"/>
  <c r="N36" i="24"/>
  <c r="O36" i="24" s="1"/>
  <c r="P36" i="24" s="1"/>
  <c r="Q36" i="24" s="1"/>
  <c r="R36" i="24" s="1"/>
  <c r="S36" i="24" s="1"/>
  <c r="T36" i="24" s="1"/>
  <c r="F36" i="24"/>
  <c r="AU35" i="24"/>
  <c r="AV35" i="24" s="1"/>
  <c r="AW35" i="24" s="1"/>
  <c r="AX35" i="24" s="1"/>
  <c r="AY35" i="24" s="1"/>
  <c r="AZ35" i="24" s="1"/>
  <c r="AT35" i="24"/>
  <c r="AM35" i="24"/>
  <c r="AN35" i="24" s="1"/>
  <c r="AO35" i="24" s="1"/>
  <c r="AP35" i="24" s="1"/>
  <c r="AQ35" i="24" s="1"/>
  <c r="AR35" i="24" s="1"/>
  <c r="AL35" i="24"/>
  <c r="AG35" i="24"/>
  <c r="AH35" i="24" s="1"/>
  <c r="AI35" i="24" s="1"/>
  <c r="AJ35" i="24" s="1"/>
  <c r="AD35" i="24"/>
  <c r="AE35" i="24" s="1"/>
  <c r="AF35" i="24" s="1"/>
  <c r="X35" i="24"/>
  <c r="Y35" i="24" s="1"/>
  <c r="Z35" i="24" s="1"/>
  <c r="AA35" i="24" s="1"/>
  <c r="AB35" i="24" s="1"/>
  <c r="V35" i="24"/>
  <c r="W35" i="24" s="1"/>
  <c r="P35" i="24"/>
  <c r="Q35" i="24" s="1"/>
  <c r="R35" i="24" s="1"/>
  <c r="S35" i="24" s="1"/>
  <c r="T35" i="24" s="1"/>
  <c r="O35" i="24"/>
  <c r="N35" i="24"/>
  <c r="F35" i="24"/>
  <c r="G35" i="24" s="1"/>
  <c r="H35" i="24" s="1"/>
  <c r="I35" i="24" s="1"/>
  <c r="J35" i="24" s="1"/>
  <c r="K35" i="24" s="1"/>
  <c r="L35" i="24" s="1"/>
  <c r="AT34" i="24"/>
  <c r="AU34" i="24" s="1"/>
  <c r="AV34" i="24" s="1"/>
  <c r="AW34" i="24" s="1"/>
  <c r="AX34" i="24" s="1"/>
  <c r="AY34" i="24" s="1"/>
  <c r="AZ34" i="24" s="1"/>
  <c r="AM34" i="24"/>
  <c r="AN34" i="24" s="1"/>
  <c r="AO34" i="24" s="1"/>
  <c r="AP34" i="24" s="1"/>
  <c r="AQ34" i="24" s="1"/>
  <c r="AR34" i="24" s="1"/>
  <c r="AL34" i="24"/>
  <c r="AF34" i="24"/>
  <c r="AG34" i="24" s="1"/>
  <c r="AH34" i="24" s="1"/>
  <c r="AI34" i="24" s="1"/>
  <c r="AJ34" i="24" s="1"/>
  <c r="AD34" i="24"/>
  <c r="AE34" i="24" s="1"/>
  <c r="W34" i="24"/>
  <c r="X34" i="24" s="1"/>
  <c r="Y34" i="24" s="1"/>
  <c r="Z34" i="24" s="1"/>
  <c r="AA34" i="24" s="1"/>
  <c r="AB34" i="24" s="1"/>
  <c r="V34" i="24"/>
  <c r="P34" i="24"/>
  <c r="Q34" i="24" s="1"/>
  <c r="R34" i="24" s="1"/>
  <c r="S34" i="24" s="1"/>
  <c r="T34" i="24" s="1"/>
  <c r="N34" i="24"/>
  <c r="O34" i="24" s="1"/>
  <c r="H34" i="24"/>
  <c r="I34" i="24" s="1"/>
  <c r="J34" i="24" s="1"/>
  <c r="K34" i="24" s="1"/>
  <c r="L34" i="24" s="1"/>
  <c r="G34" i="24"/>
  <c r="F34" i="24"/>
  <c r="AT33" i="24"/>
  <c r="AU33" i="24" s="1"/>
  <c r="AV33" i="24" s="1"/>
  <c r="AW33" i="24" s="1"/>
  <c r="AX33" i="24" s="1"/>
  <c r="AY33" i="24" s="1"/>
  <c r="AZ33" i="24" s="1"/>
  <c r="AL33" i="24"/>
  <c r="AM33" i="24" s="1"/>
  <c r="AN33" i="24" s="1"/>
  <c r="AO33" i="24" s="1"/>
  <c r="AP33" i="24" s="1"/>
  <c r="AQ33" i="24" s="1"/>
  <c r="AR33" i="24" s="1"/>
  <c r="AE33" i="24"/>
  <c r="AF33" i="24" s="1"/>
  <c r="AG33" i="24" s="1"/>
  <c r="AH33" i="24" s="1"/>
  <c r="AI33" i="24" s="1"/>
  <c r="AJ33" i="24" s="1"/>
  <c r="AD33" i="24"/>
  <c r="V33" i="24"/>
  <c r="W33" i="24" s="1"/>
  <c r="X33" i="24" s="1"/>
  <c r="Y33" i="24" s="1"/>
  <c r="Z33" i="24" s="1"/>
  <c r="AA33" i="24" s="1"/>
  <c r="AB33" i="24" s="1"/>
  <c r="N33" i="24"/>
  <c r="O33" i="24" s="1"/>
  <c r="P33" i="24" s="1"/>
  <c r="Q33" i="24" s="1"/>
  <c r="R33" i="24" s="1"/>
  <c r="S33" i="24" s="1"/>
  <c r="T33" i="24" s="1"/>
  <c r="I33" i="24"/>
  <c r="J33" i="24" s="1"/>
  <c r="K33" i="24" s="1"/>
  <c r="L33" i="24" s="1"/>
  <c r="H33" i="24"/>
  <c r="F33" i="24"/>
  <c r="G33" i="24" s="1"/>
  <c r="AU32" i="24"/>
  <c r="AV32" i="24" s="1"/>
  <c r="AW32" i="24" s="1"/>
  <c r="AX32" i="24" s="1"/>
  <c r="AY32" i="24" s="1"/>
  <c r="AZ32" i="24" s="1"/>
  <c r="AT32" i="24"/>
  <c r="AO32" i="24"/>
  <c r="AP32" i="24" s="1"/>
  <c r="AQ32" i="24" s="1"/>
  <c r="AR32" i="24" s="1"/>
  <c r="AL32" i="24"/>
  <c r="AM32" i="24" s="1"/>
  <c r="AN32" i="24" s="1"/>
  <c r="AF32" i="24"/>
  <c r="AG32" i="24" s="1"/>
  <c r="AH32" i="24" s="1"/>
  <c r="AI32" i="24" s="1"/>
  <c r="AJ32" i="24" s="1"/>
  <c r="AD32" i="24"/>
  <c r="AE32" i="24" s="1"/>
  <c r="X32" i="24"/>
  <c r="Y32" i="24" s="1"/>
  <c r="Z32" i="24" s="1"/>
  <c r="AA32" i="24" s="1"/>
  <c r="AB32" i="24" s="1"/>
  <c r="W32" i="24"/>
  <c r="V32" i="24"/>
  <c r="N32" i="24"/>
  <c r="O32" i="24" s="1"/>
  <c r="P32" i="24" s="1"/>
  <c r="Q32" i="24" s="1"/>
  <c r="R32" i="24" s="1"/>
  <c r="S32" i="24" s="1"/>
  <c r="T32" i="24" s="1"/>
  <c r="F32" i="24"/>
  <c r="G32" i="24" s="1"/>
  <c r="H32" i="24" s="1"/>
  <c r="I32" i="24" s="1"/>
  <c r="J32" i="24" s="1"/>
  <c r="K32" i="24" s="1"/>
  <c r="L32" i="24" s="1"/>
  <c r="AU31" i="24"/>
  <c r="AV31" i="24" s="1"/>
  <c r="AW31" i="24" s="1"/>
  <c r="AX31" i="24" s="1"/>
  <c r="AY31" i="24" s="1"/>
  <c r="AZ31" i="24" s="1"/>
  <c r="AT31" i="24"/>
  <c r="AN31" i="24"/>
  <c r="AO31" i="24" s="1"/>
  <c r="AP31" i="24" s="1"/>
  <c r="AQ31" i="24" s="1"/>
  <c r="AR31" i="24" s="1"/>
  <c r="AL31" i="24"/>
  <c r="AM31" i="24" s="1"/>
  <c r="AE31" i="24"/>
  <c r="AF31" i="24" s="1"/>
  <c r="AG31" i="24" s="1"/>
  <c r="AH31" i="24" s="1"/>
  <c r="AI31" i="24" s="1"/>
  <c r="AJ31" i="24" s="1"/>
  <c r="AD31" i="24"/>
  <c r="X31" i="24"/>
  <c r="Y31" i="24" s="1"/>
  <c r="Z31" i="24" s="1"/>
  <c r="AA31" i="24" s="1"/>
  <c r="AB31" i="24" s="1"/>
  <c r="V31" i="24"/>
  <c r="W31" i="24" s="1"/>
  <c r="P31" i="24"/>
  <c r="Q31" i="24" s="1"/>
  <c r="R31" i="24" s="1"/>
  <c r="S31" i="24" s="1"/>
  <c r="T31" i="24" s="1"/>
  <c r="O31" i="24"/>
  <c r="N31" i="24"/>
  <c r="F31" i="24"/>
  <c r="G31" i="24" s="1"/>
  <c r="AT30" i="24"/>
  <c r="AU30" i="24" s="1"/>
  <c r="AV30" i="24" s="1"/>
  <c r="AW30" i="24" s="1"/>
  <c r="AX30" i="24" s="1"/>
  <c r="AY30" i="24" s="1"/>
  <c r="AZ30" i="24" s="1"/>
  <c r="AM30" i="24"/>
  <c r="AN30" i="24" s="1"/>
  <c r="AO30" i="24" s="1"/>
  <c r="AP30" i="24" s="1"/>
  <c r="AQ30" i="24" s="1"/>
  <c r="AR30" i="24" s="1"/>
  <c r="AL30" i="24"/>
  <c r="AD30" i="24"/>
  <c r="AE30" i="24" s="1"/>
  <c r="AF30" i="24" s="1"/>
  <c r="AG30" i="24" s="1"/>
  <c r="AH30" i="24" s="1"/>
  <c r="AI30" i="24" s="1"/>
  <c r="AJ30" i="24" s="1"/>
  <c r="V30" i="24"/>
  <c r="W30" i="24" s="1"/>
  <c r="X30" i="24" s="1"/>
  <c r="Y30" i="24" s="1"/>
  <c r="Z30" i="24" s="1"/>
  <c r="AA30" i="24" s="1"/>
  <c r="AB30" i="24" s="1"/>
  <c r="Q30" i="24"/>
  <c r="R30" i="24" s="1"/>
  <c r="S30" i="24" s="1"/>
  <c r="T30" i="24" s="1"/>
  <c r="P30" i="24"/>
  <c r="N30" i="24"/>
  <c r="O30" i="24" s="1"/>
  <c r="G30" i="24"/>
  <c r="H30" i="24" s="1"/>
  <c r="I30" i="24" s="1"/>
  <c r="F30" i="24"/>
  <c r="AU29" i="24"/>
  <c r="AV29" i="24" s="1"/>
  <c r="AW29" i="24" s="1"/>
  <c r="AX29" i="24" s="1"/>
  <c r="AY29" i="24" s="1"/>
  <c r="AZ29" i="24" s="1"/>
  <c r="AT29" i="24"/>
  <c r="AN29" i="24"/>
  <c r="AO29" i="24" s="1"/>
  <c r="AP29" i="24" s="1"/>
  <c r="AQ29" i="24" s="1"/>
  <c r="AR29" i="24" s="1"/>
  <c r="AL29" i="24"/>
  <c r="AM29" i="24" s="1"/>
  <c r="AF29" i="24"/>
  <c r="AG29" i="24" s="1"/>
  <c r="AH29" i="24" s="1"/>
  <c r="AI29" i="24" s="1"/>
  <c r="AJ29" i="24" s="1"/>
  <c r="AE29" i="24"/>
  <c r="AD29" i="24"/>
  <c r="V29" i="24"/>
  <c r="W29" i="24" s="1"/>
  <c r="X29" i="24" s="1"/>
  <c r="Y29" i="24" s="1"/>
  <c r="Z29" i="24" s="1"/>
  <c r="AA29" i="24" s="1"/>
  <c r="AB29" i="24" s="1"/>
  <c r="N29" i="24"/>
  <c r="O29" i="24" s="1"/>
  <c r="P29" i="24" s="1"/>
  <c r="Q29" i="24" s="1"/>
  <c r="R29" i="24" s="1"/>
  <c r="S29" i="24" s="1"/>
  <c r="T29" i="24" s="1"/>
  <c r="G29" i="24"/>
  <c r="F29" i="24"/>
  <c r="AU28" i="24"/>
  <c r="AV28" i="24" s="1"/>
  <c r="AW28" i="24" s="1"/>
  <c r="AX28" i="24" s="1"/>
  <c r="AY28" i="24" s="1"/>
  <c r="AZ28" i="24" s="1"/>
  <c r="AT28" i="24"/>
  <c r="AL28" i="24"/>
  <c r="AM28" i="24" s="1"/>
  <c r="AN28" i="24" s="1"/>
  <c r="AO28" i="24" s="1"/>
  <c r="AP28" i="24" s="1"/>
  <c r="AQ28" i="24" s="1"/>
  <c r="AR28" i="24" s="1"/>
  <c r="AE28" i="24"/>
  <c r="AF28" i="24" s="1"/>
  <c r="AG28" i="24" s="1"/>
  <c r="AH28" i="24" s="1"/>
  <c r="AI28" i="24" s="1"/>
  <c r="AJ28" i="24" s="1"/>
  <c r="AD28" i="24"/>
  <c r="V28" i="24"/>
  <c r="W28" i="24" s="1"/>
  <c r="X28" i="24" s="1"/>
  <c r="Y28" i="24" s="1"/>
  <c r="Z28" i="24" s="1"/>
  <c r="AA28" i="24" s="1"/>
  <c r="AB28" i="24" s="1"/>
  <c r="N28" i="24"/>
  <c r="O28" i="24" s="1"/>
  <c r="P28" i="24" s="1"/>
  <c r="Q28" i="24" s="1"/>
  <c r="R28" i="24" s="1"/>
  <c r="S28" i="24" s="1"/>
  <c r="T28" i="24" s="1"/>
  <c r="F28" i="24"/>
  <c r="G28" i="24" s="1"/>
  <c r="H28" i="24" s="1"/>
  <c r="I28" i="24" s="1"/>
  <c r="J28" i="24" s="1"/>
  <c r="K28" i="24" s="1"/>
  <c r="L28" i="24" s="1"/>
  <c r="AT27" i="24"/>
  <c r="AU27" i="24" s="1"/>
  <c r="AV27" i="24" s="1"/>
  <c r="AW27" i="24" s="1"/>
  <c r="AX27" i="24" s="1"/>
  <c r="AY27" i="24" s="1"/>
  <c r="AZ27" i="24" s="1"/>
  <c r="AM27" i="24"/>
  <c r="AN27" i="24" s="1"/>
  <c r="AO27" i="24" s="1"/>
  <c r="AP27" i="24" s="1"/>
  <c r="AQ27" i="24" s="1"/>
  <c r="AR27" i="24" s="1"/>
  <c r="AL27" i="24"/>
  <c r="AD27" i="24"/>
  <c r="AE27" i="24" s="1"/>
  <c r="AF27" i="24" s="1"/>
  <c r="AG27" i="24" s="1"/>
  <c r="AH27" i="24" s="1"/>
  <c r="AI27" i="24" s="1"/>
  <c r="AJ27" i="24" s="1"/>
  <c r="W27" i="24"/>
  <c r="X27" i="24" s="1"/>
  <c r="Y27" i="24" s="1"/>
  <c r="Z27" i="24" s="1"/>
  <c r="AA27" i="24" s="1"/>
  <c r="AB27" i="24" s="1"/>
  <c r="V27" i="24"/>
  <c r="N27" i="24"/>
  <c r="O27" i="24" s="1"/>
  <c r="P27" i="24" s="1"/>
  <c r="Q27" i="24" s="1"/>
  <c r="R27" i="24" s="1"/>
  <c r="S27" i="24" s="1"/>
  <c r="T27" i="24" s="1"/>
  <c r="F27" i="24"/>
  <c r="G27" i="24" s="1"/>
  <c r="H27" i="24" s="1"/>
  <c r="I27" i="24" s="1"/>
  <c r="J27" i="24" s="1"/>
  <c r="K27" i="24" s="1"/>
  <c r="L27" i="24" s="1"/>
  <c r="AU26" i="24"/>
  <c r="AV26" i="24" s="1"/>
  <c r="AW26" i="24" s="1"/>
  <c r="AX26" i="24" s="1"/>
  <c r="AY26" i="24" s="1"/>
  <c r="AZ26" i="24" s="1"/>
  <c r="AT26" i="24"/>
  <c r="AM26" i="24"/>
  <c r="AN26" i="24" s="1"/>
  <c r="AO26" i="24" s="1"/>
  <c r="AP26" i="24" s="1"/>
  <c r="AQ26" i="24" s="1"/>
  <c r="AR26" i="24" s="1"/>
  <c r="AL26" i="24"/>
  <c r="AD26" i="24"/>
  <c r="AE26" i="24" s="1"/>
  <c r="AF26" i="24" s="1"/>
  <c r="AG26" i="24" s="1"/>
  <c r="AH26" i="24" s="1"/>
  <c r="AI26" i="24" s="1"/>
  <c r="AJ26" i="24" s="1"/>
  <c r="V26" i="24"/>
  <c r="W26" i="24" s="1"/>
  <c r="X26" i="24" s="1"/>
  <c r="Y26" i="24" s="1"/>
  <c r="Z26" i="24" s="1"/>
  <c r="AA26" i="24" s="1"/>
  <c r="AB26" i="24" s="1"/>
  <c r="O26" i="24"/>
  <c r="P26" i="24" s="1"/>
  <c r="Q26" i="24" s="1"/>
  <c r="R26" i="24" s="1"/>
  <c r="S26" i="24" s="1"/>
  <c r="T26" i="24" s="1"/>
  <c r="N26" i="24"/>
  <c r="F26" i="24"/>
  <c r="AT25" i="24"/>
  <c r="AU25" i="24" s="1"/>
  <c r="AV25" i="24" s="1"/>
  <c r="AW25" i="24" s="1"/>
  <c r="AX25" i="24" s="1"/>
  <c r="AY25" i="24" s="1"/>
  <c r="AZ25" i="24" s="1"/>
  <c r="AM25" i="24"/>
  <c r="AN25" i="24" s="1"/>
  <c r="AO25" i="24" s="1"/>
  <c r="AP25" i="24" s="1"/>
  <c r="AQ25" i="24" s="1"/>
  <c r="AR25" i="24" s="1"/>
  <c r="AL25" i="24"/>
  <c r="AD25" i="24"/>
  <c r="AE25" i="24" s="1"/>
  <c r="AF25" i="24" s="1"/>
  <c r="AG25" i="24" s="1"/>
  <c r="AH25" i="24" s="1"/>
  <c r="AI25" i="24" s="1"/>
  <c r="AJ25" i="24" s="1"/>
  <c r="V25" i="24"/>
  <c r="W25" i="24" s="1"/>
  <c r="X25" i="24" s="1"/>
  <c r="Y25" i="24" s="1"/>
  <c r="Z25" i="24" s="1"/>
  <c r="AA25" i="24" s="1"/>
  <c r="AB25" i="24" s="1"/>
  <c r="N25" i="24"/>
  <c r="O25" i="24" s="1"/>
  <c r="P25" i="24" s="1"/>
  <c r="Q25" i="24" s="1"/>
  <c r="R25" i="24" s="1"/>
  <c r="S25" i="24" s="1"/>
  <c r="T25" i="24" s="1"/>
  <c r="H25" i="24"/>
  <c r="I25" i="24" s="1"/>
  <c r="J25" i="24" s="1"/>
  <c r="K25" i="24" s="1"/>
  <c r="L25" i="24" s="1"/>
  <c r="G25" i="24"/>
  <c r="F25" i="24"/>
  <c r="AT24" i="24"/>
  <c r="AU24" i="24" s="1"/>
  <c r="AV24" i="24" s="1"/>
  <c r="AW24" i="24" s="1"/>
  <c r="AX24" i="24" s="1"/>
  <c r="AY24" i="24" s="1"/>
  <c r="AZ24" i="24" s="1"/>
  <c r="AL24" i="24"/>
  <c r="AM24" i="24" s="1"/>
  <c r="AN24" i="24" s="1"/>
  <c r="AO24" i="24" s="1"/>
  <c r="AP24" i="24" s="1"/>
  <c r="AQ24" i="24" s="1"/>
  <c r="AR24" i="24" s="1"/>
  <c r="AE24" i="24"/>
  <c r="AF24" i="24" s="1"/>
  <c r="AG24" i="24" s="1"/>
  <c r="AH24" i="24" s="1"/>
  <c r="AI24" i="24" s="1"/>
  <c r="AJ24" i="24" s="1"/>
  <c r="AD24" i="24"/>
  <c r="V24" i="24"/>
  <c r="W24" i="24" s="1"/>
  <c r="X24" i="24" s="1"/>
  <c r="Y24" i="24" s="1"/>
  <c r="Z24" i="24" s="1"/>
  <c r="AA24" i="24" s="1"/>
  <c r="AB24" i="24" s="1"/>
  <c r="N24" i="24"/>
  <c r="O24" i="24" s="1"/>
  <c r="P24" i="24" s="1"/>
  <c r="Q24" i="24" s="1"/>
  <c r="R24" i="24" s="1"/>
  <c r="S24" i="24" s="1"/>
  <c r="T24" i="24" s="1"/>
  <c r="H24" i="24"/>
  <c r="I24" i="24" s="1"/>
  <c r="J24" i="24" s="1"/>
  <c r="K24" i="24" s="1"/>
  <c r="L24" i="24" s="1"/>
  <c r="F24" i="24"/>
  <c r="G24" i="24" s="1"/>
  <c r="AU23" i="24"/>
  <c r="AV23" i="24" s="1"/>
  <c r="AW23" i="24" s="1"/>
  <c r="AX23" i="24" s="1"/>
  <c r="AY23" i="24" s="1"/>
  <c r="AZ23" i="24" s="1"/>
  <c r="AT23" i="24"/>
  <c r="AL23" i="24"/>
  <c r="AM23" i="24" s="1"/>
  <c r="AN23" i="24" s="1"/>
  <c r="AO23" i="24" s="1"/>
  <c r="AP23" i="24" s="1"/>
  <c r="AQ23" i="24" s="1"/>
  <c r="AR23" i="24" s="1"/>
  <c r="AD23" i="24"/>
  <c r="AE23" i="24" s="1"/>
  <c r="AF23" i="24" s="1"/>
  <c r="AG23" i="24" s="1"/>
  <c r="AH23" i="24" s="1"/>
  <c r="AI23" i="24" s="1"/>
  <c r="AJ23" i="24" s="1"/>
  <c r="W23" i="24"/>
  <c r="X23" i="24" s="1"/>
  <c r="Y23" i="24" s="1"/>
  <c r="Z23" i="24" s="1"/>
  <c r="AA23" i="24" s="1"/>
  <c r="AB23" i="24" s="1"/>
  <c r="V23" i="24"/>
  <c r="N23" i="24"/>
  <c r="O23" i="24" s="1"/>
  <c r="P23" i="24" s="1"/>
  <c r="Q23" i="24" s="1"/>
  <c r="R23" i="24" s="1"/>
  <c r="S23" i="24" s="1"/>
  <c r="T23" i="24" s="1"/>
  <c r="F23" i="24"/>
  <c r="AU22" i="24"/>
  <c r="AV22" i="24" s="1"/>
  <c r="AW22" i="24" s="1"/>
  <c r="AX22" i="24" s="1"/>
  <c r="AY22" i="24" s="1"/>
  <c r="AZ22" i="24" s="1"/>
  <c r="AT22" i="24"/>
  <c r="AL22" i="24"/>
  <c r="AM22" i="24" s="1"/>
  <c r="AN22" i="24" s="1"/>
  <c r="AO22" i="24" s="1"/>
  <c r="AP22" i="24" s="1"/>
  <c r="AQ22" i="24" s="1"/>
  <c r="AR22" i="24" s="1"/>
  <c r="AD22" i="24"/>
  <c r="AE22" i="24" s="1"/>
  <c r="AF22" i="24" s="1"/>
  <c r="AG22" i="24" s="1"/>
  <c r="AH22" i="24" s="1"/>
  <c r="AI22" i="24" s="1"/>
  <c r="AJ22" i="24" s="1"/>
  <c r="V22" i="24"/>
  <c r="W22" i="24" s="1"/>
  <c r="X22" i="24" s="1"/>
  <c r="Y22" i="24" s="1"/>
  <c r="Z22" i="24" s="1"/>
  <c r="AA22" i="24" s="1"/>
  <c r="AB22" i="24" s="1"/>
  <c r="P22" i="24"/>
  <c r="Q22" i="24" s="1"/>
  <c r="R22" i="24" s="1"/>
  <c r="S22" i="24" s="1"/>
  <c r="T22" i="24" s="1"/>
  <c r="O22" i="24"/>
  <c r="N22" i="24"/>
  <c r="F22" i="24"/>
  <c r="G22" i="24" s="1"/>
  <c r="H22" i="24" s="1"/>
  <c r="I22" i="24" s="1"/>
  <c r="J22" i="24" s="1"/>
  <c r="K22" i="24" s="1"/>
  <c r="L22" i="24" s="1"/>
  <c r="AT21" i="24"/>
  <c r="AU21" i="24" s="1"/>
  <c r="AV21" i="24" s="1"/>
  <c r="AW21" i="24" s="1"/>
  <c r="AX21" i="24" s="1"/>
  <c r="AY21" i="24" s="1"/>
  <c r="AZ21" i="24" s="1"/>
  <c r="AM21" i="24"/>
  <c r="AN21" i="24" s="1"/>
  <c r="AO21" i="24" s="1"/>
  <c r="AP21" i="24" s="1"/>
  <c r="AQ21" i="24" s="1"/>
  <c r="AR21" i="24" s="1"/>
  <c r="AL21" i="24"/>
  <c r="AD21" i="24"/>
  <c r="AE21" i="24" s="1"/>
  <c r="AF21" i="24" s="1"/>
  <c r="AG21" i="24" s="1"/>
  <c r="AH21" i="24" s="1"/>
  <c r="AI21" i="24" s="1"/>
  <c r="AJ21" i="24" s="1"/>
  <c r="V21" i="24"/>
  <c r="W21" i="24" s="1"/>
  <c r="X21" i="24" s="1"/>
  <c r="Y21" i="24" s="1"/>
  <c r="Z21" i="24" s="1"/>
  <c r="AA21" i="24" s="1"/>
  <c r="AB21" i="24" s="1"/>
  <c r="P21" i="24"/>
  <c r="Q21" i="24" s="1"/>
  <c r="R21" i="24" s="1"/>
  <c r="S21" i="24" s="1"/>
  <c r="T21" i="24" s="1"/>
  <c r="N21" i="24"/>
  <c r="O21" i="24" s="1"/>
  <c r="G21" i="24"/>
  <c r="H21" i="24" s="1"/>
  <c r="I21" i="24" s="1"/>
  <c r="J21" i="24" s="1"/>
  <c r="K21" i="24" s="1"/>
  <c r="L21" i="24" s="1"/>
  <c r="F21" i="24"/>
  <c r="AT20" i="24"/>
  <c r="AU20" i="24" s="1"/>
  <c r="AV20" i="24" s="1"/>
  <c r="AW20" i="24" s="1"/>
  <c r="AX20" i="24" s="1"/>
  <c r="AY20" i="24" s="1"/>
  <c r="AZ20" i="24" s="1"/>
  <c r="AL20" i="24"/>
  <c r="AM20" i="24" s="1"/>
  <c r="AN20" i="24" s="1"/>
  <c r="AO20" i="24" s="1"/>
  <c r="AP20" i="24" s="1"/>
  <c r="AQ20" i="24" s="1"/>
  <c r="AR20" i="24" s="1"/>
  <c r="AF20" i="24"/>
  <c r="AG20" i="24" s="1"/>
  <c r="AH20" i="24" s="1"/>
  <c r="AI20" i="24" s="1"/>
  <c r="AJ20" i="24" s="1"/>
  <c r="AE20" i="24"/>
  <c r="AD20" i="24"/>
  <c r="V20" i="24"/>
  <c r="W20" i="24" s="1"/>
  <c r="X20" i="24" s="1"/>
  <c r="Y20" i="24" s="1"/>
  <c r="Z20" i="24" s="1"/>
  <c r="AA20" i="24" s="1"/>
  <c r="AB20" i="24" s="1"/>
  <c r="O20" i="24"/>
  <c r="P20" i="24" s="1"/>
  <c r="Q20" i="24" s="1"/>
  <c r="R20" i="24" s="1"/>
  <c r="S20" i="24" s="1"/>
  <c r="T20" i="24" s="1"/>
  <c r="N20" i="24"/>
  <c r="F20" i="24"/>
  <c r="G20" i="24" s="1"/>
  <c r="H20" i="24" s="1"/>
  <c r="I20" i="24" s="1"/>
  <c r="J20" i="24" s="1"/>
  <c r="K20" i="24" s="1"/>
  <c r="L20" i="24" s="1"/>
  <c r="AT19" i="24"/>
  <c r="AU19" i="24" s="1"/>
  <c r="AV19" i="24" s="1"/>
  <c r="AW19" i="24" s="1"/>
  <c r="AX19" i="24" s="1"/>
  <c r="AY19" i="24" s="1"/>
  <c r="AZ19" i="24" s="1"/>
  <c r="AL19" i="24"/>
  <c r="AM19" i="24" s="1"/>
  <c r="AN19" i="24" s="1"/>
  <c r="AO19" i="24" s="1"/>
  <c r="AP19" i="24" s="1"/>
  <c r="AQ19" i="24" s="1"/>
  <c r="AR19" i="24" s="1"/>
  <c r="AD19" i="24"/>
  <c r="AE19" i="24" s="1"/>
  <c r="AF19" i="24" s="1"/>
  <c r="AG19" i="24" s="1"/>
  <c r="AH19" i="24" s="1"/>
  <c r="AI19" i="24" s="1"/>
  <c r="AJ19" i="24" s="1"/>
  <c r="X19" i="24"/>
  <c r="Y19" i="24" s="1"/>
  <c r="Z19" i="24" s="1"/>
  <c r="AA19" i="24" s="1"/>
  <c r="AB19" i="24" s="1"/>
  <c r="W19" i="24"/>
  <c r="V19" i="24"/>
  <c r="N19" i="24"/>
  <c r="O19" i="24" s="1"/>
  <c r="P19" i="24" s="1"/>
  <c r="Q19" i="24" s="1"/>
  <c r="R19" i="24" s="1"/>
  <c r="S19" i="24" s="1"/>
  <c r="T19" i="24" s="1"/>
  <c r="G19" i="24"/>
  <c r="H19" i="24" s="1"/>
  <c r="I19" i="24" s="1"/>
  <c r="J19" i="24" s="1"/>
  <c r="K19" i="24" s="1"/>
  <c r="L19" i="24" s="1"/>
  <c r="F19" i="24"/>
  <c r="AU18" i="24"/>
  <c r="AV18" i="24" s="1"/>
  <c r="AW18" i="24" s="1"/>
  <c r="AX18" i="24" s="1"/>
  <c r="AY18" i="24" s="1"/>
  <c r="AZ18" i="24" s="1"/>
  <c r="AT18" i="24"/>
  <c r="AL18" i="24"/>
  <c r="AM18" i="24" s="1"/>
  <c r="AN18" i="24" s="1"/>
  <c r="AO18" i="24" s="1"/>
  <c r="AP18" i="24" s="1"/>
  <c r="AQ18" i="24" s="1"/>
  <c r="AR18" i="24" s="1"/>
  <c r="AD18" i="24"/>
  <c r="AE18" i="24" s="1"/>
  <c r="AF18" i="24" s="1"/>
  <c r="AG18" i="24" s="1"/>
  <c r="AH18" i="24" s="1"/>
  <c r="AI18" i="24" s="1"/>
  <c r="AJ18" i="24" s="1"/>
  <c r="X18" i="24"/>
  <c r="Y18" i="24" s="1"/>
  <c r="Z18" i="24" s="1"/>
  <c r="AA18" i="24" s="1"/>
  <c r="AB18" i="24" s="1"/>
  <c r="V18" i="24"/>
  <c r="W18" i="24" s="1"/>
  <c r="O18" i="24"/>
  <c r="P18" i="24" s="1"/>
  <c r="Q18" i="24" s="1"/>
  <c r="R18" i="24" s="1"/>
  <c r="S18" i="24" s="1"/>
  <c r="T18" i="24" s="1"/>
  <c r="N18" i="24"/>
  <c r="G18" i="24"/>
  <c r="F18" i="24"/>
  <c r="AT17" i="24"/>
  <c r="AU17" i="24" s="1"/>
  <c r="AV17" i="24" s="1"/>
  <c r="AW17" i="24" s="1"/>
  <c r="AX17" i="24" s="1"/>
  <c r="AY17" i="24" s="1"/>
  <c r="AZ17" i="24" s="1"/>
  <c r="AN17" i="24"/>
  <c r="AO17" i="24" s="1"/>
  <c r="AP17" i="24" s="1"/>
  <c r="AQ17" i="24" s="1"/>
  <c r="AR17" i="24" s="1"/>
  <c r="AM17" i="24"/>
  <c r="AL17" i="24"/>
  <c r="AD17" i="24"/>
  <c r="AE17" i="24" s="1"/>
  <c r="AF17" i="24" s="1"/>
  <c r="AG17" i="24" s="1"/>
  <c r="AH17" i="24" s="1"/>
  <c r="AI17" i="24" s="1"/>
  <c r="AJ17" i="24" s="1"/>
  <c r="W17" i="24"/>
  <c r="X17" i="24" s="1"/>
  <c r="Y17" i="24" s="1"/>
  <c r="Z17" i="24" s="1"/>
  <c r="AA17" i="24" s="1"/>
  <c r="AB17" i="24" s="1"/>
  <c r="V17" i="24"/>
  <c r="N17" i="24"/>
  <c r="O17" i="24" s="1"/>
  <c r="P17" i="24" s="1"/>
  <c r="Q17" i="24" s="1"/>
  <c r="R17" i="24" s="1"/>
  <c r="S17" i="24" s="1"/>
  <c r="T17" i="24" s="1"/>
  <c r="G17" i="24"/>
  <c r="F17" i="24"/>
  <c r="AT16" i="24"/>
  <c r="AU16" i="24" s="1"/>
  <c r="AV16" i="24" s="1"/>
  <c r="AW16" i="24" s="1"/>
  <c r="AX16" i="24" s="1"/>
  <c r="AY16" i="24" s="1"/>
  <c r="AZ16" i="24" s="1"/>
  <c r="AN16" i="24"/>
  <c r="AO16" i="24" s="1"/>
  <c r="AP16" i="24" s="1"/>
  <c r="AQ16" i="24" s="1"/>
  <c r="AR16" i="24" s="1"/>
  <c r="AL16" i="24"/>
  <c r="AM16" i="24" s="1"/>
  <c r="AE16" i="24"/>
  <c r="AF16" i="24" s="1"/>
  <c r="AG16" i="24" s="1"/>
  <c r="AH16" i="24" s="1"/>
  <c r="AI16" i="24" s="1"/>
  <c r="AJ16" i="24" s="1"/>
  <c r="AD16" i="24"/>
  <c r="W16" i="24"/>
  <c r="X16" i="24" s="1"/>
  <c r="Y16" i="24" s="1"/>
  <c r="Z16" i="24" s="1"/>
  <c r="AA16" i="24" s="1"/>
  <c r="AB16" i="24" s="1"/>
  <c r="V16" i="24"/>
  <c r="N16" i="24"/>
  <c r="O16" i="24" s="1"/>
  <c r="P16" i="24" s="1"/>
  <c r="Q16" i="24" s="1"/>
  <c r="R16" i="24" s="1"/>
  <c r="S16" i="24" s="1"/>
  <c r="T16" i="24" s="1"/>
  <c r="F16" i="24"/>
  <c r="G16" i="24" s="1"/>
  <c r="H16" i="24" s="1"/>
  <c r="I16" i="24" s="1"/>
  <c r="J16" i="24" s="1"/>
  <c r="K16" i="24" s="1"/>
  <c r="L16" i="24" s="1"/>
  <c r="AT15" i="24"/>
  <c r="AU15" i="24" s="1"/>
  <c r="AV15" i="24" s="1"/>
  <c r="AW15" i="24" s="1"/>
  <c r="AX15" i="24" s="1"/>
  <c r="AY15" i="24" s="1"/>
  <c r="AZ15" i="24" s="1"/>
  <c r="AL15" i="24"/>
  <c r="AM15" i="24" s="1"/>
  <c r="AN15" i="24" s="1"/>
  <c r="AO15" i="24" s="1"/>
  <c r="AP15" i="24" s="1"/>
  <c r="AQ15" i="24" s="1"/>
  <c r="AR15" i="24" s="1"/>
  <c r="AF15" i="24"/>
  <c r="AG15" i="24" s="1"/>
  <c r="AH15" i="24" s="1"/>
  <c r="AI15" i="24" s="1"/>
  <c r="AJ15" i="24" s="1"/>
  <c r="AD15" i="24"/>
  <c r="AE15" i="24" s="1"/>
  <c r="W15" i="24"/>
  <c r="X15" i="24" s="1"/>
  <c r="Y15" i="24" s="1"/>
  <c r="Z15" i="24" s="1"/>
  <c r="AA15" i="24" s="1"/>
  <c r="AB15" i="24" s="1"/>
  <c r="V15" i="24"/>
  <c r="O15" i="24"/>
  <c r="P15" i="24" s="1"/>
  <c r="Q15" i="24" s="1"/>
  <c r="R15" i="24" s="1"/>
  <c r="S15" i="24" s="1"/>
  <c r="T15" i="24" s="1"/>
  <c r="N15" i="24"/>
  <c r="F15" i="24"/>
  <c r="AV14" i="24"/>
  <c r="AW14" i="24" s="1"/>
  <c r="AX14" i="24" s="1"/>
  <c r="AY14" i="24" s="1"/>
  <c r="AZ14" i="24" s="1"/>
  <c r="AU14" i="24"/>
  <c r="AT14" i="24"/>
  <c r="AL14" i="24"/>
  <c r="AM14" i="24" s="1"/>
  <c r="AN14" i="24" s="1"/>
  <c r="AO14" i="24" s="1"/>
  <c r="AP14" i="24" s="1"/>
  <c r="AQ14" i="24" s="1"/>
  <c r="AR14" i="24" s="1"/>
  <c r="AE14" i="24"/>
  <c r="AF14" i="24" s="1"/>
  <c r="AG14" i="24" s="1"/>
  <c r="AH14" i="24" s="1"/>
  <c r="AI14" i="24" s="1"/>
  <c r="AJ14" i="24" s="1"/>
  <c r="AD14" i="24"/>
  <c r="V14" i="24"/>
  <c r="W14" i="24" s="1"/>
  <c r="X14" i="24" s="1"/>
  <c r="Y14" i="24" s="1"/>
  <c r="Z14" i="24" s="1"/>
  <c r="AA14" i="24" s="1"/>
  <c r="AB14" i="24" s="1"/>
  <c r="O14" i="24"/>
  <c r="P14" i="24" s="1"/>
  <c r="Q14" i="24" s="1"/>
  <c r="R14" i="24" s="1"/>
  <c r="S14" i="24" s="1"/>
  <c r="T14" i="24" s="1"/>
  <c r="N14" i="24"/>
  <c r="F14" i="24"/>
  <c r="G14" i="24" s="1"/>
  <c r="AV13" i="24"/>
  <c r="AW13" i="24" s="1"/>
  <c r="AX13" i="24" s="1"/>
  <c r="AY13" i="24" s="1"/>
  <c r="AZ13" i="24" s="1"/>
  <c r="AT13" i="24"/>
  <c r="AU13" i="24" s="1"/>
  <c r="AM13" i="24"/>
  <c r="AN13" i="24" s="1"/>
  <c r="AO13" i="24" s="1"/>
  <c r="AP13" i="24" s="1"/>
  <c r="AQ13" i="24" s="1"/>
  <c r="AR13" i="24" s="1"/>
  <c r="AL13" i="24"/>
  <c r="AE13" i="24"/>
  <c r="AF13" i="24" s="1"/>
  <c r="AG13" i="24" s="1"/>
  <c r="AH13" i="24" s="1"/>
  <c r="AI13" i="24" s="1"/>
  <c r="AJ13" i="24" s="1"/>
  <c r="AD13" i="24"/>
  <c r="V13" i="24"/>
  <c r="W13" i="24" s="1"/>
  <c r="X13" i="24" s="1"/>
  <c r="Y13" i="24" s="1"/>
  <c r="Z13" i="24" s="1"/>
  <c r="AA13" i="24" s="1"/>
  <c r="AB13" i="24" s="1"/>
  <c r="N13" i="24"/>
  <c r="O13" i="24" s="1"/>
  <c r="P13" i="24" s="1"/>
  <c r="Q13" i="24" s="1"/>
  <c r="R13" i="24" s="1"/>
  <c r="S13" i="24" s="1"/>
  <c r="T13" i="24" s="1"/>
  <c r="G13" i="24"/>
  <c r="H13" i="24" s="1"/>
  <c r="I13" i="24" s="1"/>
  <c r="J13" i="24" s="1"/>
  <c r="K13" i="24" s="1"/>
  <c r="L13" i="24" s="1"/>
  <c r="F13" i="24"/>
  <c r="AU12" i="24"/>
  <c r="AV12" i="24" s="1"/>
  <c r="AW12" i="24" s="1"/>
  <c r="AX12" i="24" s="1"/>
  <c r="AY12" i="24" s="1"/>
  <c r="AZ12" i="24" s="1"/>
  <c r="AT12" i="24"/>
  <c r="AL12" i="24"/>
  <c r="AM12" i="24" s="1"/>
  <c r="AN12" i="24" s="1"/>
  <c r="AO12" i="24" s="1"/>
  <c r="AP12" i="24" s="1"/>
  <c r="AQ12" i="24" s="1"/>
  <c r="AR12" i="24" s="1"/>
  <c r="AE12" i="24"/>
  <c r="AF12" i="24" s="1"/>
  <c r="AG12" i="24" s="1"/>
  <c r="AH12" i="24" s="1"/>
  <c r="AI12" i="24" s="1"/>
  <c r="AJ12" i="24" s="1"/>
  <c r="AD12" i="24"/>
  <c r="V12" i="24"/>
  <c r="W12" i="24" s="1"/>
  <c r="X12" i="24" s="1"/>
  <c r="Y12" i="24" s="1"/>
  <c r="Z12" i="24" s="1"/>
  <c r="AA12" i="24" s="1"/>
  <c r="AB12" i="24" s="1"/>
  <c r="N12" i="24"/>
  <c r="O12" i="24" s="1"/>
  <c r="P12" i="24" s="1"/>
  <c r="Q12" i="24" s="1"/>
  <c r="R12" i="24" s="1"/>
  <c r="S12" i="24" s="1"/>
  <c r="T12" i="24" s="1"/>
  <c r="F12" i="24"/>
  <c r="G12" i="24" s="1"/>
  <c r="H12" i="24" s="1"/>
  <c r="I12" i="24" s="1"/>
  <c r="J12" i="24" s="1"/>
  <c r="K12" i="24" s="1"/>
  <c r="L12" i="24" s="1"/>
  <c r="AT11" i="24"/>
  <c r="AU11" i="24" s="1"/>
  <c r="AV11" i="24" s="1"/>
  <c r="AW11" i="24" s="1"/>
  <c r="AX11" i="24" s="1"/>
  <c r="AY11" i="24" s="1"/>
  <c r="AZ11" i="24" s="1"/>
  <c r="AM11" i="24"/>
  <c r="AN11" i="24" s="1"/>
  <c r="AO11" i="24" s="1"/>
  <c r="AP11" i="24" s="1"/>
  <c r="AQ11" i="24" s="1"/>
  <c r="AR11" i="24" s="1"/>
  <c r="AL11" i="24"/>
  <c r="AD11" i="24"/>
  <c r="AE11" i="24" s="1"/>
  <c r="AF11" i="24" s="1"/>
  <c r="AG11" i="24" s="1"/>
  <c r="AH11" i="24" s="1"/>
  <c r="AI11" i="24" s="1"/>
  <c r="AJ11" i="24" s="1"/>
  <c r="W11" i="24"/>
  <c r="X11" i="24" s="1"/>
  <c r="Y11" i="24" s="1"/>
  <c r="Z11" i="24" s="1"/>
  <c r="AA11" i="24" s="1"/>
  <c r="AB11" i="24" s="1"/>
  <c r="V11" i="24"/>
  <c r="N11" i="24"/>
  <c r="O11" i="24" s="1"/>
  <c r="P11" i="24" s="1"/>
  <c r="Q11" i="24" s="1"/>
  <c r="R11" i="24" s="1"/>
  <c r="S11" i="24" s="1"/>
  <c r="T11" i="24" s="1"/>
  <c r="J11" i="24"/>
  <c r="K11" i="24" s="1"/>
  <c r="L11" i="24" s="1"/>
  <c r="F11" i="24"/>
  <c r="AT10" i="24"/>
  <c r="AL10" i="24"/>
  <c r="AM10" i="24" s="1"/>
  <c r="AD10" i="24"/>
  <c r="X10" i="24"/>
  <c r="W10" i="24"/>
  <c r="V10" i="24"/>
  <c r="N10" i="24"/>
  <c r="N74" i="24" s="1"/>
  <c r="G10" i="24"/>
  <c r="F10" i="24"/>
  <c r="BB5" i="24"/>
  <c r="AD10" i="23"/>
  <c r="AR75" i="23"/>
  <c r="AQ75" i="23"/>
  <c r="AP75" i="23"/>
  <c r="AO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U75" i="23"/>
  <c r="R75" i="23"/>
  <c r="Q75" i="23"/>
  <c r="P75" i="23"/>
  <c r="O75" i="23"/>
  <c r="N75" i="23"/>
  <c r="M75" i="23"/>
  <c r="I75" i="23"/>
  <c r="H75" i="23"/>
  <c r="G75" i="23"/>
  <c r="F75" i="23"/>
  <c r="E75" i="23"/>
  <c r="AK74" i="23"/>
  <c r="AC74" i="23"/>
  <c r="U74" i="23"/>
  <c r="M74" i="23"/>
  <c r="E74" i="23"/>
  <c r="AL73" i="23"/>
  <c r="AM73" i="23" s="1"/>
  <c r="AN73" i="23" s="1"/>
  <c r="AO73" i="23" s="1"/>
  <c r="AP73" i="23" s="1"/>
  <c r="AQ73" i="23" s="1"/>
  <c r="AR73" i="23" s="1"/>
  <c r="AF73" i="23"/>
  <c r="AG73" i="23" s="1"/>
  <c r="AH73" i="23" s="1"/>
  <c r="AI73" i="23" s="1"/>
  <c r="AJ73" i="23" s="1"/>
  <c r="AE73" i="23"/>
  <c r="AD73" i="23"/>
  <c r="AA73" i="23"/>
  <c r="AB73" i="23" s="1"/>
  <c r="X73" i="23"/>
  <c r="Y73" i="23" s="1"/>
  <c r="Z73" i="23" s="1"/>
  <c r="V73" i="23"/>
  <c r="W73" i="23" s="1"/>
  <c r="Q73" i="23"/>
  <c r="R73" i="23" s="1"/>
  <c r="S73" i="23" s="1"/>
  <c r="T73" i="23" s="1"/>
  <c r="O73" i="23"/>
  <c r="P73" i="23" s="1"/>
  <c r="N73" i="23"/>
  <c r="F73" i="23"/>
  <c r="G73" i="23" s="1"/>
  <c r="H73" i="23" s="1"/>
  <c r="I73" i="23" s="1"/>
  <c r="AM72" i="23"/>
  <c r="AN72" i="23" s="1"/>
  <c r="AO72" i="23" s="1"/>
  <c r="AP72" i="23" s="1"/>
  <c r="AQ72" i="23" s="1"/>
  <c r="AR72" i="23" s="1"/>
  <c r="AL72" i="23"/>
  <c r="AD72" i="23"/>
  <c r="AE72" i="23" s="1"/>
  <c r="AF72" i="23" s="1"/>
  <c r="AG72" i="23" s="1"/>
  <c r="AH72" i="23" s="1"/>
  <c r="AI72" i="23" s="1"/>
  <c r="AJ72" i="23" s="1"/>
  <c r="X72" i="23"/>
  <c r="Y72" i="23" s="1"/>
  <c r="Z72" i="23" s="1"/>
  <c r="AA72" i="23" s="1"/>
  <c r="AB72" i="23" s="1"/>
  <c r="W72" i="23"/>
  <c r="V72" i="23"/>
  <c r="S72" i="23"/>
  <c r="T72" i="23" s="1"/>
  <c r="P72" i="23"/>
  <c r="Q72" i="23" s="1"/>
  <c r="R72" i="23" s="1"/>
  <c r="N72" i="23"/>
  <c r="O72" i="23" s="1"/>
  <c r="G72" i="23"/>
  <c r="H72" i="23" s="1"/>
  <c r="I72" i="23" s="1"/>
  <c r="J72" i="23" s="1"/>
  <c r="K72" i="23" s="1"/>
  <c r="L72" i="23" s="1"/>
  <c r="F72" i="23"/>
  <c r="AQ71" i="23"/>
  <c r="AR71" i="23" s="1"/>
  <c r="AP71" i="23"/>
  <c r="AL71" i="23"/>
  <c r="AM71" i="23" s="1"/>
  <c r="AN71" i="23" s="1"/>
  <c r="AO71" i="23" s="1"/>
  <c r="AI71" i="23"/>
  <c r="AJ71" i="23" s="1"/>
  <c r="AG71" i="23"/>
  <c r="AH71" i="23" s="1"/>
  <c r="AD71" i="23"/>
  <c r="AE71" i="23" s="1"/>
  <c r="AF71" i="23" s="1"/>
  <c r="Y71" i="23"/>
  <c r="Z71" i="23" s="1"/>
  <c r="AA71" i="23" s="1"/>
  <c r="AB71" i="23" s="1"/>
  <c r="X71" i="23"/>
  <c r="V71" i="23"/>
  <c r="W71" i="23" s="1"/>
  <c r="O71" i="23"/>
  <c r="P71" i="23" s="1"/>
  <c r="Q71" i="23" s="1"/>
  <c r="R71" i="23" s="1"/>
  <c r="S71" i="23" s="1"/>
  <c r="T71" i="23" s="1"/>
  <c r="N71" i="23"/>
  <c r="G71" i="23"/>
  <c r="H71" i="23" s="1"/>
  <c r="I71" i="23" s="1"/>
  <c r="J71" i="23" s="1"/>
  <c r="K71" i="23" s="1"/>
  <c r="L71" i="23" s="1"/>
  <c r="F71" i="23"/>
  <c r="AQ70" i="23"/>
  <c r="AR70" i="23" s="1"/>
  <c r="AO70" i="23"/>
  <c r="AP70" i="23" s="1"/>
  <c r="AN70" i="23"/>
  <c r="AM70" i="23"/>
  <c r="AL70" i="23"/>
  <c r="AD70" i="23"/>
  <c r="AE70" i="23" s="1"/>
  <c r="AF70" i="23" s="1"/>
  <c r="AG70" i="23" s="1"/>
  <c r="AH70" i="23" s="1"/>
  <c r="AI70" i="23" s="1"/>
  <c r="AJ70" i="23" s="1"/>
  <c r="W70" i="23"/>
  <c r="X70" i="23" s="1"/>
  <c r="Y70" i="23" s="1"/>
  <c r="Z70" i="23" s="1"/>
  <c r="AA70" i="23" s="1"/>
  <c r="AB70" i="23" s="1"/>
  <c r="V70" i="23"/>
  <c r="N70" i="23"/>
  <c r="O70" i="23" s="1"/>
  <c r="P70" i="23" s="1"/>
  <c r="Q70" i="23" s="1"/>
  <c r="R70" i="23" s="1"/>
  <c r="S70" i="23" s="1"/>
  <c r="T70" i="23" s="1"/>
  <c r="H70" i="23"/>
  <c r="I70" i="23" s="1"/>
  <c r="J70" i="23" s="1"/>
  <c r="K70" i="23" s="1"/>
  <c r="L70" i="23" s="1"/>
  <c r="G70" i="23"/>
  <c r="F70" i="23"/>
  <c r="AN69" i="23"/>
  <c r="AO69" i="23" s="1"/>
  <c r="AP69" i="23" s="1"/>
  <c r="AQ69" i="23" s="1"/>
  <c r="AR69" i="23" s="1"/>
  <c r="AL69" i="23"/>
  <c r="AM69" i="23" s="1"/>
  <c r="AJ69" i="23"/>
  <c r="AE69" i="23"/>
  <c r="AF69" i="23" s="1"/>
  <c r="AG69" i="23" s="1"/>
  <c r="AH69" i="23" s="1"/>
  <c r="AI69" i="23" s="1"/>
  <c r="AD69" i="23"/>
  <c r="X69" i="23"/>
  <c r="Y69" i="23" s="1"/>
  <c r="Z69" i="23" s="1"/>
  <c r="AA69" i="23" s="1"/>
  <c r="AB69" i="23" s="1"/>
  <c r="W69" i="23"/>
  <c r="V69" i="23"/>
  <c r="R69" i="23"/>
  <c r="S69" i="23" s="1"/>
  <c r="T69" i="23" s="1"/>
  <c r="Q69" i="23"/>
  <c r="N69" i="23"/>
  <c r="O69" i="23" s="1"/>
  <c r="P69" i="23" s="1"/>
  <c r="H69" i="23"/>
  <c r="I69" i="23" s="1"/>
  <c r="J69" i="23" s="1"/>
  <c r="K69" i="23" s="1"/>
  <c r="L69" i="23" s="1"/>
  <c r="F69" i="23"/>
  <c r="G69" i="23" s="1"/>
  <c r="AQ68" i="23"/>
  <c r="AR68" i="23" s="1"/>
  <c r="AL68" i="23"/>
  <c r="AM68" i="23" s="1"/>
  <c r="AN68" i="23" s="1"/>
  <c r="AO68" i="23" s="1"/>
  <c r="AP68" i="23" s="1"/>
  <c r="AF68" i="23"/>
  <c r="AG68" i="23" s="1"/>
  <c r="AH68" i="23" s="1"/>
  <c r="AI68" i="23" s="1"/>
  <c r="AJ68" i="23" s="1"/>
  <c r="AD68" i="23"/>
  <c r="AE68" i="23" s="1"/>
  <c r="AB68" i="23"/>
  <c r="W68" i="23"/>
  <c r="X68" i="23" s="1"/>
  <c r="Y68" i="23" s="1"/>
  <c r="Z68" i="23" s="1"/>
  <c r="AA68" i="23" s="1"/>
  <c r="V68" i="23"/>
  <c r="P68" i="23"/>
  <c r="Q68" i="23" s="1"/>
  <c r="R68" i="23" s="1"/>
  <c r="S68" i="23" s="1"/>
  <c r="T68" i="23" s="1"/>
  <c r="O68" i="23"/>
  <c r="N68" i="23"/>
  <c r="F68" i="23"/>
  <c r="AM67" i="23"/>
  <c r="AN67" i="23" s="1"/>
  <c r="AO67" i="23" s="1"/>
  <c r="AP67" i="23" s="1"/>
  <c r="AQ67" i="23" s="1"/>
  <c r="AR67" i="23" s="1"/>
  <c r="AL67" i="23"/>
  <c r="AE67" i="23"/>
  <c r="AF67" i="23" s="1"/>
  <c r="AG67" i="23" s="1"/>
  <c r="AH67" i="23" s="1"/>
  <c r="AI67" i="23" s="1"/>
  <c r="AJ67" i="23" s="1"/>
  <c r="AD67" i="23"/>
  <c r="Z67" i="23"/>
  <c r="AA67" i="23" s="1"/>
  <c r="AB67" i="23" s="1"/>
  <c r="Y67" i="23"/>
  <c r="V67" i="23"/>
  <c r="W67" i="23" s="1"/>
  <c r="X67" i="23" s="1"/>
  <c r="S67" i="23"/>
  <c r="T67" i="23" s="1"/>
  <c r="P67" i="23"/>
  <c r="Q67" i="23" s="1"/>
  <c r="R67" i="23" s="1"/>
  <c r="O67" i="23"/>
  <c r="N67" i="23"/>
  <c r="K67" i="23"/>
  <c r="L67" i="23" s="1"/>
  <c r="J67" i="23"/>
  <c r="F67" i="23"/>
  <c r="G67" i="23" s="1"/>
  <c r="H67" i="23" s="1"/>
  <c r="I67" i="23" s="1"/>
  <c r="AO66" i="23"/>
  <c r="AP66" i="23" s="1"/>
  <c r="AQ66" i="23" s="1"/>
  <c r="AR66" i="23" s="1"/>
  <c r="AM66" i="23"/>
  <c r="AN66" i="23" s="1"/>
  <c r="AL66" i="23"/>
  <c r="AF66" i="23"/>
  <c r="AG66" i="23" s="1"/>
  <c r="AH66" i="23" s="1"/>
  <c r="AI66" i="23" s="1"/>
  <c r="AJ66" i="23" s="1"/>
  <c r="AE66" i="23"/>
  <c r="AD66" i="23"/>
  <c r="Z66" i="23"/>
  <c r="AA66" i="23" s="1"/>
  <c r="AB66" i="23" s="1"/>
  <c r="V66" i="23"/>
  <c r="W66" i="23" s="1"/>
  <c r="X66" i="23" s="1"/>
  <c r="Y66" i="23" s="1"/>
  <c r="N66" i="23"/>
  <c r="O66" i="23" s="1"/>
  <c r="P66" i="23" s="1"/>
  <c r="Q66" i="23" s="1"/>
  <c r="R66" i="23" s="1"/>
  <c r="S66" i="23" s="1"/>
  <c r="T66" i="23" s="1"/>
  <c r="L66" i="23"/>
  <c r="I66" i="23"/>
  <c r="J66" i="23" s="1"/>
  <c r="K66" i="23" s="1"/>
  <c r="G66" i="23"/>
  <c r="H66" i="23" s="1"/>
  <c r="F66" i="23"/>
  <c r="AN65" i="23"/>
  <c r="AO65" i="23" s="1"/>
  <c r="AP65" i="23" s="1"/>
  <c r="AQ65" i="23" s="1"/>
  <c r="AR65" i="23" s="1"/>
  <c r="AM65" i="23"/>
  <c r="AL65" i="23"/>
  <c r="AH65" i="23"/>
  <c r="AI65" i="23" s="1"/>
  <c r="AJ65" i="23" s="1"/>
  <c r="AF65" i="23"/>
  <c r="AG65" i="23" s="1"/>
  <c r="AD65" i="23"/>
  <c r="AE65" i="23" s="1"/>
  <c r="W65" i="23"/>
  <c r="X65" i="23" s="1"/>
  <c r="Y65" i="23" s="1"/>
  <c r="Z65" i="23" s="1"/>
  <c r="AA65" i="23" s="1"/>
  <c r="AB65" i="23" s="1"/>
  <c r="V65" i="23"/>
  <c r="P65" i="23"/>
  <c r="Q65" i="23" s="1"/>
  <c r="R65" i="23" s="1"/>
  <c r="S65" i="23" s="1"/>
  <c r="T65" i="23" s="1"/>
  <c r="N65" i="23"/>
  <c r="O65" i="23" s="1"/>
  <c r="I65" i="23"/>
  <c r="J65" i="23" s="1"/>
  <c r="K65" i="23" s="1"/>
  <c r="L65" i="23" s="1"/>
  <c r="H65" i="23"/>
  <c r="G65" i="23"/>
  <c r="F65" i="23"/>
  <c r="AN64" i="23"/>
  <c r="AO64" i="23" s="1"/>
  <c r="AP64" i="23" s="1"/>
  <c r="AQ64" i="23" s="1"/>
  <c r="AR64" i="23" s="1"/>
  <c r="AL64" i="23"/>
  <c r="AM64" i="23" s="1"/>
  <c r="AF64" i="23"/>
  <c r="AG64" i="23" s="1"/>
  <c r="AH64" i="23" s="1"/>
  <c r="AI64" i="23" s="1"/>
  <c r="AJ64" i="23" s="1"/>
  <c r="AE64" i="23"/>
  <c r="AD64" i="23"/>
  <c r="Z64" i="23"/>
  <c r="AA64" i="23" s="1"/>
  <c r="AB64" i="23" s="1"/>
  <c r="W64" i="23"/>
  <c r="X64" i="23" s="1"/>
  <c r="Y64" i="23" s="1"/>
  <c r="V64" i="23"/>
  <c r="Q64" i="23"/>
  <c r="R64" i="23" s="1"/>
  <c r="S64" i="23" s="1"/>
  <c r="T64" i="23" s="1"/>
  <c r="O64" i="23"/>
  <c r="P64" i="23" s="1"/>
  <c r="N64" i="23"/>
  <c r="I64" i="23"/>
  <c r="J64" i="23" s="1"/>
  <c r="K64" i="23" s="1"/>
  <c r="L64" i="23" s="1"/>
  <c r="H64" i="23"/>
  <c r="F64" i="23"/>
  <c r="G64" i="23" s="1"/>
  <c r="AP63" i="23"/>
  <c r="AQ63" i="23" s="1"/>
  <c r="AR63" i="23" s="1"/>
  <c r="AM63" i="23"/>
  <c r="AN63" i="23" s="1"/>
  <c r="AL63" i="23"/>
  <c r="AJ63" i="23"/>
  <c r="AH63" i="23"/>
  <c r="AI63" i="23" s="1"/>
  <c r="AD63" i="23"/>
  <c r="AE63" i="23" s="1"/>
  <c r="AF63" i="23" s="1"/>
  <c r="AG63" i="23" s="1"/>
  <c r="W63" i="23"/>
  <c r="X63" i="23" s="1"/>
  <c r="Y63" i="23" s="1"/>
  <c r="Z63" i="23" s="1"/>
  <c r="AA63" i="23" s="1"/>
  <c r="AB63" i="23" s="1"/>
  <c r="V63" i="23"/>
  <c r="N63" i="23"/>
  <c r="O63" i="23" s="1"/>
  <c r="P63" i="23" s="1"/>
  <c r="Q63" i="23" s="1"/>
  <c r="R63" i="23" s="1"/>
  <c r="S63" i="23" s="1"/>
  <c r="T63" i="23" s="1"/>
  <c r="F63" i="23"/>
  <c r="AP62" i="23"/>
  <c r="AQ62" i="23" s="1"/>
  <c r="AR62" i="23" s="1"/>
  <c r="AN62" i="23"/>
  <c r="AO62" i="23" s="1"/>
  <c r="AM62" i="23"/>
  <c r="AL62" i="23"/>
  <c r="AD62" i="23"/>
  <c r="AE62" i="23" s="1"/>
  <c r="AF62" i="23" s="1"/>
  <c r="AG62" i="23" s="1"/>
  <c r="AH62" i="23" s="1"/>
  <c r="AI62" i="23" s="1"/>
  <c r="AJ62" i="23" s="1"/>
  <c r="AB62" i="23"/>
  <c r="X62" i="23"/>
  <c r="Y62" i="23" s="1"/>
  <c r="Z62" i="23" s="1"/>
  <c r="AA62" i="23" s="1"/>
  <c r="V62" i="23"/>
  <c r="W62" i="23" s="1"/>
  <c r="O62" i="23"/>
  <c r="P62" i="23" s="1"/>
  <c r="Q62" i="23" s="1"/>
  <c r="R62" i="23" s="1"/>
  <c r="S62" i="23" s="1"/>
  <c r="T62" i="23" s="1"/>
  <c r="N62" i="23"/>
  <c r="G62" i="23"/>
  <c r="H62" i="23" s="1"/>
  <c r="I62" i="23" s="1"/>
  <c r="J62" i="23" s="1"/>
  <c r="K62" i="23" s="1"/>
  <c r="L62" i="23" s="1"/>
  <c r="F62" i="23"/>
  <c r="AM61" i="23"/>
  <c r="AN61" i="23" s="1"/>
  <c r="AO61" i="23" s="1"/>
  <c r="AP61" i="23" s="1"/>
  <c r="AQ61" i="23" s="1"/>
  <c r="AR61" i="23" s="1"/>
  <c r="AL61" i="23"/>
  <c r="AD61" i="23"/>
  <c r="AE61" i="23" s="1"/>
  <c r="AF61" i="23" s="1"/>
  <c r="AG61" i="23" s="1"/>
  <c r="AH61" i="23" s="1"/>
  <c r="AI61" i="23" s="1"/>
  <c r="AJ61" i="23" s="1"/>
  <c r="AA61" i="23"/>
  <c r="AB61" i="23" s="1"/>
  <c r="W61" i="23"/>
  <c r="X61" i="23" s="1"/>
  <c r="Y61" i="23" s="1"/>
  <c r="Z61" i="23" s="1"/>
  <c r="V61" i="23"/>
  <c r="Q61" i="23"/>
  <c r="R61" i="23" s="1"/>
  <c r="S61" i="23" s="1"/>
  <c r="T61" i="23" s="1"/>
  <c r="P61" i="23"/>
  <c r="N61" i="23"/>
  <c r="O61" i="23" s="1"/>
  <c r="I61" i="23"/>
  <c r="J61" i="23" s="1"/>
  <c r="K61" i="23" s="1"/>
  <c r="L61" i="23" s="1"/>
  <c r="H61" i="23"/>
  <c r="G61" i="23"/>
  <c r="F61" i="23"/>
  <c r="AR60" i="23"/>
  <c r="AN60" i="23"/>
  <c r="AO60" i="23" s="1"/>
  <c r="AP60" i="23" s="1"/>
  <c r="AQ60" i="23" s="1"/>
  <c r="AL60" i="23"/>
  <c r="AM60" i="23" s="1"/>
  <c r="AF60" i="23"/>
  <c r="AG60" i="23" s="1"/>
  <c r="AH60" i="23" s="1"/>
  <c r="AI60" i="23" s="1"/>
  <c r="AJ60" i="23" s="1"/>
  <c r="AE60" i="23"/>
  <c r="AD60" i="23"/>
  <c r="W60" i="23"/>
  <c r="X60" i="23" s="1"/>
  <c r="Y60" i="23" s="1"/>
  <c r="Z60" i="23" s="1"/>
  <c r="AA60" i="23" s="1"/>
  <c r="AB60" i="23" s="1"/>
  <c r="V60" i="23"/>
  <c r="O60" i="23"/>
  <c r="P60" i="23" s="1"/>
  <c r="Q60" i="23" s="1"/>
  <c r="R60" i="23" s="1"/>
  <c r="S60" i="23" s="1"/>
  <c r="T60" i="23" s="1"/>
  <c r="N60" i="23"/>
  <c r="J60" i="23"/>
  <c r="K60" i="23" s="1"/>
  <c r="L60" i="23" s="1"/>
  <c r="I60" i="23"/>
  <c r="H60" i="23"/>
  <c r="F60" i="23"/>
  <c r="G60" i="23" s="1"/>
  <c r="AP59" i="23"/>
  <c r="AQ59" i="23" s="1"/>
  <c r="AR59" i="23" s="1"/>
  <c r="AL59" i="23"/>
  <c r="AM59" i="23" s="1"/>
  <c r="AN59" i="23" s="1"/>
  <c r="AO59" i="23" s="1"/>
  <c r="AD59" i="23"/>
  <c r="AE59" i="23" s="1"/>
  <c r="AF59" i="23" s="1"/>
  <c r="AG59" i="23" s="1"/>
  <c r="AH59" i="23" s="1"/>
  <c r="AI59" i="23" s="1"/>
  <c r="AJ59" i="23" s="1"/>
  <c r="Y59" i="23"/>
  <c r="Z59" i="23" s="1"/>
  <c r="AA59" i="23" s="1"/>
  <c r="AB59" i="23" s="1"/>
  <c r="X59" i="23"/>
  <c r="W59" i="23"/>
  <c r="V59" i="23"/>
  <c r="O59" i="23"/>
  <c r="P59" i="23" s="1"/>
  <c r="Q59" i="23" s="1"/>
  <c r="R59" i="23" s="1"/>
  <c r="S59" i="23" s="1"/>
  <c r="T59" i="23" s="1"/>
  <c r="N59" i="23"/>
  <c r="F59" i="23"/>
  <c r="AN58" i="23"/>
  <c r="AO58" i="23" s="1"/>
  <c r="AP58" i="23" s="1"/>
  <c r="AQ58" i="23" s="1"/>
  <c r="AR58" i="23" s="1"/>
  <c r="AL58" i="23"/>
  <c r="AM58" i="23" s="1"/>
  <c r="AE58" i="23"/>
  <c r="AF58" i="23" s="1"/>
  <c r="AG58" i="23" s="1"/>
  <c r="AH58" i="23" s="1"/>
  <c r="AI58" i="23" s="1"/>
  <c r="AJ58" i="23" s="1"/>
  <c r="AD58" i="23"/>
  <c r="Y58" i="23"/>
  <c r="Z58" i="23" s="1"/>
  <c r="AA58" i="23" s="1"/>
  <c r="AB58" i="23" s="1"/>
  <c r="X58" i="23"/>
  <c r="V58" i="23"/>
  <c r="W58" i="23" s="1"/>
  <c r="P58" i="23"/>
  <c r="Q58" i="23" s="1"/>
  <c r="R58" i="23" s="1"/>
  <c r="S58" i="23" s="1"/>
  <c r="T58" i="23" s="1"/>
  <c r="O58" i="23"/>
  <c r="N58" i="23"/>
  <c r="L58" i="23"/>
  <c r="K58" i="23"/>
  <c r="F58" i="23"/>
  <c r="G58" i="23" s="1"/>
  <c r="H58" i="23" s="1"/>
  <c r="I58" i="23" s="1"/>
  <c r="J58" i="23" s="1"/>
  <c r="AM57" i="23"/>
  <c r="AN57" i="23" s="1"/>
  <c r="AO57" i="23" s="1"/>
  <c r="AP57" i="23" s="1"/>
  <c r="AQ57" i="23" s="1"/>
  <c r="AR57" i="23" s="1"/>
  <c r="AL57" i="23"/>
  <c r="AI57" i="23"/>
  <c r="AJ57" i="23" s="1"/>
  <c r="AH57" i="23"/>
  <c r="AE57" i="23"/>
  <c r="AF57" i="23" s="1"/>
  <c r="AG57" i="23" s="1"/>
  <c r="AD57" i="23"/>
  <c r="AA57" i="23"/>
  <c r="AB57" i="23" s="1"/>
  <c r="Y57" i="23"/>
  <c r="Z57" i="23" s="1"/>
  <c r="W57" i="23"/>
  <c r="X57" i="23" s="1"/>
  <c r="V57" i="23"/>
  <c r="P57" i="23"/>
  <c r="Q57" i="23" s="1"/>
  <c r="R57" i="23" s="1"/>
  <c r="S57" i="23" s="1"/>
  <c r="T57" i="23" s="1"/>
  <c r="N57" i="23"/>
  <c r="O57" i="23" s="1"/>
  <c r="F57" i="23"/>
  <c r="G57" i="23" s="1"/>
  <c r="H57" i="23" s="1"/>
  <c r="I57" i="23" s="1"/>
  <c r="J57" i="23" s="1"/>
  <c r="K57" i="23" s="1"/>
  <c r="L57" i="23" s="1"/>
  <c r="AN56" i="23"/>
  <c r="AO56" i="23" s="1"/>
  <c r="AP56" i="23" s="1"/>
  <c r="AQ56" i="23" s="1"/>
  <c r="AR56" i="23" s="1"/>
  <c r="AL56" i="23"/>
  <c r="AM56" i="23" s="1"/>
  <c r="AI56" i="23"/>
  <c r="AJ56" i="23" s="1"/>
  <c r="AG56" i="23"/>
  <c r="AH56" i="23" s="1"/>
  <c r="AF56" i="23"/>
  <c r="AE56" i="23"/>
  <c r="AD56" i="23"/>
  <c r="W56" i="23"/>
  <c r="X56" i="23" s="1"/>
  <c r="Y56" i="23" s="1"/>
  <c r="Z56" i="23" s="1"/>
  <c r="AA56" i="23" s="1"/>
  <c r="AB56" i="23" s="1"/>
  <c r="V56" i="23"/>
  <c r="Q56" i="23"/>
  <c r="R56" i="23" s="1"/>
  <c r="S56" i="23" s="1"/>
  <c r="T56" i="23" s="1"/>
  <c r="O56" i="23"/>
  <c r="P56" i="23" s="1"/>
  <c r="N56" i="23"/>
  <c r="F56" i="23"/>
  <c r="AL55" i="23"/>
  <c r="AM55" i="23" s="1"/>
  <c r="AN55" i="23" s="1"/>
  <c r="AO55" i="23" s="1"/>
  <c r="AP55" i="23" s="1"/>
  <c r="AQ55" i="23" s="1"/>
  <c r="AR55" i="23" s="1"/>
  <c r="AG55" i="23"/>
  <c r="AH55" i="23" s="1"/>
  <c r="AI55" i="23" s="1"/>
  <c r="AJ55" i="23" s="1"/>
  <c r="AF55" i="23"/>
  <c r="AD55" i="23"/>
  <c r="AE55" i="23" s="1"/>
  <c r="Y55" i="23"/>
  <c r="Z55" i="23" s="1"/>
  <c r="AA55" i="23" s="1"/>
  <c r="AB55" i="23" s="1"/>
  <c r="X55" i="23"/>
  <c r="W55" i="23"/>
  <c r="V55" i="23"/>
  <c r="T55" i="23"/>
  <c r="P55" i="23"/>
  <c r="Q55" i="23" s="1"/>
  <c r="R55" i="23" s="1"/>
  <c r="S55" i="23" s="1"/>
  <c r="O55" i="23"/>
  <c r="N55" i="23"/>
  <c r="J55" i="23"/>
  <c r="K55" i="23" s="1"/>
  <c r="L55" i="23" s="1"/>
  <c r="I55" i="23"/>
  <c r="G55" i="23"/>
  <c r="H55" i="23" s="1"/>
  <c r="F55" i="23"/>
  <c r="AM54" i="23"/>
  <c r="AN54" i="23" s="1"/>
  <c r="AO54" i="23" s="1"/>
  <c r="AP54" i="23" s="1"/>
  <c r="AQ54" i="23" s="1"/>
  <c r="AR54" i="23" s="1"/>
  <c r="AL54" i="23"/>
  <c r="AE54" i="23"/>
  <c r="AF54" i="23" s="1"/>
  <c r="AG54" i="23" s="1"/>
  <c r="AH54" i="23" s="1"/>
  <c r="AI54" i="23" s="1"/>
  <c r="AJ54" i="23" s="1"/>
  <c r="AD54" i="23"/>
  <c r="Z54" i="23"/>
  <c r="AA54" i="23" s="1"/>
  <c r="AB54" i="23" s="1"/>
  <c r="Y54" i="23"/>
  <c r="X54" i="23"/>
  <c r="V54" i="23"/>
  <c r="W54" i="23" s="1"/>
  <c r="O54" i="23"/>
  <c r="P54" i="23" s="1"/>
  <c r="Q54" i="23" s="1"/>
  <c r="R54" i="23" s="1"/>
  <c r="S54" i="23" s="1"/>
  <c r="T54" i="23" s="1"/>
  <c r="N54" i="23"/>
  <c r="J54" i="23"/>
  <c r="K54" i="23" s="1"/>
  <c r="L54" i="23" s="1"/>
  <c r="H54" i="23"/>
  <c r="I54" i="23" s="1"/>
  <c r="G54" i="23"/>
  <c r="F54" i="23"/>
  <c r="AO53" i="23"/>
  <c r="AP53" i="23" s="1"/>
  <c r="AQ53" i="23" s="1"/>
  <c r="AR53" i="23" s="1"/>
  <c r="AN53" i="23"/>
  <c r="AM53" i="23"/>
  <c r="AL53" i="23"/>
  <c r="AF53" i="23"/>
  <c r="AG53" i="23" s="1"/>
  <c r="AH53" i="23" s="1"/>
  <c r="AI53" i="23" s="1"/>
  <c r="AJ53" i="23" s="1"/>
  <c r="AE53" i="23"/>
  <c r="AD53" i="23"/>
  <c r="Y53" i="23"/>
  <c r="Z53" i="23" s="1"/>
  <c r="AA53" i="23" s="1"/>
  <c r="AB53" i="23" s="1"/>
  <c r="W53" i="23"/>
  <c r="X53" i="23" s="1"/>
  <c r="V53" i="23"/>
  <c r="R53" i="23"/>
  <c r="S53" i="23" s="1"/>
  <c r="T53" i="23" s="1"/>
  <c r="N53" i="23"/>
  <c r="O53" i="23" s="1"/>
  <c r="P53" i="23" s="1"/>
  <c r="Q53" i="23" s="1"/>
  <c r="G53" i="23"/>
  <c r="F53" i="23"/>
  <c r="AO52" i="23"/>
  <c r="AP52" i="23" s="1"/>
  <c r="AQ52" i="23" s="1"/>
  <c r="AR52" i="23" s="1"/>
  <c r="AN52" i="23"/>
  <c r="AL52" i="23"/>
  <c r="AM52" i="23" s="1"/>
  <c r="AI52" i="23"/>
  <c r="AJ52" i="23" s="1"/>
  <c r="AE52" i="23"/>
  <c r="AF52" i="23" s="1"/>
  <c r="AG52" i="23" s="1"/>
  <c r="AH52" i="23" s="1"/>
  <c r="AD52" i="23"/>
  <c r="X52" i="23"/>
  <c r="Y52" i="23" s="1"/>
  <c r="Z52" i="23" s="1"/>
  <c r="AA52" i="23" s="1"/>
  <c r="AB52" i="23" s="1"/>
  <c r="W52" i="23"/>
  <c r="V52" i="23"/>
  <c r="S52" i="23"/>
  <c r="T52" i="23" s="1"/>
  <c r="P52" i="23"/>
  <c r="Q52" i="23" s="1"/>
  <c r="R52" i="23" s="1"/>
  <c r="O52" i="23"/>
  <c r="N52" i="23"/>
  <c r="F52" i="23"/>
  <c r="G52" i="23" s="1"/>
  <c r="H52" i="23" s="1"/>
  <c r="I52" i="23" s="1"/>
  <c r="J52" i="23" s="1"/>
  <c r="K52" i="23" s="1"/>
  <c r="L52" i="23" s="1"/>
  <c r="AN51" i="23"/>
  <c r="AO51" i="23" s="1"/>
  <c r="AP51" i="23" s="1"/>
  <c r="AQ51" i="23" s="1"/>
  <c r="AR51" i="23" s="1"/>
  <c r="AM51" i="23"/>
  <c r="AL51" i="23"/>
  <c r="AH51" i="23"/>
  <c r="AI51" i="23" s="1"/>
  <c r="AJ51" i="23" s="1"/>
  <c r="AE51" i="23"/>
  <c r="AF51" i="23" s="1"/>
  <c r="AG51" i="23" s="1"/>
  <c r="AD51" i="23"/>
  <c r="Y51" i="23"/>
  <c r="Z51" i="23" s="1"/>
  <c r="AA51" i="23" s="1"/>
  <c r="AB51" i="23" s="1"/>
  <c r="V51" i="23"/>
  <c r="W51" i="23" s="1"/>
  <c r="X51" i="23" s="1"/>
  <c r="P51" i="23"/>
  <c r="Q51" i="23" s="1"/>
  <c r="R51" i="23" s="1"/>
  <c r="S51" i="23" s="1"/>
  <c r="T51" i="23" s="1"/>
  <c r="O51" i="23"/>
  <c r="N51" i="23"/>
  <c r="K51" i="23"/>
  <c r="L51" i="23" s="1"/>
  <c r="H51" i="23"/>
  <c r="I51" i="23" s="1"/>
  <c r="J51" i="23" s="1"/>
  <c r="G51" i="23"/>
  <c r="F51" i="23"/>
  <c r="AN50" i="23"/>
  <c r="AO50" i="23" s="1"/>
  <c r="AP50" i="23" s="1"/>
  <c r="AQ50" i="23" s="1"/>
  <c r="AR50" i="23" s="1"/>
  <c r="AM50" i="23"/>
  <c r="AL50" i="23"/>
  <c r="AF50" i="23"/>
  <c r="AG50" i="23" s="1"/>
  <c r="AH50" i="23" s="1"/>
  <c r="AI50" i="23" s="1"/>
  <c r="AJ50" i="23" s="1"/>
  <c r="AE50" i="23"/>
  <c r="AD50" i="23"/>
  <c r="Z50" i="23"/>
  <c r="AA50" i="23" s="1"/>
  <c r="AB50" i="23" s="1"/>
  <c r="W50" i="23"/>
  <c r="X50" i="23" s="1"/>
  <c r="Y50" i="23" s="1"/>
  <c r="V50" i="23"/>
  <c r="Q50" i="23"/>
  <c r="R50" i="23" s="1"/>
  <c r="S50" i="23" s="1"/>
  <c r="T50" i="23" s="1"/>
  <c r="N50" i="23"/>
  <c r="O50" i="23" s="1"/>
  <c r="P50" i="23" s="1"/>
  <c r="H50" i="23"/>
  <c r="G50" i="23"/>
  <c r="F50" i="23"/>
  <c r="AL49" i="23"/>
  <c r="AM49" i="23" s="1"/>
  <c r="AN49" i="23" s="1"/>
  <c r="AO49" i="23" s="1"/>
  <c r="AP49" i="23" s="1"/>
  <c r="AQ49" i="23" s="1"/>
  <c r="AR49" i="23" s="1"/>
  <c r="AJ49" i="23"/>
  <c r="AG49" i="23"/>
  <c r="AH49" i="23" s="1"/>
  <c r="AI49" i="23" s="1"/>
  <c r="AF49" i="23"/>
  <c r="AE49" i="23"/>
  <c r="AD49" i="23"/>
  <c r="W49" i="23"/>
  <c r="X49" i="23" s="1"/>
  <c r="Y49" i="23" s="1"/>
  <c r="Z49" i="23" s="1"/>
  <c r="AA49" i="23" s="1"/>
  <c r="AB49" i="23" s="1"/>
  <c r="V49" i="23"/>
  <c r="O49" i="23"/>
  <c r="P49" i="23" s="1"/>
  <c r="Q49" i="23" s="1"/>
  <c r="R49" i="23" s="1"/>
  <c r="S49" i="23" s="1"/>
  <c r="T49" i="23" s="1"/>
  <c r="N49" i="23"/>
  <c r="F49" i="23"/>
  <c r="AP48" i="23"/>
  <c r="AQ48" i="23" s="1"/>
  <c r="AR48" i="23" s="1"/>
  <c r="AM48" i="23"/>
  <c r="AN48" i="23" s="1"/>
  <c r="AO48" i="23" s="1"/>
  <c r="AL48" i="23"/>
  <c r="AG48" i="23"/>
  <c r="AH48" i="23" s="1"/>
  <c r="AI48" i="23" s="1"/>
  <c r="AJ48" i="23" s="1"/>
  <c r="AD48" i="23"/>
  <c r="AE48" i="23" s="1"/>
  <c r="AF48" i="23" s="1"/>
  <c r="X48" i="23"/>
  <c r="Y48" i="23" s="1"/>
  <c r="Z48" i="23" s="1"/>
  <c r="AA48" i="23" s="1"/>
  <c r="AB48" i="23" s="1"/>
  <c r="W48" i="23"/>
  <c r="V48" i="23"/>
  <c r="N48" i="23"/>
  <c r="O48" i="23" s="1"/>
  <c r="P48" i="23" s="1"/>
  <c r="Q48" i="23" s="1"/>
  <c r="R48" i="23" s="1"/>
  <c r="S48" i="23" s="1"/>
  <c r="T48" i="23" s="1"/>
  <c r="F48" i="23"/>
  <c r="AN47" i="23"/>
  <c r="AO47" i="23" s="1"/>
  <c r="AP47" i="23" s="1"/>
  <c r="AQ47" i="23" s="1"/>
  <c r="AR47" i="23" s="1"/>
  <c r="AM47" i="23"/>
  <c r="AL47" i="23"/>
  <c r="AH47" i="23"/>
  <c r="AI47" i="23" s="1"/>
  <c r="AJ47" i="23" s="1"/>
  <c r="AE47" i="23"/>
  <c r="AF47" i="23" s="1"/>
  <c r="AG47" i="23" s="1"/>
  <c r="AD47" i="23"/>
  <c r="Y47" i="23"/>
  <c r="Z47" i="23" s="1"/>
  <c r="AA47" i="23" s="1"/>
  <c r="AB47" i="23" s="1"/>
  <c r="V47" i="23"/>
  <c r="W47" i="23" s="1"/>
  <c r="X47" i="23" s="1"/>
  <c r="P47" i="23"/>
  <c r="Q47" i="23" s="1"/>
  <c r="R47" i="23" s="1"/>
  <c r="S47" i="23" s="1"/>
  <c r="T47" i="23" s="1"/>
  <c r="O47" i="23"/>
  <c r="N47" i="23"/>
  <c r="K47" i="23"/>
  <c r="L47" i="23" s="1"/>
  <c r="H47" i="23"/>
  <c r="I47" i="23" s="1"/>
  <c r="J47" i="23" s="1"/>
  <c r="G47" i="23"/>
  <c r="F47" i="23"/>
  <c r="AN46" i="23"/>
  <c r="AO46" i="23" s="1"/>
  <c r="AP46" i="23" s="1"/>
  <c r="AQ46" i="23" s="1"/>
  <c r="AR46" i="23" s="1"/>
  <c r="AM46" i="23"/>
  <c r="AL46" i="23"/>
  <c r="AF46" i="23"/>
  <c r="AG46" i="23" s="1"/>
  <c r="AH46" i="23" s="1"/>
  <c r="AI46" i="23" s="1"/>
  <c r="AJ46" i="23" s="1"/>
  <c r="AE46" i="23"/>
  <c r="AD46" i="23"/>
  <c r="V46" i="23"/>
  <c r="W46" i="23" s="1"/>
  <c r="X46" i="23" s="1"/>
  <c r="Y46" i="23" s="1"/>
  <c r="Z46" i="23" s="1"/>
  <c r="AA46" i="23" s="1"/>
  <c r="AB46" i="23" s="1"/>
  <c r="Q46" i="23"/>
  <c r="R46" i="23" s="1"/>
  <c r="S46" i="23" s="1"/>
  <c r="T46" i="23" s="1"/>
  <c r="N46" i="23"/>
  <c r="O46" i="23" s="1"/>
  <c r="P46" i="23" s="1"/>
  <c r="H46" i="23"/>
  <c r="G46" i="23"/>
  <c r="F46" i="23"/>
  <c r="AL45" i="23"/>
  <c r="AM45" i="23" s="1"/>
  <c r="AN45" i="23" s="1"/>
  <c r="AO45" i="23" s="1"/>
  <c r="AP45" i="23" s="1"/>
  <c r="AQ45" i="23" s="1"/>
  <c r="AR45" i="23" s="1"/>
  <c r="AJ45" i="23"/>
  <c r="AG45" i="23"/>
  <c r="AH45" i="23" s="1"/>
  <c r="AI45" i="23" s="1"/>
  <c r="AF45" i="23"/>
  <c r="AE45" i="23"/>
  <c r="AD45" i="23"/>
  <c r="W45" i="23"/>
  <c r="X45" i="23" s="1"/>
  <c r="Y45" i="23" s="1"/>
  <c r="Z45" i="23" s="1"/>
  <c r="AA45" i="23" s="1"/>
  <c r="AB45" i="23" s="1"/>
  <c r="V45" i="23"/>
  <c r="O45" i="23"/>
  <c r="P45" i="23" s="1"/>
  <c r="Q45" i="23" s="1"/>
  <c r="R45" i="23" s="1"/>
  <c r="S45" i="23" s="1"/>
  <c r="T45" i="23" s="1"/>
  <c r="N45" i="23"/>
  <c r="F45" i="23"/>
  <c r="AP44" i="23"/>
  <c r="AQ44" i="23" s="1"/>
  <c r="AR44" i="23" s="1"/>
  <c r="AM44" i="23"/>
  <c r="AN44" i="23" s="1"/>
  <c r="AO44" i="23" s="1"/>
  <c r="AL44" i="23"/>
  <c r="AG44" i="23"/>
  <c r="AH44" i="23" s="1"/>
  <c r="AI44" i="23" s="1"/>
  <c r="AJ44" i="23" s="1"/>
  <c r="AD44" i="23"/>
  <c r="AE44" i="23" s="1"/>
  <c r="AF44" i="23" s="1"/>
  <c r="X44" i="23"/>
  <c r="Y44" i="23" s="1"/>
  <c r="Z44" i="23" s="1"/>
  <c r="AA44" i="23" s="1"/>
  <c r="AB44" i="23" s="1"/>
  <c r="W44" i="23"/>
  <c r="V44" i="23"/>
  <c r="S44" i="23"/>
  <c r="T44" i="23" s="1"/>
  <c r="P44" i="23"/>
  <c r="Q44" i="23" s="1"/>
  <c r="R44" i="23" s="1"/>
  <c r="O44" i="23"/>
  <c r="N44" i="23"/>
  <c r="F44" i="23"/>
  <c r="AN43" i="23"/>
  <c r="AO43" i="23" s="1"/>
  <c r="AP43" i="23" s="1"/>
  <c r="AQ43" i="23" s="1"/>
  <c r="AR43" i="23" s="1"/>
  <c r="AM43" i="23"/>
  <c r="AL43" i="23"/>
  <c r="AH43" i="23"/>
  <c r="AI43" i="23" s="1"/>
  <c r="AJ43" i="23" s="1"/>
  <c r="AE43" i="23"/>
  <c r="AF43" i="23" s="1"/>
  <c r="AG43" i="23" s="1"/>
  <c r="AD43" i="23"/>
  <c r="V43" i="23"/>
  <c r="W43" i="23" s="1"/>
  <c r="X43" i="23" s="1"/>
  <c r="Y43" i="23" s="1"/>
  <c r="Z43" i="23" s="1"/>
  <c r="AA43" i="23" s="1"/>
  <c r="AB43" i="23" s="1"/>
  <c r="P43" i="23"/>
  <c r="Q43" i="23" s="1"/>
  <c r="R43" i="23" s="1"/>
  <c r="S43" i="23" s="1"/>
  <c r="T43" i="23" s="1"/>
  <c r="O43" i="23"/>
  <c r="N43" i="23"/>
  <c r="K43" i="23"/>
  <c r="H43" i="23"/>
  <c r="I43" i="23" s="1"/>
  <c r="J43" i="23" s="1"/>
  <c r="G43" i="23"/>
  <c r="F43" i="23"/>
  <c r="AN42" i="23"/>
  <c r="AO42" i="23" s="1"/>
  <c r="AP42" i="23" s="1"/>
  <c r="AQ42" i="23" s="1"/>
  <c r="AR42" i="23" s="1"/>
  <c r="AM42" i="23"/>
  <c r="AL42" i="23"/>
  <c r="AF42" i="23"/>
  <c r="AG42" i="23" s="1"/>
  <c r="AH42" i="23" s="1"/>
  <c r="AI42" i="23" s="1"/>
  <c r="AJ42" i="23" s="1"/>
  <c r="AE42" i="23"/>
  <c r="AD42" i="23"/>
  <c r="Z42" i="23"/>
  <c r="AA42" i="23" s="1"/>
  <c r="AB42" i="23" s="1"/>
  <c r="W42" i="23"/>
  <c r="X42" i="23" s="1"/>
  <c r="Y42" i="23" s="1"/>
  <c r="V42" i="23"/>
  <c r="Q42" i="23"/>
  <c r="R42" i="23" s="1"/>
  <c r="S42" i="23" s="1"/>
  <c r="T42" i="23" s="1"/>
  <c r="P42" i="23"/>
  <c r="N42" i="23"/>
  <c r="O42" i="23" s="1"/>
  <c r="G42" i="23"/>
  <c r="H42" i="23" s="1"/>
  <c r="I42" i="23" s="1"/>
  <c r="J42" i="23" s="1"/>
  <c r="K42" i="23" s="1"/>
  <c r="L42" i="23" s="1"/>
  <c r="F42" i="23"/>
  <c r="AR41" i="23"/>
  <c r="AN41" i="23"/>
  <c r="AO41" i="23" s="1"/>
  <c r="AP41" i="23" s="1"/>
  <c r="AQ41" i="23" s="1"/>
  <c r="AM41" i="23"/>
  <c r="AL41" i="23"/>
  <c r="AI41" i="23"/>
  <c r="AJ41" i="23" s="1"/>
  <c r="AE41" i="23"/>
  <c r="AF41" i="23" s="1"/>
  <c r="AG41" i="23" s="1"/>
  <c r="AH41" i="23" s="1"/>
  <c r="AD41" i="23"/>
  <c r="W41" i="23"/>
  <c r="X41" i="23" s="1"/>
  <c r="Y41" i="23" s="1"/>
  <c r="Z41" i="23" s="1"/>
  <c r="AA41" i="23" s="1"/>
  <c r="AB41" i="23" s="1"/>
  <c r="V41" i="23"/>
  <c r="N41" i="23"/>
  <c r="O41" i="23" s="1"/>
  <c r="P41" i="23" s="1"/>
  <c r="Q41" i="23" s="1"/>
  <c r="R41" i="23" s="1"/>
  <c r="S41" i="23" s="1"/>
  <c r="T41" i="23" s="1"/>
  <c r="F41" i="23"/>
  <c r="G41" i="23" s="1"/>
  <c r="H41" i="23" s="1"/>
  <c r="AL40" i="23"/>
  <c r="AM40" i="23" s="1"/>
  <c r="AN40" i="23" s="1"/>
  <c r="AO40" i="23" s="1"/>
  <c r="AP40" i="23" s="1"/>
  <c r="AQ40" i="23" s="1"/>
  <c r="AR40" i="23" s="1"/>
  <c r="AG40" i="23"/>
  <c r="AH40" i="23" s="1"/>
  <c r="AI40" i="23" s="1"/>
  <c r="AJ40" i="23" s="1"/>
  <c r="AF40" i="23"/>
  <c r="AE40" i="23"/>
  <c r="AD40" i="23"/>
  <c r="AB40" i="23"/>
  <c r="W40" i="23"/>
  <c r="X40" i="23" s="1"/>
  <c r="Y40" i="23" s="1"/>
  <c r="Z40" i="23" s="1"/>
  <c r="AA40" i="23" s="1"/>
  <c r="V40" i="23"/>
  <c r="N40" i="23"/>
  <c r="O40" i="23" s="1"/>
  <c r="P40" i="23" s="1"/>
  <c r="Q40" i="23" s="1"/>
  <c r="R40" i="23" s="1"/>
  <c r="S40" i="23" s="1"/>
  <c r="T40" i="23" s="1"/>
  <c r="F40" i="23"/>
  <c r="AM39" i="23"/>
  <c r="AN39" i="23" s="1"/>
  <c r="AO39" i="23" s="1"/>
  <c r="AP39" i="23" s="1"/>
  <c r="AQ39" i="23" s="1"/>
  <c r="AR39" i="23" s="1"/>
  <c r="AL39" i="23"/>
  <c r="AD39" i="23"/>
  <c r="AE39" i="23" s="1"/>
  <c r="AF39" i="23" s="1"/>
  <c r="AG39" i="23" s="1"/>
  <c r="AH39" i="23" s="1"/>
  <c r="AI39" i="23" s="1"/>
  <c r="AJ39" i="23" s="1"/>
  <c r="X39" i="23"/>
  <c r="Y39" i="23" s="1"/>
  <c r="Z39" i="23" s="1"/>
  <c r="AA39" i="23" s="1"/>
  <c r="AB39" i="23" s="1"/>
  <c r="W39" i="23"/>
  <c r="V39" i="23"/>
  <c r="P39" i="23"/>
  <c r="Q39" i="23" s="1"/>
  <c r="R39" i="23" s="1"/>
  <c r="S39" i="23" s="1"/>
  <c r="T39" i="23" s="1"/>
  <c r="O39" i="23"/>
  <c r="N39" i="23"/>
  <c r="F39" i="23"/>
  <c r="AM38" i="23"/>
  <c r="AN38" i="23" s="1"/>
  <c r="AO38" i="23" s="1"/>
  <c r="AP38" i="23" s="1"/>
  <c r="AQ38" i="23" s="1"/>
  <c r="AR38" i="23" s="1"/>
  <c r="AL38" i="23"/>
  <c r="AE38" i="23"/>
  <c r="AF38" i="23" s="1"/>
  <c r="AG38" i="23" s="1"/>
  <c r="AH38" i="23" s="1"/>
  <c r="AI38" i="23" s="1"/>
  <c r="AJ38" i="23" s="1"/>
  <c r="AD38" i="23"/>
  <c r="V38" i="23"/>
  <c r="W38" i="23" s="1"/>
  <c r="X38" i="23" s="1"/>
  <c r="Y38" i="23" s="1"/>
  <c r="Z38" i="23" s="1"/>
  <c r="AA38" i="23" s="1"/>
  <c r="AB38" i="23" s="1"/>
  <c r="P38" i="23"/>
  <c r="Q38" i="23" s="1"/>
  <c r="R38" i="23" s="1"/>
  <c r="S38" i="23" s="1"/>
  <c r="T38" i="23" s="1"/>
  <c r="O38" i="23"/>
  <c r="N38" i="23"/>
  <c r="H38" i="23"/>
  <c r="G38" i="23"/>
  <c r="F38" i="23"/>
  <c r="AR37" i="23"/>
  <c r="AN37" i="23"/>
  <c r="AO37" i="23" s="1"/>
  <c r="AP37" i="23" s="1"/>
  <c r="AQ37" i="23" s="1"/>
  <c r="AM37" i="23"/>
  <c r="AL37" i="23"/>
  <c r="AE37" i="23"/>
  <c r="AF37" i="23" s="1"/>
  <c r="AG37" i="23" s="1"/>
  <c r="AH37" i="23" s="1"/>
  <c r="AI37" i="23" s="1"/>
  <c r="AJ37" i="23" s="1"/>
  <c r="AD37" i="23"/>
  <c r="W37" i="23"/>
  <c r="X37" i="23" s="1"/>
  <c r="Y37" i="23" s="1"/>
  <c r="Z37" i="23" s="1"/>
  <c r="AA37" i="23" s="1"/>
  <c r="AB37" i="23" s="1"/>
  <c r="V37" i="23"/>
  <c r="N37" i="23"/>
  <c r="O37" i="23" s="1"/>
  <c r="P37" i="23" s="1"/>
  <c r="Q37" i="23" s="1"/>
  <c r="R37" i="23" s="1"/>
  <c r="S37" i="23" s="1"/>
  <c r="T37" i="23" s="1"/>
  <c r="H37" i="23"/>
  <c r="I37" i="23" s="1"/>
  <c r="J37" i="23" s="1"/>
  <c r="K37" i="23" s="1"/>
  <c r="L37" i="23" s="1"/>
  <c r="G37" i="23"/>
  <c r="F37" i="23"/>
  <c r="AL36" i="23"/>
  <c r="AM36" i="23" s="1"/>
  <c r="AN36" i="23" s="1"/>
  <c r="AO36" i="23" s="1"/>
  <c r="AP36" i="23" s="1"/>
  <c r="AQ36" i="23" s="1"/>
  <c r="AR36" i="23" s="1"/>
  <c r="AG36" i="23"/>
  <c r="AH36" i="23" s="1"/>
  <c r="AI36" i="23" s="1"/>
  <c r="AJ36" i="23" s="1"/>
  <c r="AF36" i="23"/>
  <c r="AE36" i="23"/>
  <c r="AD36" i="23"/>
  <c r="AB36" i="23"/>
  <c r="W36" i="23"/>
  <c r="X36" i="23" s="1"/>
  <c r="Y36" i="23" s="1"/>
  <c r="Z36" i="23" s="1"/>
  <c r="AA36" i="23" s="1"/>
  <c r="V36" i="23"/>
  <c r="N36" i="23"/>
  <c r="O36" i="23" s="1"/>
  <c r="P36" i="23" s="1"/>
  <c r="Q36" i="23" s="1"/>
  <c r="R36" i="23" s="1"/>
  <c r="S36" i="23" s="1"/>
  <c r="T36" i="23" s="1"/>
  <c r="F36" i="23"/>
  <c r="AM35" i="23"/>
  <c r="AN35" i="23" s="1"/>
  <c r="AO35" i="23" s="1"/>
  <c r="AP35" i="23" s="1"/>
  <c r="AQ35" i="23" s="1"/>
  <c r="AR35" i="23" s="1"/>
  <c r="AL35" i="23"/>
  <c r="AD35" i="23"/>
  <c r="AE35" i="23" s="1"/>
  <c r="AF35" i="23" s="1"/>
  <c r="AG35" i="23" s="1"/>
  <c r="AH35" i="23" s="1"/>
  <c r="AI35" i="23" s="1"/>
  <c r="AJ35" i="23" s="1"/>
  <c r="X35" i="23"/>
  <c r="Y35" i="23" s="1"/>
  <c r="Z35" i="23" s="1"/>
  <c r="AA35" i="23" s="1"/>
  <c r="AB35" i="23" s="1"/>
  <c r="W35" i="23"/>
  <c r="V35" i="23"/>
  <c r="P35" i="23"/>
  <c r="Q35" i="23" s="1"/>
  <c r="R35" i="23" s="1"/>
  <c r="S35" i="23" s="1"/>
  <c r="T35" i="23" s="1"/>
  <c r="O35" i="23"/>
  <c r="N35" i="23"/>
  <c r="F35" i="23"/>
  <c r="AL34" i="23"/>
  <c r="AM34" i="23" s="1"/>
  <c r="AN34" i="23" s="1"/>
  <c r="AO34" i="23" s="1"/>
  <c r="AP34" i="23" s="1"/>
  <c r="AQ34" i="23" s="1"/>
  <c r="AR34" i="23" s="1"/>
  <c r="AE34" i="23"/>
  <c r="AF34" i="23" s="1"/>
  <c r="AG34" i="23" s="1"/>
  <c r="AH34" i="23" s="1"/>
  <c r="AI34" i="23" s="1"/>
  <c r="AJ34" i="23" s="1"/>
  <c r="AD34" i="23"/>
  <c r="V34" i="23"/>
  <c r="W34" i="23" s="1"/>
  <c r="X34" i="23" s="1"/>
  <c r="Y34" i="23" s="1"/>
  <c r="Z34" i="23" s="1"/>
  <c r="AA34" i="23" s="1"/>
  <c r="AB34" i="23" s="1"/>
  <c r="P34" i="23"/>
  <c r="Q34" i="23" s="1"/>
  <c r="R34" i="23" s="1"/>
  <c r="S34" i="23" s="1"/>
  <c r="T34" i="23" s="1"/>
  <c r="O34" i="23"/>
  <c r="N34" i="23"/>
  <c r="H34" i="23"/>
  <c r="G34" i="23"/>
  <c r="F34" i="23"/>
  <c r="AR33" i="23"/>
  <c r="AN33" i="23"/>
  <c r="AO33" i="23" s="1"/>
  <c r="AP33" i="23" s="1"/>
  <c r="AQ33" i="23" s="1"/>
  <c r="AM33" i="23"/>
  <c r="AL33" i="23"/>
  <c r="AE33" i="23"/>
  <c r="AF33" i="23" s="1"/>
  <c r="AG33" i="23" s="1"/>
  <c r="AH33" i="23" s="1"/>
  <c r="AI33" i="23" s="1"/>
  <c r="AJ33" i="23" s="1"/>
  <c r="AD33" i="23"/>
  <c r="W33" i="23"/>
  <c r="X33" i="23" s="1"/>
  <c r="Y33" i="23" s="1"/>
  <c r="Z33" i="23" s="1"/>
  <c r="AA33" i="23" s="1"/>
  <c r="AB33" i="23" s="1"/>
  <c r="V33" i="23"/>
  <c r="N33" i="23"/>
  <c r="O33" i="23" s="1"/>
  <c r="P33" i="23" s="1"/>
  <c r="Q33" i="23" s="1"/>
  <c r="R33" i="23" s="1"/>
  <c r="S33" i="23" s="1"/>
  <c r="T33" i="23" s="1"/>
  <c r="H33" i="23"/>
  <c r="I33" i="23" s="1"/>
  <c r="J33" i="23" s="1"/>
  <c r="K33" i="23" s="1"/>
  <c r="L33" i="23" s="1"/>
  <c r="G33" i="23"/>
  <c r="F33" i="23"/>
  <c r="AL32" i="23"/>
  <c r="AM32" i="23" s="1"/>
  <c r="AN32" i="23" s="1"/>
  <c r="AO32" i="23" s="1"/>
  <c r="AP32" i="23" s="1"/>
  <c r="AQ32" i="23" s="1"/>
  <c r="AR32" i="23" s="1"/>
  <c r="AG32" i="23"/>
  <c r="AH32" i="23" s="1"/>
  <c r="AI32" i="23" s="1"/>
  <c r="AJ32" i="23" s="1"/>
  <c r="AF32" i="23"/>
  <c r="AE32" i="23"/>
  <c r="AD32" i="23"/>
  <c r="AB32" i="23"/>
  <c r="W32" i="23"/>
  <c r="X32" i="23" s="1"/>
  <c r="Y32" i="23" s="1"/>
  <c r="Z32" i="23" s="1"/>
  <c r="AA32" i="23" s="1"/>
  <c r="V32" i="23"/>
  <c r="N32" i="23"/>
  <c r="O32" i="23" s="1"/>
  <c r="P32" i="23" s="1"/>
  <c r="Q32" i="23" s="1"/>
  <c r="R32" i="23" s="1"/>
  <c r="S32" i="23" s="1"/>
  <c r="T32" i="23" s="1"/>
  <c r="F32" i="23"/>
  <c r="AM31" i="23"/>
  <c r="AN31" i="23" s="1"/>
  <c r="AO31" i="23" s="1"/>
  <c r="AP31" i="23" s="1"/>
  <c r="AQ31" i="23" s="1"/>
  <c r="AR31" i="23" s="1"/>
  <c r="AL31" i="23"/>
  <c r="AD31" i="23"/>
  <c r="AE31" i="23" s="1"/>
  <c r="AF31" i="23" s="1"/>
  <c r="AG31" i="23" s="1"/>
  <c r="AH31" i="23" s="1"/>
  <c r="AI31" i="23" s="1"/>
  <c r="AJ31" i="23" s="1"/>
  <c r="X31" i="23"/>
  <c r="Y31" i="23" s="1"/>
  <c r="Z31" i="23" s="1"/>
  <c r="AA31" i="23" s="1"/>
  <c r="AB31" i="23" s="1"/>
  <c r="W31" i="23"/>
  <c r="V31" i="23"/>
  <c r="P31" i="23"/>
  <c r="Q31" i="23" s="1"/>
  <c r="R31" i="23" s="1"/>
  <c r="S31" i="23" s="1"/>
  <c r="T31" i="23" s="1"/>
  <c r="O31" i="23"/>
  <c r="N31" i="23"/>
  <c r="F31" i="23"/>
  <c r="AM30" i="23"/>
  <c r="AN30" i="23" s="1"/>
  <c r="AO30" i="23" s="1"/>
  <c r="AP30" i="23" s="1"/>
  <c r="AQ30" i="23" s="1"/>
  <c r="AR30" i="23" s="1"/>
  <c r="AL30" i="23"/>
  <c r="AE30" i="23"/>
  <c r="AF30" i="23" s="1"/>
  <c r="AG30" i="23" s="1"/>
  <c r="AH30" i="23" s="1"/>
  <c r="AI30" i="23" s="1"/>
  <c r="AJ30" i="23" s="1"/>
  <c r="AD30" i="23"/>
  <c r="V30" i="23"/>
  <c r="W30" i="23" s="1"/>
  <c r="X30" i="23" s="1"/>
  <c r="Y30" i="23" s="1"/>
  <c r="Z30" i="23" s="1"/>
  <c r="AA30" i="23" s="1"/>
  <c r="AB30" i="23" s="1"/>
  <c r="P30" i="23"/>
  <c r="Q30" i="23" s="1"/>
  <c r="R30" i="23" s="1"/>
  <c r="S30" i="23" s="1"/>
  <c r="T30" i="23" s="1"/>
  <c r="O30" i="23"/>
  <c r="N30" i="23"/>
  <c r="H30" i="23"/>
  <c r="G30" i="23"/>
  <c r="F30" i="23"/>
  <c r="AR29" i="23"/>
  <c r="AN29" i="23"/>
  <c r="AO29" i="23" s="1"/>
  <c r="AP29" i="23" s="1"/>
  <c r="AQ29" i="23" s="1"/>
  <c r="AM29" i="23"/>
  <c r="AL29" i="23"/>
  <c r="AE29" i="23"/>
  <c r="AF29" i="23" s="1"/>
  <c r="AG29" i="23" s="1"/>
  <c r="AH29" i="23" s="1"/>
  <c r="AI29" i="23" s="1"/>
  <c r="AJ29" i="23" s="1"/>
  <c r="AD29" i="23"/>
  <c r="W29" i="23"/>
  <c r="X29" i="23" s="1"/>
  <c r="Y29" i="23" s="1"/>
  <c r="Z29" i="23" s="1"/>
  <c r="AA29" i="23" s="1"/>
  <c r="AB29" i="23" s="1"/>
  <c r="V29" i="23"/>
  <c r="N29" i="23"/>
  <c r="O29" i="23" s="1"/>
  <c r="P29" i="23" s="1"/>
  <c r="Q29" i="23" s="1"/>
  <c r="R29" i="23" s="1"/>
  <c r="S29" i="23" s="1"/>
  <c r="T29" i="23" s="1"/>
  <c r="H29" i="23"/>
  <c r="I29" i="23" s="1"/>
  <c r="J29" i="23" s="1"/>
  <c r="K29" i="23" s="1"/>
  <c r="L29" i="23" s="1"/>
  <c r="G29" i="23"/>
  <c r="F29" i="23"/>
  <c r="AL28" i="23"/>
  <c r="AM28" i="23" s="1"/>
  <c r="AN28" i="23" s="1"/>
  <c r="AO28" i="23" s="1"/>
  <c r="AP28" i="23" s="1"/>
  <c r="AQ28" i="23" s="1"/>
  <c r="AR28" i="23" s="1"/>
  <c r="AG28" i="23"/>
  <c r="AH28" i="23" s="1"/>
  <c r="AI28" i="23" s="1"/>
  <c r="AJ28" i="23" s="1"/>
  <c r="AF28" i="23"/>
  <c r="AE28" i="23"/>
  <c r="AD28" i="23"/>
  <c r="AB28" i="23"/>
  <c r="W28" i="23"/>
  <c r="X28" i="23" s="1"/>
  <c r="Y28" i="23" s="1"/>
  <c r="Z28" i="23" s="1"/>
  <c r="AA28" i="23" s="1"/>
  <c r="V28" i="23"/>
  <c r="N28" i="23"/>
  <c r="O28" i="23" s="1"/>
  <c r="P28" i="23" s="1"/>
  <c r="Q28" i="23" s="1"/>
  <c r="R28" i="23" s="1"/>
  <c r="S28" i="23" s="1"/>
  <c r="T28" i="23" s="1"/>
  <c r="F28" i="23"/>
  <c r="AM27" i="23"/>
  <c r="AN27" i="23" s="1"/>
  <c r="AO27" i="23" s="1"/>
  <c r="AP27" i="23" s="1"/>
  <c r="AQ27" i="23" s="1"/>
  <c r="AR27" i="23" s="1"/>
  <c r="AL27" i="23"/>
  <c r="AD27" i="23"/>
  <c r="AE27" i="23" s="1"/>
  <c r="AF27" i="23" s="1"/>
  <c r="AG27" i="23" s="1"/>
  <c r="AH27" i="23" s="1"/>
  <c r="AI27" i="23" s="1"/>
  <c r="AJ27" i="23" s="1"/>
  <c r="X27" i="23"/>
  <c r="Y27" i="23" s="1"/>
  <c r="Z27" i="23" s="1"/>
  <c r="AA27" i="23" s="1"/>
  <c r="AB27" i="23" s="1"/>
  <c r="W27" i="23"/>
  <c r="V27" i="23"/>
  <c r="P27" i="23"/>
  <c r="Q27" i="23" s="1"/>
  <c r="R27" i="23" s="1"/>
  <c r="S27" i="23" s="1"/>
  <c r="T27" i="23" s="1"/>
  <c r="O27" i="23"/>
  <c r="N27" i="23"/>
  <c r="F27" i="23"/>
  <c r="AM26" i="23"/>
  <c r="AN26" i="23" s="1"/>
  <c r="AO26" i="23" s="1"/>
  <c r="AP26" i="23" s="1"/>
  <c r="AQ26" i="23" s="1"/>
  <c r="AR26" i="23" s="1"/>
  <c r="AL26" i="23"/>
  <c r="AD26" i="23"/>
  <c r="AE26" i="23" s="1"/>
  <c r="AF26" i="23" s="1"/>
  <c r="AG26" i="23" s="1"/>
  <c r="AH26" i="23" s="1"/>
  <c r="AI26" i="23" s="1"/>
  <c r="AJ26" i="23" s="1"/>
  <c r="V26" i="23"/>
  <c r="W26" i="23" s="1"/>
  <c r="X26" i="23" s="1"/>
  <c r="Y26" i="23" s="1"/>
  <c r="Z26" i="23" s="1"/>
  <c r="AA26" i="23" s="1"/>
  <c r="AB26" i="23" s="1"/>
  <c r="N26" i="23"/>
  <c r="O26" i="23" s="1"/>
  <c r="P26" i="23" s="1"/>
  <c r="Q26" i="23" s="1"/>
  <c r="R26" i="23" s="1"/>
  <c r="S26" i="23" s="1"/>
  <c r="T26" i="23" s="1"/>
  <c r="L26" i="23"/>
  <c r="G26" i="23"/>
  <c r="H26" i="23" s="1"/>
  <c r="I26" i="23" s="1"/>
  <c r="J26" i="23" s="1"/>
  <c r="K26" i="23" s="1"/>
  <c r="F26" i="23"/>
  <c r="AN25" i="23"/>
  <c r="AO25" i="23" s="1"/>
  <c r="AP25" i="23" s="1"/>
  <c r="AQ25" i="23" s="1"/>
  <c r="AR25" i="23" s="1"/>
  <c r="AL25" i="23"/>
  <c r="AM25" i="23" s="1"/>
  <c r="AF25" i="23"/>
  <c r="AG25" i="23" s="1"/>
  <c r="AH25" i="23" s="1"/>
  <c r="AI25" i="23" s="1"/>
  <c r="AJ25" i="23" s="1"/>
  <c r="AE25" i="23"/>
  <c r="AD25" i="23"/>
  <c r="V25" i="23"/>
  <c r="W25" i="23" s="1"/>
  <c r="X25" i="23" s="1"/>
  <c r="Y25" i="23" s="1"/>
  <c r="Z25" i="23" s="1"/>
  <c r="AA25" i="23" s="1"/>
  <c r="AB25" i="23" s="1"/>
  <c r="Q25" i="23"/>
  <c r="R25" i="23" s="1"/>
  <c r="S25" i="23" s="1"/>
  <c r="T25" i="23" s="1"/>
  <c r="N25" i="23"/>
  <c r="O25" i="23" s="1"/>
  <c r="P25" i="23" s="1"/>
  <c r="H25" i="23"/>
  <c r="G25" i="23"/>
  <c r="F25" i="23"/>
  <c r="AL24" i="23"/>
  <c r="AM24" i="23" s="1"/>
  <c r="AN24" i="23" s="1"/>
  <c r="AO24" i="23" s="1"/>
  <c r="AP24" i="23" s="1"/>
  <c r="AQ24" i="23" s="1"/>
  <c r="AR24" i="23" s="1"/>
  <c r="AJ24" i="23"/>
  <c r="AF24" i="23"/>
  <c r="AG24" i="23" s="1"/>
  <c r="AH24" i="23" s="1"/>
  <c r="AI24" i="23" s="1"/>
  <c r="AE24" i="23"/>
  <c r="AD24" i="23"/>
  <c r="W24" i="23"/>
  <c r="X24" i="23" s="1"/>
  <c r="Y24" i="23" s="1"/>
  <c r="Z24" i="23" s="1"/>
  <c r="AA24" i="23" s="1"/>
  <c r="AB24" i="23" s="1"/>
  <c r="V24" i="23"/>
  <c r="O24" i="23"/>
  <c r="P24" i="23" s="1"/>
  <c r="Q24" i="23" s="1"/>
  <c r="R24" i="23" s="1"/>
  <c r="S24" i="23" s="1"/>
  <c r="T24" i="23" s="1"/>
  <c r="N24" i="23"/>
  <c r="F24" i="23"/>
  <c r="AP23" i="23"/>
  <c r="AQ23" i="23" s="1"/>
  <c r="AR23" i="23" s="1"/>
  <c r="AL23" i="23"/>
  <c r="AM23" i="23" s="1"/>
  <c r="AN23" i="23" s="1"/>
  <c r="AO23" i="23" s="1"/>
  <c r="AG23" i="23"/>
  <c r="AH23" i="23" s="1"/>
  <c r="AI23" i="23" s="1"/>
  <c r="AJ23" i="23" s="1"/>
  <c r="AD23" i="23"/>
  <c r="AE23" i="23" s="1"/>
  <c r="AF23" i="23" s="1"/>
  <c r="X23" i="23"/>
  <c r="Y23" i="23" s="1"/>
  <c r="Z23" i="23" s="1"/>
  <c r="AA23" i="23" s="1"/>
  <c r="AB23" i="23" s="1"/>
  <c r="W23" i="23"/>
  <c r="V23" i="23"/>
  <c r="S23" i="23"/>
  <c r="T23" i="23" s="1"/>
  <c r="O23" i="23"/>
  <c r="P23" i="23" s="1"/>
  <c r="Q23" i="23" s="1"/>
  <c r="R23" i="23" s="1"/>
  <c r="N23" i="23"/>
  <c r="F23" i="23"/>
  <c r="AN22" i="23"/>
  <c r="AO22" i="23" s="1"/>
  <c r="AP22" i="23" s="1"/>
  <c r="AQ22" i="23" s="1"/>
  <c r="AR22" i="23" s="1"/>
  <c r="AM22" i="23"/>
  <c r="AL22" i="23"/>
  <c r="AH22" i="23"/>
  <c r="AI22" i="23" s="1"/>
  <c r="AJ22" i="23" s="1"/>
  <c r="AD22" i="23"/>
  <c r="AE22" i="23" s="1"/>
  <c r="AF22" i="23" s="1"/>
  <c r="AG22" i="23" s="1"/>
  <c r="Y22" i="23"/>
  <c r="Z22" i="23" s="1"/>
  <c r="AA22" i="23" s="1"/>
  <c r="AB22" i="23" s="1"/>
  <c r="V22" i="23"/>
  <c r="W22" i="23" s="1"/>
  <c r="X22" i="23" s="1"/>
  <c r="P22" i="23"/>
  <c r="Q22" i="23" s="1"/>
  <c r="R22" i="23" s="1"/>
  <c r="S22" i="23" s="1"/>
  <c r="T22" i="23" s="1"/>
  <c r="O22" i="23"/>
  <c r="N22" i="23"/>
  <c r="G22" i="23"/>
  <c r="H22" i="23" s="1"/>
  <c r="I22" i="23" s="1"/>
  <c r="J22" i="23" s="1"/>
  <c r="K22" i="23" s="1"/>
  <c r="L22" i="23" s="1"/>
  <c r="F22" i="23"/>
  <c r="AN21" i="23"/>
  <c r="AO21" i="23" s="1"/>
  <c r="AP21" i="23" s="1"/>
  <c r="AQ21" i="23" s="1"/>
  <c r="AR21" i="23" s="1"/>
  <c r="AM21" i="23"/>
  <c r="AL21" i="23"/>
  <c r="AF21" i="23"/>
  <c r="AG21" i="23" s="1"/>
  <c r="AH21" i="23" s="1"/>
  <c r="AI21" i="23" s="1"/>
  <c r="AJ21" i="23" s="1"/>
  <c r="AE21" i="23"/>
  <c r="AD21" i="23"/>
  <c r="V21" i="23"/>
  <c r="W21" i="23" s="1"/>
  <c r="X21" i="23" s="1"/>
  <c r="Y21" i="23" s="1"/>
  <c r="Z21" i="23" s="1"/>
  <c r="AA21" i="23" s="1"/>
  <c r="AB21" i="23" s="1"/>
  <c r="Q21" i="23"/>
  <c r="R21" i="23" s="1"/>
  <c r="S21" i="23" s="1"/>
  <c r="T21" i="23" s="1"/>
  <c r="N21" i="23"/>
  <c r="O21" i="23" s="1"/>
  <c r="P21" i="23" s="1"/>
  <c r="H21" i="23"/>
  <c r="G21" i="23"/>
  <c r="F21" i="23"/>
  <c r="AL20" i="23"/>
  <c r="AM20" i="23" s="1"/>
  <c r="AN20" i="23" s="1"/>
  <c r="AO20" i="23" s="1"/>
  <c r="AP20" i="23" s="1"/>
  <c r="AQ20" i="23" s="1"/>
  <c r="AR20" i="23" s="1"/>
  <c r="AJ20" i="23"/>
  <c r="AF20" i="23"/>
  <c r="AG20" i="23" s="1"/>
  <c r="AH20" i="23" s="1"/>
  <c r="AI20" i="23" s="1"/>
  <c r="AE20" i="23"/>
  <c r="AD20" i="23"/>
  <c r="W20" i="23"/>
  <c r="X20" i="23" s="1"/>
  <c r="Y20" i="23" s="1"/>
  <c r="Z20" i="23" s="1"/>
  <c r="AA20" i="23" s="1"/>
  <c r="AB20" i="23" s="1"/>
  <c r="V20" i="23"/>
  <c r="O20" i="23"/>
  <c r="P20" i="23" s="1"/>
  <c r="Q20" i="23" s="1"/>
  <c r="R20" i="23" s="1"/>
  <c r="S20" i="23" s="1"/>
  <c r="T20" i="23" s="1"/>
  <c r="N20" i="23"/>
  <c r="F20" i="23"/>
  <c r="AP19" i="23"/>
  <c r="AQ19" i="23" s="1"/>
  <c r="AR19" i="23" s="1"/>
  <c r="AL19" i="23"/>
  <c r="AM19" i="23" s="1"/>
  <c r="AN19" i="23" s="1"/>
  <c r="AO19" i="23" s="1"/>
  <c r="AG19" i="23"/>
  <c r="AH19" i="23" s="1"/>
  <c r="AI19" i="23" s="1"/>
  <c r="AJ19" i="23" s="1"/>
  <c r="AD19" i="23"/>
  <c r="AE19" i="23" s="1"/>
  <c r="AF19" i="23" s="1"/>
  <c r="X19" i="23"/>
  <c r="Y19" i="23" s="1"/>
  <c r="Z19" i="23" s="1"/>
  <c r="AA19" i="23" s="1"/>
  <c r="AB19" i="23" s="1"/>
  <c r="W19" i="23"/>
  <c r="V19" i="23"/>
  <c r="O19" i="23"/>
  <c r="P19" i="23" s="1"/>
  <c r="Q19" i="23" s="1"/>
  <c r="R19" i="23" s="1"/>
  <c r="S19" i="23" s="1"/>
  <c r="T19" i="23" s="1"/>
  <c r="N19" i="23"/>
  <c r="F19" i="23"/>
  <c r="AN18" i="23"/>
  <c r="AO18" i="23" s="1"/>
  <c r="AP18" i="23" s="1"/>
  <c r="AQ18" i="23" s="1"/>
  <c r="AR18" i="23" s="1"/>
  <c r="AM18" i="23"/>
  <c r="AL18" i="23"/>
  <c r="AD18" i="23"/>
  <c r="AE18" i="23" s="1"/>
  <c r="AF18" i="23" s="1"/>
  <c r="AG18" i="23" s="1"/>
  <c r="AH18" i="23" s="1"/>
  <c r="AI18" i="23" s="1"/>
  <c r="AJ18" i="23" s="1"/>
  <c r="Y18" i="23"/>
  <c r="Z18" i="23" s="1"/>
  <c r="AA18" i="23" s="1"/>
  <c r="AB18" i="23" s="1"/>
  <c r="V18" i="23"/>
  <c r="W18" i="23" s="1"/>
  <c r="X18" i="23" s="1"/>
  <c r="P18" i="23"/>
  <c r="Q18" i="23" s="1"/>
  <c r="R18" i="23" s="1"/>
  <c r="S18" i="23" s="1"/>
  <c r="T18" i="23" s="1"/>
  <c r="O18" i="23"/>
  <c r="N18" i="23"/>
  <c r="G18" i="23"/>
  <c r="H18" i="23" s="1"/>
  <c r="I18" i="23" s="1"/>
  <c r="J18" i="23" s="1"/>
  <c r="K18" i="23" s="1"/>
  <c r="F18" i="23"/>
  <c r="AN17" i="23"/>
  <c r="AO17" i="23" s="1"/>
  <c r="AP17" i="23" s="1"/>
  <c r="AQ17" i="23" s="1"/>
  <c r="AR17" i="23" s="1"/>
  <c r="AM17" i="23"/>
  <c r="AL17" i="23"/>
  <c r="AF17" i="23"/>
  <c r="AG17" i="23" s="1"/>
  <c r="AH17" i="23" s="1"/>
  <c r="AI17" i="23" s="1"/>
  <c r="AJ17" i="23" s="1"/>
  <c r="AE17" i="23"/>
  <c r="AD17" i="23"/>
  <c r="V17" i="23"/>
  <c r="W17" i="23" s="1"/>
  <c r="X17" i="23" s="1"/>
  <c r="Y17" i="23" s="1"/>
  <c r="Z17" i="23" s="1"/>
  <c r="AA17" i="23" s="1"/>
  <c r="AB17" i="23" s="1"/>
  <c r="Q17" i="23"/>
  <c r="R17" i="23" s="1"/>
  <c r="S17" i="23" s="1"/>
  <c r="T17" i="23" s="1"/>
  <c r="N17" i="23"/>
  <c r="O17" i="23" s="1"/>
  <c r="P17" i="23" s="1"/>
  <c r="H17" i="23"/>
  <c r="G17" i="23"/>
  <c r="F17" i="23"/>
  <c r="AN16" i="23"/>
  <c r="AO16" i="23" s="1"/>
  <c r="AP16" i="23" s="1"/>
  <c r="AQ16" i="23" s="1"/>
  <c r="AR16" i="23" s="1"/>
  <c r="AL16" i="23"/>
  <c r="AM16" i="23" s="1"/>
  <c r="AG16" i="23"/>
  <c r="AH16" i="23" s="1"/>
  <c r="AI16" i="23" s="1"/>
  <c r="AJ16" i="23" s="1"/>
  <c r="AE16" i="23"/>
  <c r="AF16" i="23" s="1"/>
  <c r="AD16" i="23"/>
  <c r="V16" i="23"/>
  <c r="W16" i="23" s="1"/>
  <c r="X16" i="23" s="1"/>
  <c r="Y16" i="23" s="1"/>
  <c r="Z16" i="23" s="1"/>
  <c r="AA16" i="23" s="1"/>
  <c r="AB16" i="23" s="1"/>
  <c r="N16" i="23"/>
  <c r="O16" i="23" s="1"/>
  <c r="P16" i="23" s="1"/>
  <c r="Q16" i="23" s="1"/>
  <c r="R16" i="23" s="1"/>
  <c r="S16" i="23" s="1"/>
  <c r="T16" i="23" s="1"/>
  <c r="F16" i="23"/>
  <c r="AL15" i="23"/>
  <c r="AM15" i="23" s="1"/>
  <c r="AN15" i="23" s="1"/>
  <c r="AO15" i="23" s="1"/>
  <c r="AP15" i="23" s="1"/>
  <c r="AQ15" i="23" s="1"/>
  <c r="AR15" i="23" s="1"/>
  <c r="AF15" i="23"/>
  <c r="AG15" i="23" s="1"/>
  <c r="AH15" i="23" s="1"/>
  <c r="AI15" i="23" s="1"/>
  <c r="AJ15" i="23" s="1"/>
  <c r="AD15" i="23"/>
  <c r="AE15" i="23" s="1"/>
  <c r="W15" i="23"/>
  <c r="X15" i="23" s="1"/>
  <c r="Y15" i="23" s="1"/>
  <c r="Z15" i="23" s="1"/>
  <c r="AA15" i="23" s="1"/>
  <c r="AB15" i="23" s="1"/>
  <c r="V15" i="23"/>
  <c r="T15" i="23"/>
  <c r="O15" i="23"/>
  <c r="P15" i="23" s="1"/>
  <c r="Q15" i="23" s="1"/>
  <c r="R15" i="23" s="1"/>
  <c r="S15" i="23" s="1"/>
  <c r="N15" i="23"/>
  <c r="F15" i="23"/>
  <c r="AL14" i="23"/>
  <c r="AM14" i="23" s="1"/>
  <c r="AN14" i="23" s="1"/>
  <c r="AO14" i="23" s="1"/>
  <c r="AP14" i="23" s="1"/>
  <c r="AQ14" i="23" s="1"/>
  <c r="AR14" i="23" s="1"/>
  <c r="AD14" i="23"/>
  <c r="AE14" i="23" s="1"/>
  <c r="AF14" i="23" s="1"/>
  <c r="AG14" i="23" s="1"/>
  <c r="AH14" i="23" s="1"/>
  <c r="AI14" i="23" s="1"/>
  <c r="AJ14" i="23" s="1"/>
  <c r="V14" i="23"/>
  <c r="W14" i="23" s="1"/>
  <c r="X14" i="23" s="1"/>
  <c r="Y14" i="23" s="1"/>
  <c r="Z14" i="23" s="1"/>
  <c r="AA14" i="23" s="1"/>
  <c r="AB14" i="23" s="1"/>
  <c r="S14" i="23"/>
  <c r="T14" i="23" s="1"/>
  <c r="O14" i="23"/>
  <c r="P14" i="23" s="1"/>
  <c r="Q14" i="23" s="1"/>
  <c r="R14" i="23" s="1"/>
  <c r="N14" i="23"/>
  <c r="F14" i="23"/>
  <c r="AQ13" i="23"/>
  <c r="AR13" i="23" s="1"/>
  <c r="AM13" i="23"/>
  <c r="AN13" i="23" s="1"/>
  <c r="AO13" i="23" s="1"/>
  <c r="AP13" i="23" s="1"/>
  <c r="AL13" i="23"/>
  <c r="AD13" i="23"/>
  <c r="AE13" i="23" s="1"/>
  <c r="AF13" i="23" s="1"/>
  <c r="AG13" i="23" s="1"/>
  <c r="AH13" i="23" s="1"/>
  <c r="AI13" i="23" s="1"/>
  <c r="AJ13" i="23" s="1"/>
  <c r="V13" i="23"/>
  <c r="W13" i="23" s="1"/>
  <c r="X13" i="23" s="1"/>
  <c r="Y13" i="23" s="1"/>
  <c r="Z13" i="23" s="1"/>
  <c r="AA13" i="23" s="1"/>
  <c r="AB13" i="23" s="1"/>
  <c r="P13" i="23"/>
  <c r="Q13" i="23" s="1"/>
  <c r="R13" i="23" s="1"/>
  <c r="S13" i="23" s="1"/>
  <c r="T13" i="23" s="1"/>
  <c r="N13" i="23"/>
  <c r="O13" i="23" s="1"/>
  <c r="G13" i="23"/>
  <c r="F13" i="23"/>
  <c r="AL12" i="23"/>
  <c r="AM12" i="23" s="1"/>
  <c r="AN12" i="23" s="1"/>
  <c r="AO12" i="23" s="1"/>
  <c r="AP12" i="23" s="1"/>
  <c r="AQ12" i="23" s="1"/>
  <c r="AR12" i="23" s="1"/>
  <c r="AE12" i="23"/>
  <c r="AF12" i="23" s="1"/>
  <c r="AG12" i="23" s="1"/>
  <c r="AH12" i="23" s="1"/>
  <c r="AI12" i="23" s="1"/>
  <c r="AJ12" i="23" s="1"/>
  <c r="AD12" i="23"/>
  <c r="V12" i="23"/>
  <c r="W12" i="23" s="1"/>
  <c r="X12" i="23" s="1"/>
  <c r="Y12" i="23" s="1"/>
  <c r="Z12" i="23" s="1"/>
  <c r="AA12" i="23" s="1"/>
  <c r="AB12" i="23" s="1"/>
  <c r="Q12" i="23"/>
  <c r="R12" i="23" s="1"/>
  <c r="S12" i="23" s="1"/>
  <c r="T12" i="23" s="1"/>
  <c r="N12" i="23"/>
  <c r="O12" i="23" s="1"/>
  <c r="P12" i="23" s="1"/>
  <c r="F12" i="23"/>
  <c r="G12" i="23" s="1"/>
  <c r="AO11" i="23"/>
  <c r="AP11" i="23" s="1"/>
  <c r="AQ11" i="23" s="1"/>
  <c r="AR11" i="23" s="1"/>
  <c r="AL11" i="23"/>
  <c r="AM11" i="23" s="1"/>
  <c r="AN11" i="23" s="1"/>
  <c r="AD11" i="23"/>
  <c r="AE11" i="23" s="1"/>
  <c r="AF11" i="23" s="1"/>
  <c r="AG11" i="23" s="1"/>
  <c r="AH11" i="23" s="1"/>
  <c r="AI11" i="23" s="1"/>
  <c r="AJ11" i="23" s="1"/>
  <c r="W11" i="23"/>
  <c r="X11" i="23" s="1"/>
  <c r="Y11" i="23" s="1"/>
  <c r="Z11" i="23" s="1"/>
  <c r="AA11" i="23" s="1"/>
  <c r="AB11" i="23" s="1"/>
  <c r="V11" i="23"/>
  <c r="N11" i="23"/>
  <c r="O11" i="23" s="1"/>
  <c r="P11" i="23" s="1"/>
  <c r="Q11" i="23" s="1"/>
  <c r="R11" i="23" s="1"/>
  <c r="S11" i="23" s="1"/>
  <c r="T11" i="23" s="1"/>
  <c r="J11" i="23"/>
  <c r="K11" i="23" s="1"/>
  <c r="L11" i="23" s="1"/>
  <c r="F11" i="23"/>
  <c r="AL10" i="23"/>
  <c r="W10" i="23"/>
  <c r="V10" i="23"/>
  <c r="N10" i="23"/>
  <c r="F10" i="23"/>
  <c r="BB5" i="23"/>
  <c r="AR75" i="22"/>
  <c r="AQ75" i="22"/>
  <c r="AP75" i="22"/>
  <c r="AO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U75" i="22"/>
  <c r="R75" i="22"/>
  <c r="Q75" i="22"/>
  <c r="P75" i="22"/>
  <c r="O75" i="22"/>
  <c r="N75" i="22"/>
  <c r="M75" i="22"/>
  <c r="H75" i="22"/>
  <c r="G75" i="22"/>
  <c r="F75" i="22"/>
  <c r="E75" i="22"/>
  <c r="AK74" i="22"/>
  <c r="AC74" i="22"/>
  <c r="U74" i="22"/>
  <c r="M74" i="22"/>
  <c r="E74" i="22"/>
  <c r="AL73" i="22"/>
  <c r="AM73" i="22" s="1"/>
  <c r="AN73" i="22" s="1"/>
  <c r="AO73" i="22" s="1"/>
  <c r="AP73" i="22" s="1"/>
  <c r="AQ73" i="22" s="1"/>
  <c r="AR73" i="22" s="1"/>
  <c r="AH73" i="22"/>
  <c r="AI73" i="22" s="1"/>
  <c r="AJ73" i="22" s="1"/>
  <c r="AG73" i="22"/>
  <c r="AD73" i="22"/>
  <c r="AE73" i="22" s="1"/>
  <c r="AF73" i="22" s="1"/>
  <c r="AA73" i="22"/>
  <c r="AB73" i="22" s="1"/>
  <c r="X73" i="22"/>
  <c r="Y73" i="22" s="1"/>
  <c r="Z73" i="22" s="1"/>
  <c r="W73" i="22"/>
  <c r="V73" i="22"/>
  <c r="S73" i="22"/>
  <c r="T73" i="22" s="1"/>
  <c r="R73" i="22"/>
  <c r="N73" i="22"/>
  <c r="O73" i="22" s="1"/>
  <c r="P73" i="22" s="1"/>
  <c r="Q73" i="22" s="1"/>
  <c r="F73" i="22"/>
  <c r="AN72" i="22"/>
  <c r="AO72" i="22" s="1"/>
  <c r="AP72" i="22" s="1"/>
  <c r="AQ72" i="22" s="1"/>
  <c r="AR72" i="22" s="1"/>
  <c r="AM72" i="22"/>
  <c r="AL72" i="22"/>
  <c r="AH72" i="22"/>
  <c r="AI72" i="22" s="1"/>
  <c r="AJ72" i="22" s="1"/>
  <c r="AG72" i="22"/>
  <c r="AD72" i="22"/>
  <c r="AE72" i="22" s="1"/>
  <c r="AF72" i="22" s="1"/>
  <c r="X72" i="22"/>
  <c r="Y72" i="22" s="1"/>
  <c r="Z72" i="22" s="1"/>
  <c r="AA72" i="22" s="1"/>
  <c r="AB72" i="22" s="1"/>
  <c r="V72" i="22"/>
  <c r="W72" i="22" s="1"/>
  <c r="P72" i="22"/>
  <c r="Q72" i="22" s="1"/>
  <c r="R72" i="22" s="1"/>
  <c r="S72" i="22" s="1"/>
  <c r="T72" i="22" s="1"/>
  <c r="O72" i="22"/>
  <c r="N72" i="22"/>
  <c r="F72" i="22"/>
  <c r="AN71" i="22"/>
  <c r="AO71" i="22" s="1"/>
  <c r="AP71" i="22" s="1"/>
  <c r="AQ71" i="22" s="1"/>
  <c r="AR71" i="22" s="1"/>
  <c r="AM71" i="22"/>
  <c r="AL71" i="22"/>
  <c r="AF71" i="22"/>
  <c r="AG71" i="22" s="1"/>
  <c r="AH71" i="22" s="1"/>
  <c r="AI71" i="22" s="1"/>
  <c r="AJ71" i="22" s="1"/>
  <c r="AD71" i="22"/>
  <c r="AE71" i="22" s="1"/>
  <c r="W71" i="22"/>
  <c r="X71" i="22" s="1"/>
  <c r="Y71" i="22" s="1"/>
  <c r="Z71" i="22" s="1"/>
  <c r="AA71" i="22" s="1"/>
  <c r="AB71" i="22" s="1"/>
  <c r="V71" i="22"/>
  <c r="Q71" i="22"/>
  <c r="R71" i="22" s="1"/>
  <c r="S71" i="22" s="1"/>
  <c r="T71" i="22" s="1"/>
  <c r="P71" i="22"/>
  <c r="N71" i="22"/>
  <c r="O71" i="22" s="1"/>
  <c r="I71" i="22"/>
  <c r="J71" i="22" s="1"/>
  <c r="K71" i="22" s="1"/>
  <c r="L71" i="22" s="1"/>
  <c r="H71" i="22"/>
  <c r="G71" i="22"/>
  <c r="F71" i="22"/>
  <c r="AL70" i="22"/>
  <c r="AP70" i="22" s="1"/>
  <c r="AQ70" i="22" s="1"/>
  <c r="AR70" i="22" s="1"/>
  <c r="AE70" i="22"/>
  <c r="AF70" i="22" s="1"/>
  <c r="AG70" i="22" s="1"/>
  <c r="AH70" i="22" s="1"/>
  <c r="AI70" i="22" s="1"/>
  <c r="AJ70" i="22" s="1"/>
  <c r="AD70" i="22"/>
  <c r="V70" i="22"/>
  <c r="W70" i="22" s="1"/>
  <c r="X70" i="22" s="1"/>
  <c r="Y70" i="22" s="1"/>
  <c r="Z70" i="22" s="1"/>
  <c r="AA70" i="22" s="1"/>
  <c r="AB70" i="22" s="1"/>
  <c r="S70" i="22"/>
  <c r="T70" i="22" s="1"/>
  <c r="Q70" i="22"/>
  <c r="R70" i="22" s="1"/>
  <c r="N70" i="22"/>
  <c r="O70" i="22" s="1"/>
  <c r="P70" i="22" s="1"/>
  <c r="I70" i="22"/>
  <c r="J70" i="22" s="1"/>
  <c r="K70" i="22" s="1"/>
  <c r="L70" i="22" s="1"/>
  <c r="H70" i="22"/>
  <c r="F70" i="22"/>
  <c r="G70" i="22" s="1"/>
  <c r="AP69" i="22"/>
  <c r="AQ69" i="22" s="1"/>
  <c r="AR69" i="22" s="1"/>
  <c r="AO69" i="22"/>
  <c r="AL69" i="22"/>
  <c r="AM69" i="22" s="1"/>
  <c r="AN69" i="22" s="1"/>
  <c r="AF69" i="22"/>
  <c r="AG69" i="22" s="1"/>
  <c r="AH69" i="22" s="1"/>
  <c r="AI69" i="22" s="1"/>
  <c r="AJ69" i="22" s="1"/>
  <c r="AD69" i="22"/>
  <c r="AE69" i="22" s="1"/>
  <c r="X69" i="22"/>
  <c r="Y69" i="22" s="1"/>
  <c r="Z69" i="22" s="1"/>
  <c r="AA69" i="22" s="1"/>
  <c r="AB69" i="22" s="1"/>
  <c r="W69" i="22"/>
  <c r="V69" i="22"/>
  <c r="N69" i="22"/>
  <c r="O69" i="22" s="1"/>
  <c r="P69" i="22" s="1"/>
  <c r="Q69" i="22" s="1"/>
  <c r="R69" i="22" s="1"/>
  <c r="S69" i="22" s="1"/>
  <c r="T69" i="22" s="1"/>
  <c r="F69" i="22"/>
  <c r="AN68" i="22"/>
  <c r="AO68" i="22" s="1"/>
  <c r="AP68" i="22" s="1"/>
  <c r="AQ68" i="22" s="1"/>
  <c r="AR68" i="22" s="1"/>
  <c r="AL68" i="22"/>
  <c r="AM68" i="22" s="1"/>
  <c r="AE68" i="22"/>
  <c r="AF68" i="22" s="1"/>
  <c r="AG68" i="22" s="1"/>
  <c r="AH68" i="22" s="1"/>
  <c r="AI68" i="22" s="1"/>
  <c r="AJ68" i="22" s="1"/>
  <c r="AD68" i="22"/>
  <c r="Y68" i="22"/>
  <c r="Z68" i="22" s="1"/>
  <c r="AA68" i="22" s="1"/>
  <c r="AB68" i="22" s="1"/>
  <c r="X68" i="22"/>
  <c r="V68" i="22"/>
  <c r="W68" i="22" s="1"/>
  <c r="Q68" i="22"/>
  <c r="R68" i="22" s="1"/>
  <c r="S68" i="22" s="1"/>
  <c r="T68" i="22" s="1"/>
  <c r="P68" i="22"/>
  <c r="O68" i="22"/>
  <c r="N68" i="22"/>
  <c r="L68" i="22"/>
  <c r="K68" i="22"/>
  <c r="F68" i="22"/>
  <c r="G68" i="22" s="1"/>
  <c r="H68" i="22" s="1"/>
  <c r="I68" i="22" s="1"/>
  <c r="J68" i="22" s="1"/>
  <c r="AM67" i="22"/>
  <c r="AN67" i="22" s="1"/>
  <c r="AO67" i="22" s="1"/>
  <c r="AP67" i="22" s="1"/>
  <c r="AQ67" i="22" s="1"/>
  <c r="AR67" i="22" s="1"/>
  <c r="AL67" i="22"/>
  <c r="AD67" i="22"/>
  <c r="AE67" i="22" s="1"/>
  <c r="AF67" i="22" s="1"/>
  <c r="AG67" i="22" s="1"/>
  <c r="AH67" i="22" s="1"/>
  <c r="AI67" i="22" s="1"/>
  <c r="AJ67" i="22" s="1"/>
  <c r="AA67" i="22"/>
  <c r="AB67" i="22" s="1"/>
  <c r="Y67" i="22"/>
  <c r="Z67" i="22" s="1"/>
  <c r="W67" i="22"/>
  <c r="X67" i="22" s="1"/>
  <c r="V67" i="22"/>
  <c r="N67" i="22"/>
  <c r="O67" i="22" s="1"/>
  <c r="P67" i="22" s="1"/>
  <c r="Q67" i="22" s="1"/>
  <c r="R67" i="22" s="1"/>
  <c r="S67" i="22" s="1"/>
  <c r="T67" i="22" s="1"/>
  <c r="F67" i="22"/>
  <c r="G67" i="22" s="1"/>
  <c r="H67" i="22" s="1"/>
  <c r="I67" i="22" s="1"/>
  <c r="J67" i="22" s="1"/>
  <c r="K67" i="22" s="1"/>
  <c r="L67" i="22" s="1"/>
  <c r="AN66" i="22"/>
  <c r="AO66" i="22" s="1"/>
  <c r="AP66" i="22" s="1"/>
  <c r="AQ66" i="22" s="1"/>
  <c r="AR66" i="22" s="1"/>
  <c r="AL66" i="22"/>
  <c r="AM66" i="22" s="1"/>
  <c r="AD66" i="22"/>
  <c r="AE66" i="22" s="1"/>
  <c r="AF66" i="22" s="1"/>
  <c r="AG66" i="22" s="1"/>
  <c r="AH66" i="22" s="1"/>
  <c r="AI66" i="22" s="1"/>
  <c r="AJ66" i="22" s="1"/>
  <c r="AA66" i="22"/>
  <c r="AB66" i="22" s="1"/>
  <c r="Y66" i="22"/>
  <c r="Z66" i="22" s="1"/>
  <c r="X66" i="22"/>
  <c r="W66" i="22"/>
  <c r="V66" i="22"/>
  <c r="O66" i="22"/>
  <c r="P66" i="22" s="1"/>
  <c r="Q66" i="22" s="1"/>
  <c r="R66" i="22" s="1"/>
  <c r="S66" i="22" s="1"/>
  <c r="T66" i="22" s="1"/>
  <c r="N66" i="22"/>
  <c r="J66" i="22"/>
  <c r="K66" i="22" s="1"/>
  <c r="L66" i="22" s="1"/>
  <c r="I66" i="22"/>
  <c r="G66" i="22"/>
  <c r="H66" i="22" s="1"/>
  <c r="F66" i="22"/>
  <c r="AR65" i="22"/>
  <c r="AQ65" i="22"/>
  <c r="AM65" i="22"/>
  <c r="AN65" i="22" s="1"/>
  <c r="AO65" i="22" s="1"/>
  <c r="AP65" i="22" s="1"/>
  <c r="AL65" i="22"/>
  <c r="AD65" i="22"/>
  <c r="AE65" i="22" s="1"/>
  <c r="AF65" i="22" s="1"/>
  <c r="AG65" i="22" s="1"/>
  <c r="AH65" i="22" s="1"/>
  <c r="AI65" i="22" s="1"/>
  <c r="AJ65" i="22" s="1"/>
  <c r="V65" i="22"/>
  <c r="W65" i="22" s="1"/>
  <c r="X65" i="22" s="1"/>
  <c r="Y65" i="22" s="1"/>
  <c r="Z65" i="22" s="1"/>
  <c r="AA65" i="22" s="1"/>
  <c r="AB65" i="22" s="1"/>
  <c r="O65" i="22"/>
  <c r="P65" i="22" s="1"/>
  <c r="Q65" i="22" s="1"/>
  <c r="R65" i="22" s="1"/>
  <c r="S65" i="22" s="1"/>
  <c r="T65" i="22" s="1"/>
  <c r="N65" i="22"/>
  <c r="H65" i="22"/>
  <c r="G65" i="22"/>
  <c r="F65" i="22"/>
  <c r="AL64" i="22"/>
  <c r="AM64" i="22" s="1"/>
  <c r="AN64" i="22" s="1"/>
  <c r="AO64" i="22" s="1"/>
  <c r="AP64" i="22" s="1"/>
  <c r="AQ64" i="22" s="1"/>
  <c r="AR64" i="22" s="1"/>
  <c r="AE64" i="22"/>
  <c r="AF64" i="22" s="1"/>
  <c r="AG64" i="22" s="1"/>
  <c r="AH64" i="22" s="1"/>
  <c r="AI64" i="22" s="1"/>
  <c r="AJ64" i="22" s="1"/>
  <c r="AD64" i="22"/>
  <c r="Z64" i="22"/>
  <c r="AA64" i="22" s="1"/>
  <c r="AB64" i="22" s="1"/>
  <c r="Y64" i="22"/>
  <c r="W64" i="22"/>
  <c r="X64" i="22" s="1"/>
  <c r="V64" i="22"/>
  <c r="N64" i="22"/>
  <c r="O64" i="22" s="1"/>
  <c r="P64" i="22" s="1"/>
  <c r="Q64" i="22" s="1"/>
  <c r="R64" i="22" s="1"/>
  <c r="S64" i="22" s="1"/>
  <c r="T64" i="22" s="1"/>
  <c r="J64" i="22"/>
  <c r="K64" i="22" s="1"/>
  <c r="L64" i="22" s="1"/>
  <c r="I64" i="22"/>
  <c r="F64" i="22"/>
  <c r="G64" i="22" s="1"/>
  <c r="H64" i="22" s="1"/>
  <c r="AL63" i="22"/>
  <c r="AM63" i="22" s="1"/>
  <c r="AN63" i="22" s="1"/>
  <c r="AO63" i="22" s="1"/>
  <c r="AP63" i="22" s="1"/>
  <c r="AQ63" i="22" s="1"/>
  <c r="AR63" i="22" s="1"/>
  <c r="AD63" i="22"/>
  <c r="AE63" i="22" s="1"/>
  <c r="AF63" i="22" s="1"/>
  <c r="AG63" i="22" s="1"/>
  <c r="AH63" i="22" s="1"/>
  <c r="AI63" i="22" s="1"/>
  <c r="AJ63" i="22" s="1"/>
  <c r="AB63" i="22"/>
  <c r="Y63" i="22"/>
  <c r="Z63" i="22" s="1"/>
  <c r="AA63" i="22" s="1"/>
  <c r="X63" i="22"/>
  <c r="W63" i="22"/>
  <c r="V63" i="22"/>
  <c r="O63" i="22"/>
  <c r="P63" i="22" s="1"/>
  <c r="Q63" i="22" s="1"/>
  <c r="R63" i="22" s="1"/>
  <c r="S63" i="22" s="1"/>
  <c r="T63" i="22" s="1"/>
  <c r="N63" i="22"/>
  <c r="G63" i="22"/>
  <c r="H63" i="22" s="1"/>
  <c r="I63" i="22" s="1"/>
  <c r="J63" i="22" s="1"/>
  <c r="K63" i="22" s="1"/>
  <c r="L63" i="22" s="1"/>
  <c r="F63" i="22"/>
  <c r="AM62" i="22"/>
  <c r="AN62" i="22" s="1"/>
  <c r="AO62" i="22" s="1"/>
  <c r="AP62" i="22" s="1"/>
  <c r="AQ62" i="22" s="1"/>
  <c r="AR62" i="22" s="1"/>
  <c r="AL62" i="22"/>
  <c r="AE62" i="22"/>
  <c r="AF62" i="22" s="1"/>
  <c r="AG62" i="22" s="1"/>
  <c r="AH62" i="22" s="1"/>
  <c r="AI62" i="22" s="1"/>
  <c r="AJ62" i="22" s="1"/>
  <c r="AD62" i="22"/>
  <c r="V62" i="22"/>
  <c r="W62" i="22" s="1"/>
  <c r="X62" i="22" s="1"/>
  <c r="Y62" i="22" s="1"/>
  <c r="Z62" i="22" s="1"/>
  <c r="AA62" i="22" s="1"/>
  <c r="AB62" i="22" s="1"/>
  <c r="T62" i="22"/>
  <c r="Q62" i="22"/>
  <c r="R62" i="22" s="1"/>
  <c r="S62" i="22" s="1"/>
  <c r="P62" i="22"/>
  <c r="O62" i="22"/>
  <c r="N62" i="22"/>
  <c r="F62" i="22"/>
  <c r="G62" i="22" s="1"/>
  <c r="H62" i="22" s="1"/>
  <c r="I62" i="22" s="1"/>
  <c r="J62" i="22" s="1"/>
  <c r="K62" i="22" s="1"/>
  <c r="L62" i="22" s="1"/>
  <c r="AR61" i="22"/>
  <c r="AO61" i="22"/>
  <c r="AP61" i="22" s="1"/>
  <c r="AQ61" i="22" s="1"/>
  <c r="AN61" i="22"/>
  <c r="AM61" i="22"/>
  <c r="AL61" i="22"/>
  <c r="AJ61" i="22"/>
  <c r="AE61" i="22"/>
  <c r="AF61" i="22" s="1"/>
  <c r="AG61" i="22" s="1"/>
  <c r="AH61" i="22" s="1"/>
  <c r="AI61" i="22" s="1"/>
  <c r="AD61" i="22"/>
  <c r="W61" i="22"/>
  <c r="X61" i="22" s="1"/>
  <c r="Y61" i="22" s="1"/>
  <c r="Z61" i="22" s="1"/>
  <c r="AA61" i="22" s="1"/>
  <c r="AB61" i="22" s="1"/>
  <c r="V61" i="22"/>
  <c r="N61" i="22"/>
  <c r="O61" i="22" s="1"/>
  <c r="P61" i="22" s="1"/>
  <c r="Q61" i="22" s="1"/>
  <c r="R61" i="22" s="1"/>
  <c r="S61" i="22" s="1"/>
  <c r="T61" i="22" s="1"/>
  <c r="L61" i="22"/>
  <c r="I61" i="22"/>
  <c r="J61" i="22" s="1"/>
  <c r="K61" i="22" s="1"/>
  <c r="H61" i="22"/>
  <c r="G61" i="22"/>
  <c r="F61" i="22"/>
  <c r="AP60" i="22"/>
  <c r="AQ60" i="22" s="1"/>
  <c r="AR60" i="22" s="1"/>
  <c r="AL60" i="22"/>
  <c r="AM60" i="22" s="1"/>
  <c r="AN60" i="22" s="1"/>
  <c r="AO60" i="22" s="1"/>
  <c r="AF60" i="22"/>
  <c r="AG60" i="22" s="1"/>
  <c r="AH60" i="22" s="1"/>
  <c r="AI60" i="22" s="1"/>
  <c r="AJ60" i="22" s="1"/>
  <c r="AE60" i="22"/>
  <c r="AD60" i="22"/>
  <c r="AA60" i="22"/>
  <c r="AB60" i="22" s="1"/>
  <c r="X60" i="22"/>
  <c r="Y60" i="22" s="1"/>
  <c r="Z60" i="22" s="1"/>
  <c r="W60" i="22"/>
  <c r="V60" i="22"/>
  <c r="S60" i="22"/>
  <c r="T60" i="22" s="1"/>
  <c r="N60" i="22"/>
  <c r="O60" i="22" s="1"/>
  <c r="P60" i="22" s="1"/>
  <c r="Q60" i="22" s="1"/>
  <c r="R60" i="22" s="1"/>
  <c r="F60" i="22"/>
  <c r="AL59" i="22"/>
  <c r="AM59" i="22" s="1"/>
  <c r="AN59" i="22" s="1"/>
  <c r="AO59" i="22" s="1"/>
  <c r="AP59" i="22" s="1"/>
  <c r="AQ59" i="22" s="1"/>
  <c r="AR59" i="22" s="1"/>
  <c r="AD59" i="22"/>
  <c r="AE59" i="22" s="1"/>
  <c r="AF59" i="22" s="1"/>
  <c r="AG59" i="22" s="1"/>
  <c r="AH59" i="22" s="1"/>
  <c r="AI59" i="22" s="1"/>
  <c r="AJ59" i="22" s="1"/>
  <c r="AB59" i="22"/>
  <c r="Y59" i="22"/>
  <c r="Z59" i="22" s="1"/>
  <c r="AA59" i="22" s="1"/>
  <c r="X59" i="22"/>
  <c r="W59" i="22"/>
  <c r="V59" i="22"/>
  <c r="O59" i="22"/>
  <c r="P59" i="22" s="1"/>
  <c r="Q59" i="22" s="1"/>
  <c r="R59" i="22" s="1"/>
  <c r="S59" i="22" s="1"/>
  <c r="T59" i="22" s="1"/>
  <c r="N59" i="22"/>
  <c r="F59" i="22"/>
  <c r="AN58" i="22"/>
  <c r="AO58" i="22" s="1"/>
  <c r="AP58" i="22" s="1"/>
  <c r="AQ58" i="22" s="1"/>
  <c r="AR58" i="22" s="1"/>
  <c r="AM58" i="22"/>
  <c r="AL58" i="22"/>
  <c r="AG58" i="22"/>
  <c r="AH58" i="22" s="1"/>
  <c r="AI58" i="22" s="1"/>
  <c r="AJ58" i="22" s="1"/>
  <c r="AE58" i="22"/>
  <c r="AF58" i="22" s="1"/>
  <c r="AD58" i="22"/>
  <c r="Y58" i="22"/>
  <c r="Z58" i="22" s="1"/>
  <c r="AA58" i="22" s="1"/>
  <c r="AB58" i="22" s="1"/>
  <c r="V58" i="22"/>
  <c r="W58" i="22" s="1"/>
  <c r="X58" i="22" s="1"/>
  <c r="S58" i="22"/>
  <c r="T58" i="22" s="1"/>
  <c r="P58" i="22"/>
  <c r="Q58" i="22" s="1"/>
  <c r="R58" i="22" s="1"/>
  <c r="O58" i="22"/>
  <c r="N58" i="22"/>
  <c r="F58" i="22"/>
  <c r="AO57" i="22"/>
  <c r="AP57" i="22" s="1"/>
  <c r="AQ57" i="22" s="1"/>
  <c r="AR57" i="22" s="1"/>
  <c r="AM57" i="22"/>
  <c r="AN57" i="22" s="1"/>
  <c r="AL57" i="22"/>
  <c r="AH57" i="22"/>
  <c r="AI57" i="22" s="1"/>
  <c r="AJ57" i="22" s="1"/>
  <c r="AF57" i="22"/>
  <c r="AG57" i="22" s="1"/>
  <c r="AE57" i="22"/>
  <c r="AD57" i="22"/>
  <c r="AA57" i="22"/>
  <c r="AB57" i="22" s="1"/>
  <c r="Z57" i="22"/>
  <c r="V57" i="22"/>
  <c r="W57" i="22" s="1"/>
  <c r="X57" i="22" s="1"/>
  <c r="Y57" i="22" s="1"/>
  <c r="R57" i="22"/>
  <c r="S57" i="22" s="1"/>
  <c r="T57" i="22" s="1"/>
  <c r="N57" i="22"/>
  <c r="O57" i="22" s="1"/>
  <c r="P57" i="22" s="1"/>
  <c r="Q57" i="22" s="1"/>
  <c r="F57" i="22"/>
  <c r="G57" i="22" s="1"/>
  <c r="H57" i="22" s="1"/>
  <c r="AP56" i="22"/>
  <c r="AQ56" i="22" s="1"/>
  <c r="AR56" i="22" s="1"/>
  <c r="AL56" i="22"/>
  <c r="AM56" i="22" s="1"/>
  <c r="AN56" i="22" s="1"/>
  <c r="AO56" i="22" s="1"/>
  <c r="AE56" i="22"/>
  <c r="AF56" i="22" s="1"/>
  <c r="AG56" i="22" s="1"/>
  <c r="AH56" i="22" s="1"/>
  <c r="AI56" i="22" s="1"/>
  <c r="AJ56" i="22" s="1"/>
  <c r="AD56" i="22"/>
  <c r="AA56" i="22"/>
  <c r="AB56" i="22" s="1"/>
  <c r="V56" i="22"/>
  <c r="W56" i="22" s="1"/>
  <c r="X56" i="22" s="1"/>
  <c r="Y56" i="22" s="1"/>
  <c r="Z56" i="22" s="1"/>
  <c r="S56" i="22"/>
  <c r="T56" i="22" s="1"/>
  <c r="N56" i="22"/>
  <c r="O56" i="22" s="1"/>
  <c r="P56" i="22" s="1"/>
  <c r="Q56" i="22" s="1"/>
  <c r="R56" i="22" s="1"/>
  <c r="F56" i="22"/>
  <c r="AO55" i="22"/>
  <c r="AP55" i="22" s="1"/>
  <c r="AQ55" i="22" s="1"/>
  <c r="AR55" i="22" s="1"/>
  <c r="AM55" i="22"/>
  <c r="AN55" i="22" s="1"/>
  <c r="AL55" i="22"/>
  <c r="AG55" i="22"/>
  <c r="AH55" i="22" s="1"/>
  <c r="AI55" i="22" s="1"/>
  <c r="AJ55" i="22" s="1"/>
  <c r="AD55" i="22"/>
  <c r="AE55" i="22" s="1"/>
  <c r="AF55" i="22" s="1"/>
  <c r="V55" i="22"/>
  <c r="W55" i="22" s="1"/>
  <c r="X55" i="22" s="1"/>
  <c r="Y55" i="22" s="1"/>
  <c r="Z55" i="22" s="1"/>
  <c r="AA55" i="22" s="1"/>
  <c r="AB55" i="22" s="1"/>
  <c r="N55" i="22"/>
  <c r="O55" i="22" s="1"/>
  <c r="P55" i="22" s="1"/>
  <c r="Q55" i="22" s="1"/>
  <c r="R55" i="22" s="1"/>
  <c r="S55" i="22" s="1"/>
  <c r="T55" i="22" s="1"/>
  <c r="F55" i="22"/>
  <c r="AN54" i="22"/>
  <c r="AO54" i="22" s="1"/>
  <c r="AP54" i="22" s="1"/>
  <c r="AQ54" i="22" s="1"/>
  <c r="AR54" i="22" s="1"/>
  <c r="AM54" i="22"/>
  <c r="AL54" i="22"/>
  <c r="AG54" i="22"/>
  <c r="AH54" i="22" s="1"/>
  <c r="AI54" i="22" s="1"/>
  <c r="AJ54" i="22" s="1"/>
  <c r="AD54" i="22"/>
  <c r="AE54" i="22" s="1"/>
  <c r="AF54" i="22" s="1"/>
  <c r="Z54" i="22"/>
  <c r="AA54" i="22" s="1"/>
  <c r="AB54" i="22" s="1"/>
  <c r="X54" i="22"/>
  <c r="Y54" i="22" s="1"/>
  <c r="V54" i="22"/>
  <c r="W54" i="22" s="1"/>
  <c r="Q54" i="22"/>
  <c r="R54" i="22" s="1"/>
  <c r="S54" i="22" s="1"/>
  <c r="T54" i="22" s="1"/>
  <c r="P54" i="22"/>
  <c r="O54" i="22"/>
  <c r="N54" i="22"/>
  <c r="F54" i="22"/>
  <c r="AQ53" i="22"/>
  <c r="AR53" i="22" s="1"/>
  <c r="AN53" i="22"/>
  <c r="AO53" i="22" s="1"/>
  <c r="AP53" i="22" s="1"/>
  <c r="AM53" i="22"/>
  <c r="AL53" i="22"/>
  <c r="AI53" i="22"/>
  <c r="AJ53" i="22" s="1"/>
  <c r="AH53" i="22"/>
  <c r="AF53" i="22"/>
  <c r="AG53" i="22" s="1"/>
  <c r="AD53" i="22"/>
  <c r="AE53" i="22" s="1"/>
  <c r="AA53" i="22"/>
  <c r="AB53" i="22" s="1"/>
  <c r="Z53" i="22"/>
  <c r="W53" i="22"/>
  <c r="X53" i="22" s="1"/>
  <c r="Y53" i="22" s="1"/>
  <c r="V53" i="22"/>
  <c r="T53" i="22"/>
  <c r="Q53" i="22"/>
  <c r="R53" i="22" s="1"/>
  <c r="S53" i="22" s="1"/>
  <c r="P53" i="22"/>
  <c r="N53" i="22"/>
  <c r="O53" i="22" s="1"/>
  <c r="K53" i="22"/>
  <c r="L53" i="22" s="1"/>
  <c r="I53" i="22"/>
  <c r="J53" i="22" s="1"/>
  <c r="H53" i="22"/>
  <c r="G53" i="22"/>
  <c r="F53" i="22"/>
  <c r="AL52" i="22"/>
  <c r="AM52" i="22" s="1"/>
  <c r="AN52" i="22" s="1"/>
  <c r="AO52" i="22" s="1"/>
  <c r="AP52" i="22" s="1"/>
  <c r="AQ52" i="22" s="1"/>
  <c r="AR52" i="22" s="1"/>
  <c r="AH52" i="22"/>
  <c r="AI52" i="22" s="1"/>
  <c r="AJ52" i="22" s="1"/>
  <c r="AG52" i="22"/>
  <c r="AF52" i="22"/>
  <c r="AD52" i="22"/>
  <c r="AE52" i="22" s="1"/>
  <c r="W52" i="22"/>
  <c r="X52" i="22" s="1"/>
  <c r="Y52" i="22" s="1"/>
  <c r="Z52" i="22" s="1"/>
  <c r="AA52" i="22" s="1"/>
  <c r="AB52" i="22" s="1"/>
  <c r="V52" i="22"/>
  <c r="P52" i="22"/>
  <c r="Q52" i="22" s="1"/>
  <c r="R52" i="22" s="1"/>
  <c r="S52" i="22" s="1"/>
  <c r="T52" i="22" s="1"/>
  <c r="O52" i="22"/>
  <c r="N52" i="22"/>
  <c r="F52" i="22"/>
  <c r="AN51" i="22"/>
  <c r="AO51" i="22" s="1"/>
  <c r="AP51" i="22" s="1"/>
  <c r="AQ51" i="22" s="1"/>
  <c r="AR51" i="22" s="1"/>
  <c r="AM51" i="22"/>
  <c r="AL51" i="22"/>
  <c r="AG51" i="22"/>
  <c r="AH51" i="22" s="1"/>
  <c r="AI51" i="22" s="1"/>
  <c r="AJ51" i="22" s="1"/>
  <c r="AE51" i="22"/>
  <c r="AF51" i="22" s="1"/>
  <c r="AD51" i="22"/>
  <c r="Z51" i="22"/>
  <c r="AA51" i="22" s="1"/>
  <c r="AB51" i="22" s="1"/>
  <c r="Y51" i="22"/>
  <c r="V51" i="22"/>
  <c r="W51" i="22" s="1"/>
  <c r="X51" i="22" s="1"/>
  <c r="S51" i="22"/>
  <c r="T51" i="22" s="1"/>
  <c r="P51" i="22"/>
  <c r="Q51" i="22" s="1"/>
  <c r="R51" i="22" s="1"/>
  <c r="O51" i="22"/>
  <c r="N51" i="22"/>
  <c r="K51" i="22"/>
  <c r="L51" i="22" s="1"/>
  <c r="J51" i="22"/>
  <c r="H51" i="22"/>
  <c r="I51" i="22" s="1"/>
  <c r="F51" i="22"/>
  <c r="G51" i="22" s="1"/>
  <c r="AO50" i="22"/>
  <c r="AP50" i="22" s="1"/>
  <c r="AQ50" i="22" s="1"/>
  <c r="AR50" i="22" s="1"/>
  <c r="AM50" i="22"/>
  <c r="AN50" i="22" s="1"/>
  <c r="AL50" i="22"/>
  <c r="AH50" i="22"/>
  <c r="AI50" i="22" s="1"/>
  <c r="AJ50" i="22" s="1"/>
  <c r="AF50" i="22"/>
  <c r="AG50" i="22" s="1"/>
  <c r="AE50" i="22"/>
  <c r="AD50" i="22"/>
  <c r="AA50" i="22"/>
  <c r="AB50" i="22" s="1"/>
  <c r="Z50" i="22"/>
  <c r="Y50" i="22"/>
  <c r="V50" i="22"/>
  <c r="W50" i="22" s="1"/>
  <c r="X50" i="22" s="1"/>
  <c r="T50" i="22"/>
  <c r="R50" i="22"/>
  <c r="S50" i="22" s="1"/>
  <c r="P50" i="22"/>
  <c r="Q50" i="22" s="1"/>
  <c r="N50" i="22"/>
  <c r="O50" i="22" s="1"/>
  <c r="L50" i="22"/>
  <c r="I50" i="22"/>
  <c r="J50" i="22" s="1"/>
  <c r="K50" i="22" s="1"/>
  <c r="H50" i="22"/>
  <c r="G50" i="22"/>
  <c r="F50" i="22"/>
  <c r="AR49" i="22"/>
  <c r="AP49" i="22"/>
  <c r="AQ49" i="22" s="1"/>
  <c r="AO49" i="22"/>
  <c r="AL49" i="22"/>
  <c r="AM49" i="22" s="1"/>
  <c r="AN49" i="22" s="1"/>
  <c r="AJ49" i="22"/>
  <c r="AI49" i="22"/>
  <c r="AF49" i="22"/>
  <c r="AG49" i="22" s="1"/>
  <c r="AH49" i="22" s="1"/>
  <c r="AE49" i="22"/>
  <c r="AD49" i="22"/>
  <c r="V49" i="22"/>
  <c r="W49" i="22" s="1"/>
  <c r="X49" i="22" s="1"/>
  <c r="Y49" i="22" s="1"/>
  <c r="Z49" i="22" s="1"/>
  <c r="AA49" i="22" s="1"/>
  <c r="AB49" i="22" s="1"/>
  <c r="N49" i="22"/>
  <c r="O49" i="22" s="1"/>
  <c r="P49" i="22" s="1"/>
  <c r="Q49" i="22" s="1"/>
  <c r="R49" i="22" s="1"/>
  <c r="S49" i="22" s="1"/>
  <c r="T49" i="22" s="1"/>
  <c r="F49" i="22"/>
  <c r="AO48" i="22"/>
  <c r="AP48" i="22" s="1"/>
  <c r="AQ48" i="22" s="1"/>
  <c r="AR48" i="22" s="1"/>
  <c r="AM48" i="22"/>
  <c r="AN48" i="22" s="1"/>
  <c r="AL48" i="22"/>
  <c r="AH48" i="22"/>
  <c r="AI48" i="22" s="1"/>
  <c r="AJ48" i="22" s="1"/>
  <c r="AG48" i="22"/>
  <c r="AD48" i="22"/>
  <c r="AE48" i="22" s="1"/>
  <c r="AF48" i="22" s="1"/>
  <c r="AA48" i="22"/>
  <c r="AB48" i="22" s="1"/>
  <c r="X48" i="22"/>
  <c r="Y48" i="22" s="1"/>
  <c r="Z48" i="22" s="1"/>
  <c r="W48" i="22"/>
  <c r="V48" i="22"/>
  <c r="S48" i="22"/>
  <c r="T48" i="22" s="1"/>
  <c r="R48" i="22"/>
  <c r="P48" i="22"/>
  <c r="Q48" i="22" s="1"/>
  <c r="N48" i="22"/>
  <c r="O48" i="22" s="1"/>
  <c r="K48" i="22"/>
  <c r="L48" i="22" s="1"/>
  <c r="J48" i="22"/>
  <c r="G48" i="22"/>
  <c r="H48" i="22" s="1"/>
  <c r="I48" i="22" s="1"/>
  <c r="F48" i="22"/>
  <c r="AN47" i="22"/>
  <c r="AO47" i="22" s="1"/>
  <c r="AP47" i="22" s="1"/>
  <c r="AQ47" i="22" s="1"/>
  <c r="AR47" i="22" s="1"/>
  <c r="AM47" i="22"/>
  <c r="AL47" i="22"/>
  <c r="AH47" i="22"/>
  <c r="AI47" i="22" s="1"/>
  <c r="AJ47" i="22" s="1"/>
  <c r="AG47" i="22"/>
  <c r="AD47" i="22"/>
  <c r="AE47" i="22" s="1"/>
  <c r="AF47" i="22" s="1"/>
  <c r="Z47" i="22"/>
  <c r="AA47" i="22" s="1"/>
  <c r="AB47" i="22" s="1"/>
  <c r="X47" i="22"/>
  <c r="Y47" i="22" s="1"/>
  <c r="V47" i="22"/>
  <c r="W47" i="22" s="1"/>
  <c r="Q47" i="22"/>
  <c r="R47" i="22" s="1"/>
  <c r="S47" i="22" s="1"/>
  <c r="T47" i="22" s="1"/>
  <c r="P47" i="22"/>
  <c r="O47" i="22"/>
  <c r="N47" i="22"/>
  <c r="F47" i="22"/>
  <c r="AN46" i="22"/>
  <c r="AO46" i="22" s="1"/>
  <c r="AP46" i="22" s="1"/>
  <c r="AQ46" i="22" s="1"/>
  <c r="AR46" i="22" s="1"/>
  <c r="AM46" i="22"/>
  <c r="AL46" i="22"/>
  <c r="AH46" i="22"/>
  <c r="AI46" i="22" s="1"/>
  <c r="AJ46" i="22" s="1"/>
  <c r="AF46" i="22"/>
  <c r="AG46" i="22" s="1"/>
  <c r="AD46" i="22"/>
  <c r="AE46" i="22" s="1"/>
  <c r="Z46" i="22"/>
  <c r="AA46" i="22" s="1"/>
  <c r="AB46" i="22" s="1"/>
  <c r="W46" i="22"/>
  <c r="X46" i="22" s="1"/>
  <c r="Y46" i="22" s="1"/>
  <c r="V46" i="22"/>
  <c r="R46" i="22"/>
  <c r="S46" i="22" s="1"/>
  <c r="T46" i="22" s="1"/>
  <c r="Q46" i="22"/>
  <c r="P46" i="22"/>
  <c r="N46" i="22"/>
  <c r="O46" i="22" s="1"/>
  <c r="G46" i="22"/>
  <c r="F46" i="22"/>
  <c r="AO45" i="22"/>
  <c r="AP45" i="22" s="1"/>
  <c r="AQ45" i="22" s="1"/>
  <c r="AR45" i="22" s="1"/>
  <c r="AN45" i="22"/>
  <c r="AL45" i="22"/>
  <c r="AM45" i="22" s="1"/>
  <c r="AI45" i="22"/>
  <c r="AJ45" i="22" s="1"/>
  <c r="AG45" i="22"/>
  <c r="AH45" i="22" s="1"/>
  <c r="AF45" i="22"/>
  <c r="AE45" i="22"/>
  <c r="AD45" i="22"/>
  <c r="X45" i="22"/>
  <c r="Y45" i="22" s="1"/>
  <c r="Z45" i="22" s="1"/>
  <c r="AA45" i="22" s="1"/>
  <c r="AB45" i="22" s="1"/>
  <c r="W45" i="22"/>
  <c r="V45" i="22"/>
  <c r="R45" i="22"/>
  <c r="S45" i="22" s="1"/>
  <c r="T45" i="22" s="1"/>
  <c r="Q45" i="22"/>
  <c r="O45" i="22"/>
  <c r="P45" i="22" s="1"/>
  <c r="N45" i="22"/>
  <c r="L45" i="22"/>
  <c r="F45" i="22"/>
  <c r="G45" i="22" s="1"/>
  <c r="H45" i="22" s="1"/>
  <c r="I45" i="22" s="1"/>
  <c r="J45" i="22" s="1"/>
  <c r="K45" i="22" s="1"/>
  <c r="AM44" i="22"/>
  <c r="AN44" i="22" s="1"/>
  <c r="AO44" i="22" s="1"/>
  <c r="AP44" i="22" s="1"/>
  <c r="AQ44" i="22" s="1"/>
  <c r="AR44" i="22" s="1"/>
  <c r="AL44" i="22"/>
  <c r="AG44" i="22"/>
  <c r="AH44" i="22" s="1"/>
  <c r="AI44" i="22" s="1"/>
  <c r="AJ44" i="22" s="1"/>
  <c r="AF44" i="22"/>
  <c r="AD44" i="22"/>
  <c r="AE44" i="22" s="1"/>
  <c r="AA44" i="22"/>
  <c r="AB44" i="22" s="1"/>
  <c r="Y44" i="22"/>
  <c r="Z44" i="22" s="1"/>
  <c r="X44" i="22"/>
  <c r="W44" i="22"/>
  <c r="V44" i="22"/>
  <c r="O44" i="22"/>
  <c r="P44" i="22" s="1"/>
  <c r="Q44" i="22" s="1"/>
  <c r="R44" i="22" s="1"/>
  <c r="S44" i="22" s="1"/>
  <c r="T44" i="22" s="1"/>
  <c r="N44" i="22"/>
  <c r="J44" i="22"/>
  <c r="K44" i="22" s="1"/>
  <c r="L44" i="22" s="1"/>
  <c r="I44" i="22"/>
  <c r="G44" i="22"/>
  <c r="H44" i="22" s="1"/>
  <c r="F44" i="22"/>
  <c r="AL43" i="22"/>
  <c r="AM43" i="22" s="1"/>
  <c r="AN43" i="22" s="1"/>
  <c r="AO43" i="22" s="1"/>
  <c r="AP43" i="22" s="1"/>
  <c r="AQ43" i="22" s="1"/>
  <c r="AR43" i="22" s="1"/>
  <c r="AE43" i="22"/>
  <c r="AF43" i="22" s="1"/>
  <c r="AG43" i="22" s="1"/>
  <c r="AH43" i="22" s="1"/>
  <c r="AI43" i="22" s="1"/>
  <c r="AJ43" i="22" s="1"/>
  <c r="AD43" i="22"/>
  <c r="Y43" i="22"/>
  <c r="Z43" i="22" s="1"/>
  <c r="AA43" i="22" s="1"/>
  <c r="AB43" i="22" s="1"/>
  <c r="X43" i="22"/>
  <c r="V43" i="22"/>
  <c r="W43" i="22" s="1"/>
  <c r="O43" i="22"/>
  <c r="P43" i="22" s="1"/>
  <c r="Q43" i="22" s="1"/>
  <c r="R43" i="22" s="1"/>
  <c r="S43" i="22" s="1"/>
  <c r="T43" i="22" s="1"/>
  <c r="N43" i="22"/>
  <c r="H43" i="22"/>
  <c r="I43" i="22" s="1"/>
  <c r="J43" i="22" s="1"/>
  <c r="K43" i="22" s="1"/>
  <c r="L43" i="22" s="1"/>
  <c r="G43" i="22"/>
  <c r="F43" i="22"/>
  <c r="AO42" i="22"/>
  <c r="AP42" i="22" s="1"/>
  <c r="AQ42" i="22" s="1"/>
  <c r="AR42" i="22" s="1"/>
  <c r="AN42" i="22"/>
  <c r="AM42" i="22"/>
  <c r="AL42" i="22"/>
  <c r="AJ42" i="22"/>
  <c r="AF42" i="22"/>
  <c r="AG42" i="22" s="1"/>
  <c r="AH42" i="22" s="1"/>
  <c r="AI42" i="22" s="1"/>
  <c r="AE42" i="22"/>
  <c r="AD42" i="22"/>
  <c r="V42" i="22"/>
  <c r="W42" i="22" s="1"/>
  <c r="X42" i="22" s="1"/>
  <c r="Y42" i="22" s="1"/>
  <c r="Z42" i="22" s="1"/>
  <c r="AA42" i="22" s="1"/>
  <c r="AB42" i="22" s="1"/>
  <c r="T42" i="22"/>
  <c r="R42" i="22"/>
  <c r="S42" i="22" s="1"/>
  <c r="N42" i="22"/>
  <c r="O42" i="22" s="1"/>
  <c r="P42" i="22" s="1"/>
  <c r="Q42" i="22" s="1"/>
  <c r="H42" i="22"/>
  <c r="I42" i="22" s="1"/>
  <c r="J42" i="22" s="1"/>
  <c r="K42" i="22" s="1"/>
  <c r="L42" i="22" s="1"/>
  <c r="G42" i="22"/>
  <c r="F42" i="22"/>
  <c r="AN41" i="22"/>
  <c r="AO41" i="22" s="1"/>
  <c r="AP41" i="22" s="1"/>
  <c r="AQ41" i="22" s="1"/>
  <c r="AR41" i="22" s="1"/>
  <c r="AL41" i="22"/>
  <c r="AM41" i="22" s="1"/>
  <c r="AJ41" i="22"/>
  <c r="AI41" i="22"/>
  <c r="AE41" i="22"/>
  <c r="AF41" i="22" s="1"/>
  <c r="AG41" i="22" s="1"/>
  <c r="AH41" i="22" s="1"/>
  <c r="AD41" i="22"/>
  <c r="Z41" i="22"/>
  <c r="AA41" i="22" s="1"/>
  <c r="AB41" i="22" s="1"/>
  <c r="X41" i="22"/>
  <c r="Y41" i="22" s="1"/>
  <c r="W41" i="22"/>
  <c r="V41" i="22"/>
  <c r="S41" i="22"/>
  <c r="T41" i="22" s="1"/>
  <c r="R41" i="22"/>
  <c r="N41" i="22"/>
  <c r="O41" i="22" s="1"/>
  <c r="P41" i="22" s="1"/>
  <c r="Q41" i="22" s="1"/>
  <c r="H41" i="22"/>
  <c r="I41" i="22" s="1"/>
  <c r="J41" i="22" s="1"/>
  <c r="K41" i="22" s="1"/>
  <c r="L41" i="22" s="1"/>
  <c r="F41" i="22"/>
  <c r="G41" i="22" s="1"/>
  <c r="AM40" i="22"/>
  <c r="AN40" i="22" s="1"/>
  <c r="AO40" i="22" s="1"/>
  <c r="AP40" i="22" s="1"/>
  <c r="AQ40" i="22" s="1"/>
  <c r="AR40" i="22" s="1"/>
  <c r="AL40" i="22"/>
  <c r="AH40" i="22"/>
  <c r="AI40" i="22" s="1"/>
  <c r="AJ40" i="22" s="1"/>
  <c r="AG40" i="22"/>
  <c r="AF40" i="22"/>
  <c r="AD40" i="22"/>
  <c r="AE40" i="22" s="1"/>
  <c r="W40" i="22"/>
  <c r="X40" i="22" s="1"/>
  <c r="Y40" i="22" s="1"/>
  <c r="Z40" i="22" s="1"/>
  <c r="AA40" i="22" s="1"/>
  <c r="AB40" i="22" s="1"/>
  <c r="V40" i="22"/>
  <c r="N40" i="22"/>
  <c r="O40" i="22" s="1"/>
  <c r="P40" i="22" s="1"/>
  <c r="Q40" i="22" s="1"/>
  <c r="R40" i="22" s="1"/>
  <c r="S40" i="22" s="1"/>
  <c r="T40" i="22" s="1"/>
  <c r="F40" i="22"/>
  <c r="AM39" i="22"/>
  <c r="AN39" i="22" s="1"/>
  <c r="AO39" i="22" s="1"/>
  <c r="AP39" i="22" s="1"/>
  <c r="AQ39" i="22" s="1"/>
  <c r="AR39" i="22" s="1"/>
  <c r="AL39" i="22"/>
  <c r="AD39" i="22"/>
  <c r="AE39" i="22" s="1"/>
  <c r="AF39" i="22" s="1"/>
  <c r="AG39" i="22" s="1"/>
  <c r="AH39" i="22" s="1"/>
  <c r="AI39" i="22" s="1"/>
  <c r="AJ39" i="22" s="1"/>
  <c r="V39" i="22"/>
  <c r="W39" i="22" s="1"/>
  <c r="X39" i="22" s="1"/>
  <c r="Y39" i="22" s="1"/>
  <c r="Z39" i="22" s="1"/>
  <c r="AA39" i="22" s="1"/>
  <c r="AB39" i="22" s="1"/>
  <c r="O39" i="22"/>
  <c r="P39" i="22" s="1"/>
  <c r="Q39" i="22" s="1"/>
  <c r="R39" i="22" s="1"/>
  <c r="S39" i="22" s="1"/>
  <c r="T39" i="22" s="1"/>
  <c r="N39" i="22"/>
  <c r="F39" i="22"/>
  <c r="AM38" i="22"/>
  <c r="AN38" i="22" s="1"/>
  <c r="AO38" i="22" s="1"/>
  <c r="AP38" i="22" s="1"/>
  <c r="AQ38" i="22" s="1"/>
  <c r="AR38" i="22" s="1"/>
  <c r="AL38" i="22"/>
  <c r="AH38" i="22"/>
  <c r="AI38" i="22" s="1"/>
  <c r="AJ38" i="22" s="1"/>
  <c r="AF38" i="22"/>
  <c r="AG38" i="22" s="1"/>
  <c r="AE38" i="22"/>
  <c r="AD38" i="22"/>
  <c r="V38" i="22"/>
  <c r="W38" i="22" s="1"/>
  <c r="X38" i="22" s="1"/>
  <c r="Y38" i="22" s="1"/>
  <c r="Z38" i="22" s="1"/>
  <c r="AA38" i="22" s="1"/>
  <c r="AB38" i="22" s="1"/>
  <c r="T38" i="22"/>
  <c r="P38" i="22"/>
  <c r="Q38" i="22" s="1"/>
  <c r="R38" i="22" s="1"/>
  <c r="S38" i="22" s="1"/>
  <c r="N38" i="22"/>
  <c r="O38" i="22" s="1"/>
  <c r="H38" i="22"/>
  <c r="I38" i="22" s="1"/>
  <c r="J38" i="22" s="1"/>
  <c r="K38" i="22" s="1"/>
  <c r="L38" i="22" s="1"/>
  <c r="G38" i="22"/>
  <c r="F38" i="22"/>
  <c r="AL37" i="22"/>
  <c r="AM37" i="22" s="1"/>
  <c r="AN37" i="22" s="1"/>
  <c r="AO37" i="22" s="1"/>
  <c r="AP37" i="22" s="1"/>
  <c r="AQ37" i="22" s="1"/>
  <c r="AR37" i="22" s="1"/>
  <c r="AJ37" i="22"/>
  <c r="AF37" i="22"/>
  <c r="AG37" i="22" s="1"/>
  <c r="AH37" i="22" s="1"/>
  <c r="AI37" i="22" s="1"/>
  <c r="AE37" i="22"/>
  <c r="AD37" i="22"/>
  <c r="AA37" i="22"/>
  <c r="AB37" i="22" s="1"/>
  <c r="Z37" i="22"/>
  <c r="V37" i="22"/>
  <c r="W37" i="22" s="1"/>
  <c r="X37" i="22" s="1"/>
  <c r="Y37" i="22" s="1"/>
  <c r="O37" i="22"/>
  <c r="P37" i="22" s="1"/>
  <c r="Q37" i="22" s="1"/>
  <c r="R37" i="22" s="1"/>
  <c r="S37" i="22" s="1"/>
  <c r="T37" i="22" s="1"/>
  <c r="N37" i="22"/>
  <c r="H37" i="22"/>
  <c r="I37" i="22" s="1"/>
  <c r="J37" i="22" s="1"/>
  <c r="K37" i="22" s="1"/>
  <c r="L37" i="22" s="1"/>
  <c r="F37" i="22"/>
  <c r="G37" i="22" s="1"/>
  <c r="AO36" i="22"/>
  <c r="AP36" i="22" s="1"/>
  <c r="AQ36" i="22" s="1"/>
  <c r="AR36" i="22" s="1"/>
  <c r="AM36" i="22"/>
  <c r="AN36" i="22" s="1"/>
  <c r="AL36" i="22"/>
  <c r="AD36" i="22"/>
  <c r="AE36" i="22" s="1"/>
  <c r="AF36" i="22" s="1"/>
  <c r="AG36" i="22" s="1"/>
  <c r="AH36" i="22" s="1"/>
  <c r="AI36" i="22" s="1"/>
  <c r="AJ36" i="22" s="1"/>
  <c r="W36" i="22"/>
  <c r="X36" i="22" s="1"/>
  <c r="Y36" i="22" s="1"/>
  <c r="Z36" i="22" s="1"/>
  <c r="AA36" i="22" s="1"/>
  <c r="AB36" i="22" s="1"/>
  <c r="V36" i="22"/>
  <c r="N36" i="22"/>
  <c r="O36" i="22" s="1"/>
  <c r="P36" i="22" s="1"/>
  <c r="Q36" i="22" s="1"/>
  <c r="R36" i="22" s="1"/>
  <c r="S36" i="22" s="1"/>
  <c r="T36" i="22" s="1"/>
  <c r="K36" i="22"/>
  <c r="L36" i="22" s="1"/>
  <c r="G36" i="22"/>
  <c r="H36" i="22" s="1"/>
  <c r="I36" i="22" s="1"/>
  <c r="J36" i="22" s="1"/>
  <c r="F36" i="22"/>
  <c r="AN35" i="22"/>
  <c r="AO35" i="22" s="1"/>
  <c r="AP35" i="22" s="1"/>
  <c r="AQ35" i="22" s="1"/>
  <c r="AR35" i="22" s="1"/>
  <c r="AM35" i="22"/>
  <c r="AL35" i="22"/>
  <c r="AH35" i="22"/>
  <c r="AI35" i="22" s="1"/>
  <c r="AJ35" i="22" s="1"/>
  <c r="AD35" i="22"/>
  <c r="AE35" i="22" s="1"/>
  <c r="AF35" i="22" s="1"/>
  <c r="AG35" i="22" s="1"/>
  <c r="V35" i="22"/>
  <c r="W35" i="22" s="1"/>
  <c r="X35" i="22" s="1"/>
  <c r="Y35" i="22" s="1"/>
  <c r="Z35" i="22" s="1"/>
  <c r="AA35" i="22" s="1"/>
  <c r="AB35" i="22" s="1"/>
  <c r="Q35" i="22"/>
  <c r="R35" i="22" s="1"/>
  <c r="S35" i="22" s="1"/>
  <c r="T35" i="22" s="1"/>
  <c r="P35" i="22"/>
  <c r="O35" i="22"/>
  <c r="N35" i="22"/>
  <c r="F35" i="22"/>
  <c r="AR34" i="22"/>
  <c r="AN34" i="22"/>
  <c r="AO34" i="22" s="1"/>
  <c r="AP34" i="22" s="1"/>
  <c r="AQ34" i="22" s="1"/>
  <c r="AM34" i="22"/>
  <c r="AL34" i="22"/>
  <c r="AI34" i="22"/>
  <c r="AJ34" i="22" s="1"/>
  <c r="AH34" i="22"/>
  <c r="AD34" i="22"/>
  <c r="AE34" i="22" s="1"/>
  <c r="AF34" i="22" s="1"/>
  <c r="AG34" i="22" s="1"/>
  <c r="W34" i="22"/>
  <c r="X34" i="22" s="1"/>
  <c r="Y34" i="22" s="1"/>
  <c r="Z34" i="22" s="1"/>
  <c r="AA34" i="22" s="1"/>
  <c r="AB34" i="22" s="1"/>
  <c r="V34" i="22"/>
  <c r="P34" i="22"/>
  <c r="Q34" i="22" s="1"/>
  <c r="R34" i="22" s="1"/>
  <c r="S34" i="22" s="1"/>
  <c r="T34" i="22" s="1"/>
  <c r="N34" i="22"/>
  <c r="O34" i="22" s="1"/>
  <c r="K34" i="22"/>
  <c r="L34" i="22" s="1"/>
  <c r="I34" i="22"/>
  <c r="J34" i="22" s="1"/>
  <c r="H34" i="22"/>
  <c r="G34" i="22"/>
  <c r="F34" i="22"/>
  <c r="AL33" i="22"/>
  <c r="AM33" i="22" s="1"/>
  <c r="AN33" i="22" s="1"/>
  <c r="AO33" i="22" s="1"/>
  <c r="AP33" i="22" s="1"/>
  <c r="AQ33" i="22" s="1"/>
  <c r="AR33" i="22" s="1"/>
  <c r="AG33" i="22"/>
  <c r="AH33" i="22" s="1"/>
  <c r="AI33" i="22" s="1"/>
  <c r="AJ33" i="22" s="1"/>
  <c r="AF33" i="22"/>
  <c r="AE33" i="22"/>
  <c r="AD33" i="22"/>
  <c r="V33" i="22"/>
  <c r="W33" i="22" s="1"/>
  <c r="X33" i="22" s="1"/>
  <c r="Y33" i="22" s="1"/>
  <c r="Z33" i="22" s="1"/>
  <c r="AA33" i="22" s="1"/>
  <c r="AB33" i="22" s="1"/>
  <c r="Q33" i="22"/>
  <c r="R33" i="22" s="1"/>
  <c r="S33" i="22" s="1"/>
  <c r="T33" i="22" s="1"/>
  <c r="O33" i="22"/>
  <c r="P33" i="22" s="1"/>
  <c r="N33" i="22"/>
  <c r="J33" i="22"/>
  <c r="K33" i="22" s="1"/>
  <c r="L33" i="22" s="1"/>
  <c r="I33" i="22"/>
  <c r="H33" i="22"/>
  <c r="F33" i="22"/>
  <c r="G33" i="22" s="1"/>
  <c r="AL32" i="22"/>
  <c r="AM32" i="22" s="1"/>
  <c r="AN32" i="22" s="1"/>
  <c r="AO32" i="22" s="1"/>
  <c r="AP32" i="22" s="1"/>
  <c r="AQ32" i="22" s="1"/>
  <c r="AR32" i="22" s="1"/>
  <c r="AD32" i="22"/>
  <c r="AE32" i="22" s="1"/>
  <c r="AF32" i="22" s="1"/>
  <c r="AG32" i="22" s="1"/>
  <c r="AH32" i="22" s="1"/>
  <c r="AI32" i="22" s="1"/>
  <c r="AJ32" i="22" s="1"/>
  <c r="AB32" i="22"/>
  <c r="W32" i="22"/>
  <c r="X32" i="22" s="1"/>
  <c r="Y32" i="22" s="1"/>
  <c r="Z32" i="22" s="1"/>
  <c r="AA32" i="22" s="1"/>
  <c r="V32" i="22"/>
  <c r="O32" i="22"/>
  <c r="P32" i="22" s="1"/>
  <c r="Q32" i="22" s="1"/>
  <c r="R32" i="22" s="1"/>
  <c r="S32" i="22" s="1"/>
  <c r="T32" i="22" s="1"/>
  <c r="N32" i="22"/>
  <c r="G32" i="22"/>
  <c r="H32" i="22" s="1"/>
  <c r="I32" i="22" s="1"/>
  <c r="J32" i="22" s="1"/>
  <c r="K32" i="22" s="1"/>
  <c r="L32" i="22" s="1"/>
  <c r="F32" i="22"/>
  <c r="AQ31" i="22"/>
  <c r="AR31" i="22" s="1"/>
  <c r="AL31" i="22"/>
  <c r="AM31" i="22" s="1"/>
  <c r="AN31" i="22" s="1"/>
  <c r="AO31" i="22" s="1"/>
  <c r="AP31" i="22" s="1"/>
  <c r="AD31" i="22"/>
  <c r="AE31" i="22" s="1"/>
  <c r="AF31" i="22" s="1"/>
  <c r="AG31" i="22" s="1"/>
  <c r="AH31" i="22" s="1"/>
  <c r="AI31" i="22" s="1"/>
  <c r="AJ31" i="22" s="1"/>
  <c r="AB31" i="22"/>
  <c r="V31" i="22"/>
  <c r="W31" i="22" s="1"/>
  <c r="X31" i="22" s="1"/>
  <c r="Y31" i="22" s="1"/>
  <c r="Z31" i="22" s="1"/>
  <c r="AA31" i="22" s="1"/>
  <c r="S31" i="22"/>
  <c r="T31" i="22" s="1"/>
  <c r="Q31" i="22"/>
  <c r="R31" i="22" s="1"/>
  <c r="P31" i="22"/>
  <c r="O31" i="22"/>
  <c r="N31" i="22"/>
  <c r="G31" i="22"/>
  <c r="H31" i="22" s="1"/>
  <c r="I31" i="22" s="1"/>
  <c r="J31" i="22" s="1"/>
  <c r="K31" i="22" s="1"/>
  <c r="L31" i="22" s="1"/>
  <c r="F31" i="22"/>
  <c r="AO30" i="22"/>
  <c r="AP30" i="22" s="1"/>
  <c r="AQ30" i="22" s="1"/>
  <c r="AR30" i="22" s="1"/>
  <c r="AN30" i="22"/>
  <c r="AM30" i="22"/>
  <c r="AL30" i="22"/>
  <c r="AJ30" i="22"/>
  <c r="AD30" i="22"/>
  <c r="AE30" i="22" s="1"/>
  <c r="AF30" i="22" s="1"/>
  <c r="AG30" i="22" s="1"/>
  <c r="AH30" i="22" s="1"/>
  <c r="AI30" i="22" s="1"/>
  <c r="V30" i="22"/>
  <c r="W30" i="22" s="1"/>
  <c r="X30" i="22" s="1"/>
  <c r="Y30" i="22" s="1"/>
  <c r="Z30" i="22" s="1"/>
  <c r="AA30" i="22" s="1"/>
  <c r="AB30" i="22" s="1"/>
  <c r="P30" i="22"/>
  <c r="Q30" i="22" s="1"/>
  <c r="R30" i="22" s="1"/>
  <c r="S30" i="22" s="1"/>
  <c r="T30" i="22" s="1"/>
  <c r="N30" i="22"/>
  <c r="O30" i="22" s="1"/>
  <c r="G30" i="22"/>
  <c r="F30" i="22"/>
  <c r="AR29" i="22"/>
  <c r="AL29" i="22"/>
  <c r="AM29" i="22" s="1"/>
  <c r="AN29" i="22" s="1"/>
  <c r="AO29" i="22" s="1"/>
  <c r="AP29" i="22" s="1"/>
  <c r="AQ29" i="22" s="1"/>
  <c r="AI29" i="22"/>
  <c r="AJ29" i="22" s="1"/>
  <c r="AG29" i="22"/>
  <c r="AH29" i="22" s="1"/>
  <c r="AF29" i="22"/>
  <c r="AE29" i="22"/>
  <c r="AD29" i="22"/>
  <c r="W29" i="22"/>
  <c r="X29" i="22" s="1"/>
  <c r="Y29" i="22" s="1"/>
  <c r="Z29" i="22" s="1"/>
  <c r="AA29" i="22" s="1"/>
  <c r="AB29" i="22" s="1"/>
  <c r="V29" i="22"/>
  <c r="O29" i="22"/>
  <c r="P29" i="22" s="1"/>
  <c r="Q29" i="22" s="1"/>
  <c r="R29" i="22" s="1"/>
  <c r="S29" i="22" s="1"/>
  <c r="T29" i="22" s="1"/>
  <c r="N29" i="22"/>
  <c r="I29" i="22"/>
  <c r="J29" i="22" s="1"/>
  <c r="K29" i="22" s="1"/>
  <c r="L29" i="22" s="1"/>
  <c r="F29" i="22"/>
  <c r="G29" i="22" s="1"/>
  <c r="H29" i="22" s="1"/>
  <c r="AQ28" i="22"/>
  <c r="AR28" i="22" s="1"/>
  <c r="AL28" i="22"/>
  <c r="AM28" i="22" s="1"/>
  <c r="AN28" i="22" s="1"/>
  <c r="AO28" i="22" s="1"/>
  <c r="AP28" i="22" s="1"/>
  <c r="AD28" i="22"/>
  <c r="AE28" i="22" s="1"/>
  <c r="AF28" i="22" s="1"/>
  <c r="AG28" i="22" s="1"/>
  <c r="AH28" i="22" s="1"/>
  <c r="AI28" i="22" s="1"/>
  <c r="AJ28" i="22" s="1"/>
  <c r="X28" i="22"/>
  <c r="Y28" i="22" s="1"/>
  <c r="Z28" i="22" s="1"/>
  <c r="AA28" i="22" s="1"/>
  <c r="AB28" i="22" s="1"/>
  <c r="W28" i="22"/>
  <c r="V28" i="22"/>
  <c r="N28" i="22"/>
  <c r="O28" i="22" s="1"/>
  <c r="P28" i="22" s="1"/>
  <c r="Q28" i="22" s="1"/>
  <c r="R28" i="22" s="1"/>
  <c r="S28" i="22" s="1"/>
  <c r="T28" i="22" s="1"/>
  <c r="G28" i="22"/>
  <c r="H28" i="22" s="1"/>
  <c r="I28" i="22" s="1"/>
  <c r="J28" i="22" s="1"/>
  <c r="K28" i="22" s="1"/>
  <c r="L28" i="22" s="1"/>
  <c r="F28" i="22"/>
  <c r="AL27" i="22"/>
  <c r="AM27" i="22" s="1"/>
  <c r="AN27" i="22" s="1"/>
  <c r="AO27" i="22" s="1"/>
  <c r="AP27" i="22" s="1"/>
  <c r="AQ27" i="22" s="1"/>
  <c r="AR27" i="22" s="1"/>
  <c r="AI27" i="22"/>
  <c r="AJ27" i="22" s="1"/>
  <c r="AD27" i="22"/>
  <c r="AE27" i="22" s="1"/>
  <c r="AF27" i="22" s="1"/>
  <c r="AG27" i="22" s="1"/>
  <c r="AH27" i="22" s="1"/>
  <c r="X27" i="22"/>
  <c r="Y27" i="22" s="1"/>
  <c r="Z27" i="22" s="1"/>
  <c r="AA27" i="22" s="1"/>
  <c r="AB27" i="22" s="1"/>
  <c r="W27" i="22"/>
  <c r="V27" i="22"/>
  <c r="S27" i="22"/>
  <c r="T27" i="22" s="1"/>
  <c r="O27" i="22"/>
  <c r="P27" i="22" s="1"/>
  <c r="Q27" i="22" s="1"/>
  <c r="R27" i="22" s="1"/>
  <c r="N27" i="22"/>
  <c r="F27" i="22"/>
  <c r="AQ26" i="22"/>
  <c r="AR26" i="22" s="1"/>
  <c r="AM26" i="22"/>
  <c r="AN26" i="22" s="1"/>
  <c r="AO26" i="22" s="1"/>
  <c r="AP26" i="22" s="1"/>
  <c r="AL26" i="22"/>
  <c r="AH26" i="22"/>
  <c r="AI26" i="22" s="1"/>
  <c r="AJ26" i="22" s="1"/>
  <c r="AD26" i="22"/>
  <c r="AE26" i="22" s="1"/>
  <c r="AF26" i="22" s="1"/>
  <c r="AG26" i="22" s="1"/>
  <c r="V26" i="22"/>
  <c r="W26" i="22" s="1"/>
  <c r="X26" i="22" s="1"/>
  <c r="Y26" i="22" s="1"/>
  <c r="Z26" i="22" s="1"/>
  <c r="AA26" i="22" s="1"/>
  <c r="AB26" i="22" s="1"/>
  <c r="T26" i="22"/>
  <c r="P26" i="22"/>
  <c r="Q26" i="22" s="1"/>
  <c r="R26" i="22" s="1"/>
  <c r="S26" i="22" s="1"/>
  <c r="O26" i="22"/>
  <c r="N26" i="22"/>
  <c r="K26" i="22"/>
  <c r="L26" i="22" s="1"/>
  <c r="G26" i="22"/>
  <c r="H26" i="22" s="1"/>
  <c r="I26" i="22" s="1"/>
  <c r="J26" i="22" s="1"/>
  <c r="F26" i="22"/>
  <c r="AN25" i="22"/>
  <c r="AO25" i="22" s="1"/>
  <c r="AP25" i="22" s="1"/>
  <c r="AQ25" i="22" s="1"/>
  <c r="AR25" i="22" s="1"/>
  <c r="AM25" i="22"/>
  <c r="AL25" i="22"/>
  <c r="AE25" i="22"/>
  <c r="AF25" i="22" s="1"/>
  <c r="AG25" i="22" s="1"/>
  <c r="AH25" i="22" s="1"/>
  <c r="AI25" i="22" s="1"/>
  <c r="AJ25" i="22" s="1"/>
  <c r="AD25" i="22"/>
  <c r="Z25" i="22"/>
  <c r="AA25" i="22" s="1"/>
  <c r="AB25" i="22" s="1"/>
  <c r="V25" i="22"/>
  <c r="W25" i="22" s="1"/>
  <c r="X25" i="22" s="1"/>
  <c r="Y25" i="22" s="1"/>
  <c r="Q25" i="22"/>
  <c r="R25" i="22" s="1"/>
  <c r="S25" i="22" s="1"/>
  <c r="T25" i="22" s="1"/>
  <c r="N25" i="22"/>
  <c r="O25" i="22" s="1"/>
  <c r="P25" i="22" s="1"/>
  <c r="L25" i="22"/>
  <c r="H25" i="22"/>
  <c r="I25" i="22" s="1"/>
  <c r="J25" i="22" s="1"/>
  <c r="K25" i="22" s="1"/>
  <c r="G25" i="22"/>
  <c r="F25" i="22"/>
  <c r="AO24" i="22"/>
  <c r="AP24" i="22" s="1"/>
  <c r="AQ24" i="22" s="1"/>
  <c r="AR24" i="22" s="1"/>
  <c r="AL24" i="22"/>
  <c r="AM24" i="22" s="1"/>
  <c r="AN24" i="22" s="1"/>
  <c r="AF24" i="22"/>
  <c r="AG24" i="22" s="1"/>
  <c r="AH24" i="22" s="1"/>
  <c r="AI24" i="22" s="1"/>
  <c r="AJ24" i="22" s="1"/>
  <c r="AE24" i="22"/>
  <c r="AD24" i="22"/>
  <c r="W24" i="22"/>
  <c r="X24" i="22" s="1"/>
  <c r="Y24" i="22" s="1"/>
  <c r="Z24" i="22" s="1"/>
  <c r="AA24" i="22" s="1"/>
  <c r="AB24" i="22" s="1"/>
  <c r="V24" i="22"/>
  <c r="R24" i="22"/>
  <c r="S24" i="22" s="1"/>
  <c r="T24" i="22" s="1"/>
  <c r="N24" i="22"/>
  <c r="O24" i="22" s="1"/>
  <c r="P24" i="22" s="1"/>
  <c r="Q24" i="22" s="1"/>
  <c r="F24" i="22"/>
  <c r="G24" i="22" s="1"/>
  <c r="AP23" i="22"/>
  <c r="AQ23" i="22" s="1"/>
  <c r="AR23" i="22" s="1"/>
  <c r="AL23" i="22"/>
  <c r="AM23" i="22" s="1"/>
  <c r="AN23" i="22" s="1"/>
  <c r="AO23" i="22" s="1"/>
  <c r="AG23" i="22"/>
  <c r="AH23" i="22" s="1"/>
  <c r="AI23" i="22" s="1"/>
  <c r="AJ23" i="22" s="1"/>
  <c r="AD23" i="22"/>
  <c r="AE23" i="22" s="1"/>
  <c r="AF23" i="22" s="1"/>
  <c r="AB23" i="22"/>
  <c r="X23" i="22"/>
  <c r="Y23" i="22" s="1"/>
  <c r="Z23" i="22" s="1"/>
  <c r="AA23" i="22" s="1"/>
  <c r="W23" i="22"/>
  <c r="V23" i="22"/>
  <c r="S23" i="22"/>
  <c r="T23" i="22" s="1"/>
  <c r="O23" i="22"/>
  <c r="P23" i="22" s="1"/>
  <c r="Q23" i="22" s="1"/>
  <c r="R23" i="22" s="1"/>
  <c r="N23" i="22"/>
  <c r="F23" i="22"/>
  <c r="AM22" i="22"/>
  <c r="AN22" i="22" s="1"/>
  <c r="AO22" i="22" s="1"/>
  <c r="AP22" i="22" s="1"/>
  <c r="AQ22" i="22" s="1"/>
  <c r="AR22" i="22" s="1"/>
  <c r="AL22" i="22"/>
  <c r="AH22" i="22"/>
  <c r="AI22" i="22" s="1"/>
  <c r="AJ22" i="22" s="1"/>
  <c r="AD22" i="22"/>
  <c r="AE22" i="22" s="1"/>
  <c r="AF22" i="22" s="1"/>
  <c r="AG22" i="22" s="1"/>
  <c r="Y22" i="22"/>
  <c r="Z22" i="22" s="1"/>
  <c r="AA22" i="22" s="1"/>
  <c r="AB22" i="22" s="1"/>
  <c r="V22" i="22"/>
  <c r="W22" i="22" s="1"/>
  <c r="X22" i="22" s="1"/>
  <c r="T22" i="22"/>
  <c r="P22" i="22"/>
  <c r="Q22" i="22" s="1"/>
  <c r="R22" i="22" s="1"/>
  <c r="S22" i="22" s="1"/>
  <c r="O22" i="22"/>
  <c r="N22" i="22"/>
  <c r="G22" i="22"/>
  <c r="H22" i="22" s="1"/>
  <c r="I22" i="22" s="1"/>
  <c r="J22" i="22" s="1"/>
  <c r="K22" i="22" s="1"/>
  <c r="L22" i="22" s="1"/>
  <c r="F22" i="22"/>
  <c r="AR21" i="22"/>
  <c r="AN21" i="22"/>
  <c r="AO21" i="22" s="1"/>
  <c r="AP21" i="22" s="1"/>
  <c r="AQ21" i="22" s="1"/>
  <c r="AM21" i="22"/>
  <c r="AL21" i="22"/>
  <c r="AI21" i="22"/>
  <c r="AJ21" i="22" s="1"/>
  <c r="AE21" i="22"/>
  <c r="AF21" i="22" s="1"/>
  <c r="AG21" i="22" s="1"/>
  <c r="AH21" i="22" s="1"/>
  <c r="AD21" i="22"/>
  <c r="V21" i="22"/>
  <c r="W21" i="22" s="1"/>
  <c r="X21" i="22" s="1"/>
  <c r="Y21" i="22" s="1"/>
  <c r="Z21" i="22" s="1"/>
  <c r="AA21" i="22" s="1"/>
  <c r="AB21" i="22" s="1"/>
  <c r="Q21" i="22"/>
  <c r="R21" i="22" s="1"/>
  <c r="S21" i="22" s="1"/>
  <c r="T21" i="22" s="1"/>
  <c r="N21" i="22"/>
  <c r="O21" i="22" s="1"/>
  <c r="P21" i="22" s="1"/>
  <c r="H21" i="22"/>
  <c r="I21" i="22" s="1"/>
  <c r="J21" i="22" s="1"/>
  <c r="K21" i="22" s="1"/>
  <c r="L21" i="22" s="1"/>
  <c r="G21" i="22"/>
  <c r="F21" i="22"/>
  <c r="AL20" i="22"/>
  <c r="AM20" i="22" s="1"/>
  <c r="AN20" i="22" s="1"/>
  <c r="AO20" i="22" s="1"/>
  <c r="AP20" i="22" s="1"/>
  <c r="AQ20" i="22" s="1"/>
  <c r="AR20" i="22" s="1"/>
  <c r="AJ20" i="22"/>
  <c r="AF20" i="22"/>
  <c r="AG20" i="22" s="1"/>
  <c r="AH20" i="22" s="1"/>
  <c r="AI20" i="22" s="1"/>
  <c r="AE20" i="22"/>
  <c r="AD20" i="22"/>
  <c r="AA20" i="22"/>
  <c r="AB20" i="22" s="1"/>
  <c r="W20" i="22"/>
  <c r="X20" i="22" s="1"/>
  <c r="Y20" i="22" s="1"/>
  <c r="Z20" i="22" s="1"/>
  <c r="V20" i="22"/>
  <c r="N20" i="22"/>
  <c r="O20" i="22" s="1"/>
  <c r="P20" i="22" s="1"/>
  <c r="Q20" i="22" s="1"/>
  <c r="R20" i="22" s="1"/>
  <c r="S20" i="22" s="1"/>
  <c r="T20" i="22" s="1"/>
  <c r="F20" i="22"/>
  <c r="G20" i="22" s="1"/>
  <c r="AL19" i="22"/>
  <c r="AM19" i="22" s="1"/>
  <c r="AN19" i="22" s="1"/>
  <c r="AO19" i="22" s="1"/>
  <c r="AP19" i="22" s="1"/>
  <c r="AQ19" i="22" s="1"/>
  <c r="AR19" i="22" s="1"/>
  <c r="AG19" i="22"/>
  <c r="AH19" i="22" s="1"/>
  <c r="AI19" i="22" s="1"/>
  <c r="AJ19" i="22" s="1"/>
  <c r="AD19" i="22"/>
  <c r="AE19" i="22" s="1"/>
  <c r="AF19" i="22" s="1"/>
  <c r="X19" i="22"/>
  <c r="Y19" i="22" s="1"/>
  <c r="Z19" i="22" s="1"/>
  <c r="AA19" i="22" s="1"/>
  <c r="AB19" i="22" s="1"/>
  <c r="W19" i="22"/>
  <c r="V19" i="22"/>
  <c r="O19" i="22"/>
  <c r="P19" i="22" s="1"/>
  <c r="Q19" i="22" s="1"/>
  <c r="R19" i="22" s="1"/>
  <c r="S19" i="22" s="1"/>
  <c r="T19" i="22" s="1"/>
  <c r="N19" i="22"/>
  <c r="F19" i="22"/>
  <c r="AQ18" i="22"/>
  <c r="AR18" i="22" s="1"/>
  <c r="AM18" i="22"/>
  <c r="AN18" i="22" s="1"/>
  <c r="AO18" i="22" s="1"/>
  <c r="AP18" i="22" s="1"/>
  <c r="AL18" i="22"/>
  <c r="AD18" i="22"/>
  <c r="AE18" i="22" s="1"/>
  <c r="AF18" i="22" s="1"/>
  <c r="AG18" i="22" s="1"/>
  <c r="AH18" i="22" s="1"/>
  <c r="AI18" i="22" s="1"/>
  <c r="AJ18" i="22" s="1"/>
  <c r="V18" i="22"/>
  <c r="W18" i="22" s="1"/>
  <c r="X18" i="22" s="1"/>
  <c r="Y18" i="22" s="1"/>
  <c r="Z18" i="22" s="1"/>
  <c r="AA18" i="22" s="1"/>
  <c r="AB18" i="22" s="1"/>
  <c r="P18" i="22"/>
  <c r="Q18" i="22" s="1"/>
  <c r="R18" i="22" s="1"/>
  <c r="S18" i="22" s="1"/>
  <c r="T18" i="22" s="1"/>
  <c r="O18" i="22"/>
  <c r="N18" i="22"/>
  <c r="G18" i="22"/>
  <c r="H18" i="22" s="1"/>
  <c r="I18" i="22" s="1"/>
  <c r="J18" i="22" s="1"/>
  <c r="K18" i="22" s="1"/>
  <c r="L18" i="22" s="1"/>
  <c r="F18" i="22"/>
  <c r="AR17" i="22"/>
  <c r="AN17" i="22"/>
  <c r="AO17" i="22" s="1"/>
  <c r="AP17" i="22" s="1"/>
  <c r="AQ17" i="22" s="1"/>
  <c r="AM17" i="22"/>
  <c r="AL17" i="22"/>
  <c r="AI17" i="22"/>
  <c r="AJ17" i="22" s="1"/>
  <c r="AE17" i="22"/>
  <c r="AF17" i="22" s="1"/>
  <c r="AG17" i="22" s="1"/>
  <c r="AH17" i="22" s="1"/>
  <c r="AD17" i="22"/>
  <c r="Z17" i="22"/>
  <c r="AA17" i="22" s="1"/>
  <c r="AB17" i="22" s="1"/>
  <c r="V17" i="22"/>
  <c r="W17" i="22" s="1"/>
  <c r="X17" i="22" s="1"/>
  <c r="Y17" i="22" s="1"/>
  <c r="Q17" i="22"/>
  <c r="R17" i="22" s="1"/>
  <c r="S17" i="22" s="1"/>
  <c r="T17" i="22" s="1"/>
  <c r="N17" i="22"/>
  <c r="O17" i="22" s="1"/>
  <c r="P17" i="22" s="1"/>
  <c r="L17" i="22"/>
  <c r="H17" i="22"/>
  <c r="I17" i="22" s="1"/>
  <c r="J17" i="22" s="1"/>
  <c r="K17" i="22" s="1"/>
  <c r="G17" i="22"/>
  <c r="F17" i="22"/>
  <c r="AL16" i="22"/>
  <c r="AM16" i="22" s="1"/>
  <c r="AN16" i="22" s="1"/>
  <c r="AO16" i="22" s="1"/>
  <c r="AP16" i="22" s="1"/>
  <c r="AQ16" i="22" s="1"/>
  <c r="AR16" i="22" s="1"/>
  <c r="AJ16" i="22"/>
  <c r="AF16" i="22"/>
  <c r="AG16" i="22" s="1"/>
  <c r="AH16" i="22" s="1"/>
  <c r="AI16" i="22" s="1"/>
  <c r="AE16" i="22"/>
  <c r="AD16" i="22"/>
  <c r="AA16" i="22"/>
  <c r="AB16" i="22" s="1"/>
  <c r="W16" i="22"/>
  <c r="X16" i="22" s="1"/>
  <c r="Y16" i="22" s="1"/>
  <c r="Z16" i="22" s="1"/>
  <c r="V16" i="22"/>
  <c r="R16" i="22"/>
  <c r="S16" i="22" s="1"/>
  <c r="T16" i="22" s="1"/>
  <c r="N16" i="22"/>
  <c r="O16" i="22" s="1"/>
  <c r="P16" i="22" s="1"/>
  <c r="Q16" i="22" s="1"/>
  <c r="F16" i="22"/>
  <c r="G16" i="22" s="1"/>
  <c r="AP15" i="22"/>
  <c r="AQ15" i="22" s="1"/>
  <c r="AR15" i="22" s="1"/>
  <c r="AL15" i="22"/>
  <c r="AM15" i="22" s="1"/>
  <c r="AN15" i="22" s="1"/>
  <c r="AO15" i="22" s="1"/>
  <c r="AG15" i="22"/>
  <c r="AH15" i="22" s="1"/>
  <c r="AI15" i="22" s="1"/>
  <c r="AJ15" i="22" s="1"/>
  <c r="AD15" i="22"/>
  <c r="AE15" i="22" s="1"/>
  <c r="AF15" i="22" s="1"/>
  <c r="AB15" i="22"/>
  <c r="X15" i="22"/>
  <c r="Y15" i="22" s="1"/>
  <c r="Z15" i="22" s="1"/>
  <c r="AA15" i="22" s="1"/>
  <c r="W15" i="22"/>
  <c r="V15" i="22"/>
  <c r="S15" i="22"/>
  <c r="T15" i="22" s="1"/>
  <c r="O15" i="22"/>
  <c r="P15" i="22" s="1"/>
  <c r="Q15" i="22" s="1"/>
  <c r="R15" i="22" s="1"/>
  <c r="N15" i="22"/>
  <c r="F15" i="22"/>
  <c r="AQ14" i="22"/>
  <c r="AR14" i="22" s="1"/>
  <c r="AM14" i="22"/>
  <c r="AN14" i="22" s="1"/>
  <c r="AO14" i="22" s="1"/>
  <c r="AP14" i="22" s="1"/>
  <c r="AL14" i="22"/>
  <c r="AH14" i="22"/>
  <c r="AI14" i="22" s="1"/>
  <c r="AJ14" i="22" s="1"/>
  <c r="AD14" i="22"/>
  <c r="AE14" i="22" s="1"/>
  <c r="AF14" i="22" s="1"/>
  <c r="AG14" i="22" s="1"/>
  <c r="Y14" i="22"/>
  <c r="Z14" i="22" s="1"/>
  <c r="AA14" i="22" s="1"/>
  <c r="AB14" i="22" s="1"/>
  <c r="V14" i="22"/>
  <c r="W14" i="22" s="1"/>
  <c r="X14" i="22" s="1"/>
  <c r="T14" i="22"/>
  <c r="P14" i="22"/>
  <c r="Q14" i="22" s="1"/>
  <c r="R14" i="22" s="1"/>
  <c r="S14" i="22" s="1"/>
  <c r="O14" i="22"/>
  <c r="N14" i="22"/>
  <c r="K14" i="22"/>
  <c r="L14" i="22" s="1"/>
  <c r="G14" i="22"/>
  <c r="H14" i="22" s="1"/>
  <c r="I14" i="22" s="1"/>
  <c r="J14" i="22" s="1"/>
  <c r="F14" i="22"/>
  <c r="AR13" i="22"/>
  <c r="AN13" i="22"/>
  <c r="AO13" i="22" s="1"/>
  <c r="AP13" i="22" s="1"/>
  <c r="AQ13" i="22" s="1"/>
  <c r="AM13" i="22"/>
  <c r="AL13" i="22"/>
  <c r="AI13" i="22"/>
  <c r="AJ13" i="22" s="1"/>
  <c r="AE13" i="22"/>
  <c r="AF13" i="22" s="1"/>
  <c r="AG13" i="22" s="1"/>
  <c r="AH13" i="22" s="1"/>
  <c r="AD13" i="22"/>
  <c r="Z13" i="22"/>
  <c r="AA13" i="22" s="1"/>
  <c r="AB13" i="22" s="1"/>
  <c r="V13" i="22"/>
  <c r="W13" i="22" s="1"/>
  <c r="X13" i="22" s="1"/>
  <c r="Y13" i="22" s="1"/>
  <c r="N13" i="22"/>
  <c r="O13" i="22" s="1"/>
  <c r="P13" i="22" s="1"/>
  <c r="Q13" i="22" s="1"/>
  <c r="R13" i="22" s="1"/>
  <c r="S13" i="22" s="1"/>
  <c r="T13" i="22" s="1"/>
  <c r="L13" i="22"/>
  <c r="H13" i="22"/>
  <c r="I13" i="22" s="1"/>
  <c r="J13" i="22" s="1"/>
  <c r="K13" i="22" s="1"/>
  <c r="G13" i="22"/>
  <c r="F13" i="22"/>
  <c r="AO12" i="22"/>
  <c r="AP12" i="22" s="1"/>
  <c r="AQ12" i="22" s="1"/>
  <c r="AR12" i="22" s="1"/>
  <c r="AL12" i="22"/>
  <c r="AM12" i="22" s="1"/>
  <c r="AN12" i="22" s="1"/>
  <c r="AJ12" i="22"/>
  <c r="AF12" i="22"/>
  <c r="AG12" i="22" s="1"/>
  <c r="AH12" i="22" s="1"/>
  <c r="AI12" i="22" s="1"/>
  <c r="AE12" i="22"/>
  <c r="AD12" i="22"/>
  <c r="AA12" i="22"/>
  <c r="AB12" i="22" s="1"/>
  <c r="W12" i="22"/>
  <c r="X12" i="22" s="1"/>
  <c r="Y12" i="22" s="1"/>
  <c r="Z12" i="22" s="1"/>
  <c r="V12" i="22"/>
  <c r="R12" i="22"/>
  <c r="S12" i="22" s="1"/>
  <c r="T12" i="22" s="1"/>
  <c r="N12" i="22"/>
  <c r="O12" i="22" s="1"/>
  <c r="P12" i="22" s="1"/>
  <c r="Q12" i="22" s="1"/>
  <c r="F12" i="22"/>
  <c r="G12" i="22" s="1"/>
  <c r="AO11" i="22"/>
  <c r="AP11" i="22" s="1"/>
  <c r="AQ11" i="22" s="1"/>
  <c r="AR11" i="22" s="1"/>
  <c r="AL11" i="22"/>
  <c r="AM11" i="22" s="1"/>
  <c r="AN11" i="22" s="1"/>
  <c r="AF11" i="22"/>
  <c r="AG11" i="22" s="1"/>
  <c r="AH11" i="22" s="1"/>
  <c r="AI11" i="22" s="1"/>
  <c r="AJ11" i="22" s="1"/>
  <c r="AD11" i="22"/>
  <c r="AE11" i="22" s="1"/>
  <c r="X11" i="22"/>
  <c r="Y11" i="22" s="1"/>
  <c r="Z11" i="22" s="1"/>
  <c r="AA11" i="22" s="1"/>
  <c r="AB11" i="22" s="1"/>
  <c r="W11" i="22"/>
  <c r="V11" i="22"/>
  <c r="R11" i="22"/>
  <c r="S11" i="22" s="1"/>
  <c r="T11" i="22" s="1"/>
  <c r="O11" i="22"/>
  <c r="P11" i="22" s="1"/>
  <c r="Q11" i="22" s="1"/>
  <c r="N11" i="22"/>
  <c r="J11" i="22"/>
  <c r="K11" i="22" s="1"/>
  <c r="L11" i="22" s="1"/>
  <c r="F11" i="22"/>
  <c r="AL10" i="22"/>
  <c r="AD10" i="22"/>
  <c r="X10" i="22"/>
  <c r="W10" i="22"/>
  <c r="V10" i="22"/>
  <c r="O10" i="22"/>
  <c r="N10" i="22"/>
  <c r="F10" i="22"/>
  <c r="BB5" i="22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E75" i="16"/>
  <c r="N75" i="21"/>
  <c r="O75" i="21"/>
  <c r="P75" i="21"/>
  <c r="Q75" i="21"/>
  <c r="U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K75" i="21"/>
  <c r="AL75" i="21"/>
  <c r="AO75" i="21"/>
  <c r="AP75" i="21"/>
  <c r="AQ75" i="21"/>
  <c r="AR75" i="21"/>
  <c r="M75" i="21"/>
  <c r="O16" i="21"/>
  <c r="AK74" i="21"/>
  <c r="AC74" i="21"/>
  <c r="U74" i="21"/>
  <c r="M74" i="21"/>
  <c r="AM73" i="21"/>
  <c r="AN73" i="21" s="1"/>
  <c r="AO73" i="21" s="1"/>
  <c r="AP73" i="21" s="1"/>
  <c r="AQ73" i="21" s="1"/>
  <c r="AR73" i="21" s="1"/>
  <c r="AL73" i="21"/>
  <c r="AD73" i="21"/>
  <c r="AE73" i="21" s="1"/>
  <c r="AF73" i="21" s="1"/>
  <c r="AG73" i="21" s="1"/>
  <c r="AH73" i="21" s="1"/>
  <c r="AI73" i="21" s="1"/>
  <c r="AJ73" i="21" s="1"/>
  <c r="Y73" i="21"/>
  <c r="Z73" i="21" s="1"/>
  <c r="AA73" i="21" s="1"/>
  <c r="AB73" i="21" s="1"/>
  <c r="V73" i="21"/>
  <c r="W73" i="21" s="1"/>
  <c r="X73" i="21" s="1"/>
  <c r="N73" i="21"/>
  <c r="O73" i="21" s="1"/>
  <c r="P73" i="21" s="1"/>
  <c r="R73" i="21" s="1"/>
  <c r="S73" i="21" s="1"/>
  <c r="T73" i="21" s="1"/>
  <c r="AN72" i="21"/>
  <c r="AO72" i="21" s="1"/>
  <c r="AP72" i="21" s="1"/>
  <c r="AQ72" i="21" s="1"/>
  <c r="AR72" i="21" s="1"/>
  <c r="AL72" i="21"/>
  <c r="AM72" i="21" s="1"/>
  <c r="AD72" i="21"/>
  <c r="AE72" i="21" s="1"/>
  <c r="AF72" i="21" s="1"/>
  <c r="AG72" i="21" s="1"/>
  <c r="AH72" i="21" s="1"/>
  <c r="AI72" i="21" s="1"/>
  <c r="AJ72" i="21" s="1"/>
  <c r="Z72" i="21"/>
  <c r="V72" i="21"/>
  <c r="W72" i="21" s="1"/>
  <c r="X72" i="21" s="1"/>
  <c r="Y72" i="21" s="1"/>
  <c r="N72" i="21"/>
  <c r="O72" i="21" s="1"/>
  <c r="P72" i="21" s="1"/>
  <c r="Q72" i="21" s="1"/>
  <c r="R72" i="21" s="1"/>
  <c r="S72" i="21" s="1"/>
  <c r="T72" i="21" s="1"/>
  <c r="AL71" i="21"/>
  <c r="AM71" i="21" s="1"/>
  <c r="AN71" i="21" s="1"/>
  <c r="AO71" i="21" s="1"/>
  <c r="AP71" i="21" s="1"/>
  <c r="AQ71" i="21" s="1"/>
  <c r="AR71" i="21" s="1"/>
  <c r="AE71" i="21"/>
  <c r="AF71" i="21" s="1"/>
  <c r="AG71" i="21" s="1"/>
  <c r="AH71" i="21" s="1"/>
  <c r="AI71" i="21" s="1"/>
  <c r="AJ71" i="21" s="1"/>
  <c r="AD71" i="21"/>
  <c r="V71" i="21"/>
  <c r="W71" i="21" s="1"/>
  <c r="X71" i="21" s="1"/>
  <c r="Y71" i="21" s="1"/>
  <c r="Z71" i="21" s="1"/>
  <c r="AA71" i="21" s="1"/>
  <c r="AB71" i="21" s="1"/>
  <c r="R71" i="21"/>
  <c r="S71" i="21" s="1"/>
  <c r="T71" i="21" s="1"/>
  <c r="N71" i="21"/>
  <c r="O71" i="21" s="1"/>
  <c r="P71" i="21" s="1"/>
  <c r="Q71" i="21" s="1"/>
  <c r="AL70" i="21"/>
  <c r="AM70" i="21" s="1"/>
  <c r="AN70" i="21" s="1"/>
  <c r="AO70" i="21" s="1"/>
  <c r="AP70" i="21" s="1"/>
  <c r="AQ70" i="21" s="1"/>
  <c r="AR70" i="21" s="1"/>
  <c r="AD70" i="21"/>
  <c r="AE70" i="21" s="1"/>
  <c r="AF70" i="21" s="1"/>
  <c r="AG70" i="21" s="1"/>
  <c r="AH70" i="21" s="1"/>
  <c r="AI70" i="21" s="1"/>
  <c r="AJ70" i="21" s="1"/>
  <c r="V70" i="21"/>
  <c r="W70" i="21" s="1"/>
  <c r="X70" i="21" s="1"/>
  <c r="Y70" i="21" s="1"/>
  <c r="Z70" i="21" s="1"/>
  <c r="AA70" i="21" s="1"/>
  <c r="AB70" i="21" s="1"/>
  <c r="N70" i="21"/>
  <c r="O70" i="21" s="1"/>
  <c r="P70" i="21" s="1"/>
  <c r="Q70" i="21" s="1"/>
  <c r="R70" i="21" s="1"/>
  <c r="S70" i="21" s="1"/>
  <c r="T70" i="21" s="1"/>
  <c r="AQ69" i="21"/>
  <c r="AR69" i="21" s="1"/>
  <c r="AL69" i="21"/>
  <c r="AM69" i="21" s="1"/>
  <c r="AN69" i="21" s="1"/>
  <c r="AO69" i="21" s="1"/>
  <c r="AP69" i="21" s="1"/>
  <c r="AD69" i="21"/>
  <c r="AE69" i="21" s="1"/>
  <c r="AF69" i="21" s="1"/>
  <c r="AG69" i="21" s="1"/>
  <c r="AH69" i="21" s="1"/>
  <c r="AI69" i="21" s="1"/>
  <c r="AJ69" i="21" s="1"/>
  <c r="V69" i="21"/>
  <c r="W69" i="21" s="1"/>
  <c r="X69" i="21" s="1"/>
  <c r="Y69" i="21" s="1"/>
  <c r="Z69" i="21" s="1"/>
  <c r="AA69" i="21" s="1"/>
  <c r="AB69" i="21" s="1"/>
  <c r="O69" i="21"/>
  <c r="P69" i="21" s="1"/>
  <c r="Q69" i="21" s="1"/>
  <c r="R69" i="21" s="1"/>
  <c r="S69" i="21" s="1"/>
  <c r="T69" i="21" s="1"/>
  <c r="N69" i="21"/>
  <c r="AL68" i="21"/>
  <c r="AM68" i="21" s="1"/>
  <c r="AN68" i="21" s="1"/>
  <c r="AO68" i="21" s="1"/>
  <c r="AP68" i="21" s="1"/>
  <c r="AQ68" i="21" s="1"/>
  <c r="AR68" i="21" s="1"/>
  <c r="AE68" i="21"/>
  <c r="AF68" i="21" s="1"/>
  <c r="AG68" i="21" s="1"/>
  <c r="AH68" i="21" s="1"/>
  <c r="AI68" i="21" s="1"/>
  <c r="AJ68" i="21" s="1"/>
  <c r="AD68" i="21"/>
  <c r="V68" i="21"/>
  <c r="W68" i="21" s="1"/>
  <c r="X68" i="21" s="1"/>
  <c r="Y68" i="21" s="1"/>
  <c r="Z68" i="21" s="1"/>
  <c r="AA68" i="21" s="1"/>
  <c r="AB68" i="21" s="1"/>
  <c r="N68" i="21"/>
  <c r="O68" i="21" s="1"/>
  <c r="AL67" i="21"/>
  <c r="AM67" i="21" s="1"/>
  <c r="AN67" i="21" s="1"/>
  <c r="AO67" i="21" s="1"/>
  <c r="AP67" i="21" s="1"/>
  <c r="AQ67" i="21" s="1"/>
  <c r="AR67" i="21" s="1"/>
  <c r="AD67" i="21"/>
  <c r="AE67" i="21" s="1"/>
  <c r="AF67" i="21" s="1"/>
  <c r="AG67" i="21" s="1"/>
  <c r="AH67" i="21" s="1"/>
  <c r="AI67" i="21" s="1"/>
  <c r="AJ67" i="21" s="1"/>
  <c r="W67" i="21"/>
  <c r="X67" i="21" s="1"/>
  <c r="Y67" i="21" s="1"/>
  <c r="Z67" i="21" s="1"/>
  <c r="AA67" i="21" s="1"/>
  <c r="AB67" i="21" s="1"/>
  <c r="V67" i="21"/>
  <c r="N67" i="21"/>
  <c r="O67" i="21" s="1"/>
  <c r="P67" i="21" s="1"/>
  <c r="Q67" i="21" s="1"/>
  <c r="R67" i="21" s="1"/>
  <c r="S67" i="21" s="1"/>
  <c r="T67" i="21" s="1"/>
  <c r="AP66" i="21"/>
  <c r="AQ66" i="21" s="1"/>
  <c r="AR66" i="21" s="1"/>
  <c r="AL66" i="21"/>
  <c r="AM66" i="21" s="1"/>
  <c r="AN66" i="21" s="1"/>
  <c r="AO66" i="21" s="1"/>
  <c r="AD66" i="21"/>
  <c r="AE66" i="21" s="1"/>
  <c r="AF66" i="21" s="1"/>
  <c r="AG66" i="21" s="1"/>
  <c r="AH66" i="21" s="1"/>
  <c r="AI66" i="21" s="1"/>
  <c r="AJ66" i="21" s="1"/>
  <c r="V66" i="21"/>
  <c r="W66" i="21" s="1"/>
  <c r="X66" i="21" s="1"/>
  <c r="Y66" i="21" s="1"/>
  <c r="Z66" i="21" s="1"/>
  <c r="AA66" i="21" s="1"/>
  <c r="AB66" i="21" s="1"/>
  <c r="N66" i="21"/>
  <c r="O66" i="21" s="1"/>
  <c r="P66" i="21" s="1"/>
  <c r="Q66" i="21" s="1"/>
  <c r="R66" i="21" s="1"/>
  <c r="S66" i="21" s="1"/>
  <c r="T66" i="21" s="1"/>
  <c r="AL65" i="21"/>
  <c r="AM65" i="21" s="1"/>
  <c r="AN65" i="21" s="1"/>
  <c r="AO65" i="21" s="1"/>
  <c r="AP65" i="21" s="1"/>
  <c r="AQ65" i="21" s="1"/>
  <c r="AR65" i="21" s="1"/>
  <c r="AD65" i="21"/>
  <c r="AE65" i="21" s="1"/>
  <c r="AF65" i="21" s="1"/>
  <c r="AG65" i="21" s="1"/>
  <c r="AH65" i="21" s="1"/>
  <c r="AI65" i="21" s="1"/>
  <c r="AJ65" i="21" s="1"/>
  <c r="V65" i="21"/>
  <c r="W65" i="21" s="1"/>
  <c r="X65" i="21" s="1"/>
  <c r="Y65" i="21" s="1"/>
  <c r="Z65" i="21" s="1"/>
  <c r="AA65" i="21" s="1"/>
  <c r="AB65" i="21" s="1"/>
  <c r="P65" i="21"/>
  <c r="Q65" i="21" s="1"/>
  <c r="R65" i="21" s="1"/>
  <c r="S65" i="21" s="1"/>
  <c r="T65" i="21" s="1"/>
  <c r="N65" i="21"/>
  <c r="O65" i="21" s="1"/>
  <c r="AL64" i="21"/>
  <c r="AM64" i="21" s="1"/>
  <c r="AN64" i="21" s="1"/>
  <c r="AO64" i="21" s="1"/>
  <c r="AP64" i="21" s="1"/>
  <c r="AQ64" i="21" s="1"/>
  <c r="AR64" i="21" s="1"/>
  <c r="AE64" i="21"/>
  <c r="AF64" i="21" s="1"/>
  <c r="AG64" i="21" s="1"/>
  <c r="AH64" i="21" s="1"/>
  <c r="AI64" i="21" s="1"/>
  <c r="AJ64" i="21" s="1"/>
  <c r="AD64" i="21"/>
  <c r="V64" i="21"/>
  <c r="W64" i="21" s="1"/>
  <c r="X64" i="21" s="1"/>
  <c r="Y64" i="21" s="1"/>
  <c r="Z64" i="21" s="1"/>
  <c r="AA64" i="21" s="1"/>
  <c r="AB64" i="21" s="1"/>
  <c r="N64" i="21"/>
  <c r="O64" i="21" s="1"/>
  <c r="P64" i="21" s="1"/>
  <c r="Q64" i="21" s="1"/>
  <c r="R64" i="21" s="1"/>
  <c r="S64" i="21" s="1"/>
  <c r="T64" i="21" s="1"/>
  <c r="AO63" i="21"/>
  <c r="AP63" i="21" s="1"/>
  <c r="AQ63" i="21" s="1"/>
  <c r="AR63" i="21" s="1"/>
  <c r="AL63" i="21"/>
  <c r="AM63" i="21" s="1"/>
  <c r="AN63" i="21" s="1"/>
  <c r="AE63" i="21"/>
  <c r="AF63" i="21" s="1"/>
  <c r="AG63" i="21" s="1"/>
  <c r="AH63" i="21" s="1"/>
  <c r="AI63" i="21" s="1"/>
  <c r="AJ63" i="21" s="1"/>
  <c r="AD63" i="21"/>
  <c r="V63" i="21"/>
  <c r="W63" i="21" s="1"/>
  <c r="X63" i="21" s="1"/>
  <c r="Y63" i="21" s="1"/>
  <c r="Z63" i="21" s="1"/>
  <c r="AA63" i="21" s="1"/>
  <c r="AB63" i="21" s="1"/>
  <c r="N63" i="21"/>
  <c r="O63" i="21" s="1"/>
  <c r="P63" i="21" s="1"/>
  <c r="Q63" i="21" s="1"/>
  <c r="R63" i="21" s="1"/>
  <c r="S63" i="21" s="1"/>
  <c r="T63" i="21" s="1"/>
  <c r="AL62" i="21"/>
  <c r="AM62" i="21" s="1"/>
  <c r="AN62" i="21" s="1"/>
  <c r="AO62" i="21" s="1"/>
  <c r="AP62" i="21" s="1"/>
  <c r="AQ62" i="21" s="1"/>
  <c r="AR62" i="21" s="1"/>
  <c r="AD62" i="21"/>
  <c r="AE62" i="21" s="1"/>
  <c r="AF62" i="21" s="1"/>
  <c r="AG62" i="21" s="1"/>
  <c r="AH62" i="21" s="1"/>
  <c r="AI62" i="21" s="1"/>
  <c r="AJ62" i="21" s="1"/>
  <c r="X62" i="21"/>
  <c r="Y62" i="21" s="1"/>
  <c r="Z62" i="21" s="1"/>
  <c r="AA62" i="21" s="1"/>
  <c r="AB62" i="21" s="1"/>
  <c r="V62" i="21"/>
  <c r="W62" i="21" s="1"/>
  <c r="N62" i="21"/>
  <c r="O62" i="21" s="1"/>
  <c r="P62" i="21" s="1"/>
  <c r="Q62" i="21" s="1"/>
  <c r="R62" i="21" s="1"/>
  <c r="S62" i="21" s="1"/>
  <c r="T62" i="21" s="1"/>
  <c r="AL61" i="21"/>
  <c r="AM61" i="21" s="1"/>
  <c r="AN61" i="21" s="1"/>
  <c r="AO61" i="21" s="1"/>
  <c r="AP61" i="21" s="1"/>
  <c r="AQ61" i="21" s="1"/>
  <c r="AR61" i="21" s="1"/>
  <c r="AD61" i="21"/>
  <c r="AE61" i="21" s="1"/>
  <c r="AF61" i="21" s="1"/>
  <c r="AG61" i="21" s="1"/>
  <c r="AH61" i="21" s="1"/>
  <c r="AI61" i="21" s="1"/>
  <c r="AJ61" i="21" s="1"/>
  <c r="V61" i="21"/>
  <c r="W61" i="21" s="1"/>
  <c r="X61" i="21" s="1"/>
  <c r="Y61" i="21" s="1"/>
  <c r="Z61" i="21" s="1"/>
  <c r="AA61" i="21" s="1"/>
  <c r="AB61" i="21" s="1"/>
  <c r="N61" i="21"/>
  <c r="O61" i="21" s="1"/>
  <c r="P61" i="21" s="1"/>
  <c r="Q61" i="21" s="1"/>
  <c r="R61" i="21" s="1"/>
  <c r="S61" i="21" s="1"/>
  <c r="T61" i="21" s="1"/>
  <c r="AL60" i="21"/>
  <c r="AM60" i="21" s="1"/>
  <c r="AN60" i="21" s="1"/>
  <c r="AO60" i="21" s="1"/>
  <c r="AP60" i="21" s="1"/>
  <c r="AQ60" i="21" s="1"/>
  <c r="AR60" i="21" s="1"/>
  <c r="AD60" i="21"/>
  <c r="AE60" i="21" s="1"/>
  <c r="AF60" i="21" s="1"/>
  <c r="AG60" i="21" s="1"/>
  <c r="AH60" i="21" s="1"/>
  <c r="AI60" i="21" s="1"/>
  <c r="AJ60" i="21" s="1"/>
  <c r="V60" i="21"/>
  <c r="W60" i="21" s="1"/>
  <c r="X60" i="21" s="1"/>
  <c r="Y60" i="21" s="1"/>
  <c r="Z60" i="21" s="1"/>
  <c r="AA60" i="21" s="1"/>
  <c r="AB60" i="21" s="1"/>
  <c r="N60" i="21"/>
  <c r="O60" i="21" s="1"/>
  <c r="P60" i="21" s="1"/>
  <c r="R60" i="21" s="1"/>
  <c r="S60" i="21" s="1"/>
  <c r="T60" i="21" s="1"/>
  <c r="AL59" i="21"/>
  <c r="AM59" i="21" s="1"/>
  <c r="AN59" i="21" s="1"/>
  <c r="AO59" i="21" s="1"/>
  <c r="AP59" i="21" s="1"/>
  <c r="AQ59" i="21" s="1"/>
  <c r="AR59" i="21" s="1"/>
  <c r="AF59" i="21"/>
  <c r="AG59" i="21" s="1"/>
  <c r="AH59" i="21" s="1"/>
  <c r="AI59" i="21" s="1"/>
  <c r="AJ59" i="21" s="1"/>
  <c r="AD59" i="21"/>
  <c r="AE59" i="21" s="1"/>
  <c r="V59" i="21"/>
  <c r="W59" i="21" s="1"/>
  <c r="X59" i="21" s="1"/>
  <c r="Y59" i="21" s="1"/>
  <c r="Z59" i="21" s="1"/>
  <c r="AA59" i="21" s="1"/>
  <c r="AB59" i="21" s="1"/>
  <c r="N59" i="21"/>
  <c r="O59" i="21" s="1"/>
  <c r="P59" i="21" s="1"/>
  <c r="Q59" i="21" s="1"/>
  <c r="R59" i="21" s="1"/>
  <c r="S59" i="21" s="1"/>
  <c r="T59" i="21" s="1"/>
  <c r="AL58" i="21"/>
  <c r="AM58" i="21" s="1"/>
  <c r="AN58" i="21" s="1"/>
  <c r="AO58" i="21" s="1"/>
  <c r="AP58" i="21" s="1"/>
  <c r="AQ58" i="21" s="1"/>
  <c r="AR58" i="21" s="1"/>
  <c r="AD58" i="21"/>
  <c r="AE58" i="21" s="1"/>
  <c r="AF58" i="21" s="1"/>
  <c r="AG58" i="21" s="1"/>
  <c r="AH58" i="21" s="1"/>
  <c r="AI58" i="21" s="1"/>
  <c r="AJ58" i="21" s="1"/>
  <c r="V58" i="21"/>
  <c r="W58" i="21" s="1"/>
  <c r="X58" i="21" s="1"/>
  <c r="Y58" i="21" s="1"/>
  <c r="Z58" i="21" s="1"/>
  <c r="AA58" i="21" s="1"/>
  <c r="AB58" i="21" s="1"/>
  <c r="O58" i="21"/>
  <c r="P58" i="21" s="1"/>
  <c r="Q58" i="21" s="1"/>
  <c r="R58" i="21" s="1"/>
  <c r="S58" i="21" s="1"/>
  <c r="T58" i="21" s="1"/>
  <c r="N58" i="21"/>
  <c r="AL57" i="21"/>
  <c r="AM57" i="21" s="1"/>
  <c r="AN57" i="21" s="1"/>
  <c r="AO57" i="21" s="1"/>
  <c r="AP57" i="21" s="1"/>
  <c r="AQ57" i="21" s="1"/>
  <c r="AR57" i="21" s="1"/>
  <c r="AD57" i="21"/>
  <c r="AE57" i="21" s="1"/>
  <c r="AF57" i="21" s="1"/>
  <c r="AG57" i="21" s="1"/>
  <c r="AH57" i="21" s="1"/>
  <c r="AI57" i="21" s="1"/>
  <c r="AJ57" i="21" s="1"/>
  <c r="V57" i="21"/>
  <c r="W57" i="21" s="1"/>
  <c r="X57" i="21" s="1"/>
  <c r="Y57" i="21" s="1"/>
  <c r="Z57" i="21" s="1"/>
  <c r="AA57" i="21" s="1"/>
  <c r="AB57" i="21" s="1"/>
  <c r="N57" i="21"/>
  <c r="O57" i="21" s="1"/>
  <c r="P57" i="21" s="1"/>
  <c r="Q57" i="21" s="1"/>
  <c r="R57" i="21" s="1"/>
  <c r="S57" i="21" s="1"/>
  <c r="T57" i="21" s="1"/>
  <c r="AN56" i="21"/>
  <c r="AO56" i="21" s="1"/>
  <c r="AP56" i="21" s="1"/>
  <c r="AQ56" i="21" s="1"/>
  <c r="AR56" i="21" s="1"/>
  <c r="AL56" i="21"/>
  <c r="AM56" i="21" s="1"/>
  <c r="AE56" i="21"/>
  <c r="AF56" i="21" s="1"/>
  <c r="AG56" i="21" s="1"/>
  <c r="AH56" i="21" s="1"/>
  <c r="AI56" i="21" s="1"/>
  <c r="AJ56" i="21" s="1"/>
  <c r="AD56" i="21"/>
  <c r="V56" i="21"/>
  <c r="W56" i="21" s="1"/>
  <c r="X56" i="21" s="1"/>
  <c r="Y56" i="21" s="1"/>
  <c r="Z56" i="21" s="1"/>
  <c r="AA56" i="21" s="1"/>
  <c r="AB56" i="21" s="1"/>
  <c r="N56" i="21"/>
  <c r="O56" i="21" s="1"/>
  <c r="P56" i="21" s="1"/>
  <c r="Q56" i="21" s="1"/>
  <c r="R56" i="21" s="1"/>
  <c r="S56" i="21" s="1"/>
  <c r="T56" i="21" s="1"/>
  <c r="AO55" i="21"/>
  <c r="AP55" i="21" s="1"/>
  <c r="AQ55" i="21" s="1"/>
  <c r="AR55" i="21" s="1"/>
  <c r="AL55" i="21"/>
  <c r="AM55" i="21" s="1"/>
  <c r="AN55" i="21" s="1"/>
  <c r="AD55" i="21"/>
  <c r="AE55" i="21" s="1"/>
  <c r="AF55" i="21" s="1"/>
  <c r="AG55" i="21" s="1"/>
  <c r="AH55" i="21" s="1"/>
  <c r="AI55" i="21" s="1"/>
  <c r="AJ55" i="21" s="1"/>
  <c r="AA55" i="21"/>
  <c r="AB55" i="21" s="1"/>
  <c r="V55" i="21"/>
  <c r="W55" i="21" s="1"/>
  <c r="X55" i="21" s="1"/>
  <c r="Y55" i="21" s="1"/>
  <c r="Z55" i="21" s="1"/>
  <c r="N55" i="21"/>
  <c r="O55" i="21" s="1"/>
  <c r="P55" i="21" s="1"/>
  <c r="Q55" i="21" s="1"/>
  <c r="R55" i="21" s="1"/>
  <c r="S55" i="21" s="1"/>
  <c r="T55" i="21" s="1"/>
  <c r="AL54" i="21"/>
  <c r="AM54" i="21" s="1"/>
  <c r="AN54" i="21" s="1"/>
  <c r="AO54" i="21" s="1"/>
  <c r="AP54" i="21" s="1"/>
  <c r="AQ54" i="21" s="1"/>
  <c r="AR54" i="21" s="1"/>
  <c r="AD54" i="21"/>
  <c r="AE54" i="21" s="1"/>
  <c r="AF54" i="21" s="1"/>
  <c r="AG54" i="21" s="1"/>
  <c r="AH54" i="21" s="1"/>
  <c r="AI54" i="21" s="1"/>
  <c r="AJ54" i="21" s="1"/>
  <c r="V54" i="21"/>
  <c r="W54" i="21" s="1"/>
  <c r="X54" i="21" s="1"/>
  <c r="Y54" i="21" s="1"/>
  <c r="Z54" i="21" s="1"/>
  <c r="AA54" i="21" s="1"/>
  <c r="AB54" i="21" s="1"/>
  <c r="N54" i="21"/>
  <c r="O54" i="21" s="1"/>
  <c r="P54" i="21" s="1"/>
  <c r="Q54" i="21" s="1"/>
  <c r="R54" i="21" s="1"/>
  <c r="S54" i="21" s="1"/>
  <c r="T54" i="21" s="1"/>
  <c r="AM53" i="21"/>
  <c r="AN53" i="21" s="1"/>
  <c r="AO53" i="21" s="1"/>
  <c r="AP53" i="21" s="1"/>
  <c r="AQ53" i="21" s="1"/>
  <c r="AR53" i="21" s="1"/>
  <c r="AL53" i="21"/>
  <c r="AD53" i="21"/>
  <c r="AE53" i="21" s="1"/>
  <c r="AF53" i="21" s="1"/>
  <c r="AG53" i="21" s="1"/>
  <c r="AH53" i="21" s="1"/>
  <c r="AI53" i="21" s="1"/>
  <c r="AJ53" i="21" s="1"/>
  <c r="V53" i="21"/>
  <c r="W53" i="21" s="1"/>
  <c r="X53" i="21" s="1"/>
  <c r="Y53" i="21" s="1"/>
  <c r="Z53" i="21" s="1"/>
  <c r="AA53" i="21" s="1"/>
  <c r="AB53" i="21" s="1"/>
  <c r="P53" i="21"/>
  <c r="Q53" i="21" s="1"/>
  <c r="R53" i="21" s="1"/>
  <c r="S53" i="21" s="1"/>
  <c r="T53" i="21" s="1"/>
  <c r="N53" i="21"/>
  <c r="O53" i="21" s="1"/>
  <c r="AL52" i="21"/>
  <c r="AM52" i="21" s="1"/>
  <c r="AN52" i="21" s="1"/>
  <c r="AO52" i="21" s="1"/>
  <c r="AP52" i="21" s="1"/>
  <c r="AQ52" i="21" s="1"/>
  <c r="AR52" i="21" s="1"/>
  <c r="AD52" i="21"/>
  <c r="AE52" i="21" s="1"/>
  <c r="AF52" i="21" s="1"/>
  <c r="AG52" i="21" s="1"/>
  <c r="AH52" i="21" s="1"/>
  <c r="AI52" i="21" s="1"/>
  <c r="AJ52" i="21" s="1"/>
  <c r="V52" i="21"/>
  <c r="W52" i="21" s="1"/>
  <c r="X52" i="21" s="1"/>
  <c r="Y52" i="21" s="1"/>
  <c r="Z52" i="21" s="1"/>
  <c r="AA52" i="21" s="1"/>
  <c r="AB52" i="21" s="1"/>
  <c r="N52" i="21"/>
  <c r="O52" i="21" s="1"/>
  <c r="P52" i="21" s="1"/>
  <c r="Q52" i="21" s="1"/>
  <c r="R52" i="21" s="1"/>
  <c r="S52" i="21" s="1"/>
  <c r="T52" i="21" s="1"/>
  <c r="AO51" i="21"/>
  <c r="AP51" i="21" s="1"/>
  <c r="AQ51" i="21" s="1"/>
  <c r="AR51" i="21" s="1"/>
  <c r="AL51" i="21"/>
  <c r="AM51" i="21" s="1"/>
  <c r="AN51" i="21" s="1"/>
  <c r="AD51" i="21"/>
  <c r="AE51" i="21" s="1"/>
  <c r="AF51" i="21" s="1"/>
  <c r="AG51" i="21" s="1"/>
  <c r="AH51" i="21" s="1"/>
  <c r="AI51" i="21" s="1"/>
  <c r="AJ51" i="21" s="1"/>
  <c r="V51" i="21"/>
  <c r="W51" i="21" s="1"/>
  <c r="X51" i="21" s="1"/>
  <c r="Y51" i="21" s="1"/>
  <c r="Z51" i="21" s="1"/>
  <c r="AA51" i="21" s="1"/>
  <c r="AB51" i="21" s="1"/>
  <c r="O51" i="21"/>
  <c r="P51" i="21" s="1"/>
  <c r="Q51" i="21" s="1"/>
  <c r="R51" i="21" s="1"/>
  <c r="S51" i="21" s="1"/>
  <c r="T51" i="21" s="1"/>
  <c r="N51" i="21"/>
  <c r="AL50" i="21"/>
  <c r="AM50" i="21" s="1"/>
  <c r="AN50" i="21" s="1"/>
  <c r="AO50" i="21" s="1"/>
  <c r="AP50" i="21" s="1"/>
  <c r="AQ50" i="21" s="1"/>
  <c r="AR50" i="21" s="1"/>
  <c r="AD50" i="21"/>
  <c r="AE50" i="21" s="1"/>
  <c r="AF50" i="21" s="1"/>
  <c r="AG50" i="21" s="1"/>
  <c r="AH50" i="21" s="1"/>
  <c r="AI50" i="21" s="1"/>
  <c r="AJ50" i="21" s="1"/>
  <c r="W50" i="21"/>
  <c r="X50" i="21" s="1"/>
  <c r="Y50" i="21" s="1"/>
  <c r="Z50" i="21" s="1"/>
  <c r="AA50" i="21" s="1"/>
  <c r="AB50" i="21" s="1"/>
  <c r="V50" i="21"/>
  <c r="N50" i="21"/>
  <c r="O50" i="21" s="1"/>
  <c r="P50" i="21" s="1"/>
  <c r="Q50" i="21" s="1"/>
  <c r="R50" i="21" s="1"/>
  <c r="S50" i="21" s="1"/>
  <c r="T50" i="21" s="1"/>
  <c r="AL49" i="21"/>
  <c r="AM49" i="21" s="1"/>
  <c r="AN49" i="21" s="1"/>
  <c r="AO49" i="21" s="1"/>
  <c r="AP49" i="21" s="1"/>
  <c r="AQ49" i="21" s="1"/>
  <c r="AR49" i="21" s="1"/>
  <c r="AD49" i="21"/>
  <c r="AE49" i="21" s="1"/>
  <c r="AF49" i="21" s="1"/>
  <c r="AG49" i="21" s="1"/>
  <c r="AH49" i="21" s="1"/>
  <c r="AI49" i="21" s="1"/>
  <c r="AJ49" i="21" s="1"/>
  <c r="V49" i="21"/>
  <c r="W49" i="21" s="1"/>
  <c r="X49" i="21" s="1"/>
  <c r="Y49" i="21" s="1"/>
  <c r="Z49" i="21" s="1"/>
  <c r="AA49" i="21" s="1"/>
  <c r="AB49" i="21" s="1"/>
  <c r="O49" i="21"/>
  <c r="P49" i="21" s="1"/>
  <c r="Q49" i="21" s="1"/>
  <c r="R49" i="21" s="1"/>
  <c r="S49" i="21" s="1"/>
  <c r="T49" i="21" s="1"/>
  <c r="N49" i="21"/>
  <c r="AL48" i="21"/>
  <c r="AM48" i="21" s="1"/>
  <c r="AN48" i="21" s="1"/>
  <c r="AO48" i="21" s="1"/>
  <c r="AP48" i="21" s="1"/>
  <c r="AQ48" i="21" s="1"/>
  <c r="AR48" i="21" s="1"/>
  <c r="AD48" i="21"/>
  <c r="AE48" i="21" s="1"/>
  <c r="AF48" i="21" s="1"/>
  <c r="AG48" i="21" s="1"/>
  <c r="AH48" i="21" s="1"/>
  <c r="AI48" i="21" s="1"/>
  <c r="AJ48" i="21" s="1"/>
  <c r="V48" i="21"/>
  <c r="W48" i="21" s="1"/>
  <c r="X48" i="21" s="1"/>
  <c r="Y48" i="21" s="1"/>
  <c r="Z48" i="21" s="1"/>
  <c r="AA48" i="21" s="1"/>
  <c r="AB48" i="21" s="1"/>
  <c r="N48" i="21"/>
  <c r="O48" i="21" s="1"/>
  <c r="P48" i="21" s="1"/>
  <c r="Q48" i="21" s="1"/>
  <c r="R48" i="21" s="1"/>
  <c r="S48" i="21" s="1"/>
  <c r="T48" i="21" s="1"/>
  <c r="AL47" i="21"/>
  <c r="AM47" i="21" s="1"/>
  <c r="AN47" i="21" s="1"/>
  <c r="AO47" i="21" s="1"/>
  <c r="AP47" i="21" s="1"/>
  <c r="AQ47" i="21" s="1"/>
  <c r="AR47" i="21" s="1"/>
  <c r="AD47" i="21"/>
  <c r="AE47" i="21" s="1"/>
  <c r="AF47" i="21" s="1"/>
  <c r="AG47" i="21" s="1"/>
  <c r="AH47" i="21" s="1"/>
  <c r="AI47" i="21" s="1"/>
  <c r="AJ47" i="21" s="1"/>
  <c r="AB47" i="21"/>
  <c r="V47" i="21"/>
  <c r="W47" i="21" s="1"/>
  <c r="X47" i="21" s="1"/>
  <c r="Y47" i="21" s="1"/>
  <c r="Z47" i="21" s="1"/>
  <c r="AA47" i="21" s="1"/>
  <c r="N47" i="21"/>
  <c r="O47" i="21" s="1"/>
  <c r="P47" i="21" s="1"/>
  <c r="Q47" i="21" s="1"/>
  <c r="R47" i="21" s="1"/>
  <c r="S47" i="21" s="1"/>
  <c r="T47" i="21" s="1"/>
  <c r="AM46" i="21"/>
  <c r="AN46" i="21" s="1"/>
  <c r="AO46" i="21" s="1"/>
  <c r="AP46" i="21" s="1"/>
  <c r="AQ46" i="21" s="1"/>
  <c r="AR46" i="21" s="1"/>
  <c r="AL46" i="21"/>
  <c r="AD46" i="21"/>
  <c r="AE46" i="21" s="1"/>
  <c r="AF46" i="21" s="1"/>
  <c r="AG46" i="21" s="1"/>
  <c r="AH46" i="21" s="1"/>
  <c r="AI46" i="21" s="1"/>
  <c r="AJ46" i="21" s="1"/>
  <c r="V46" i="21"/>
  <c r="W46" i="21" s="1"/>
  <c r="X46" i="21" s="1"/>
  <c r="Y46" i="21" s="1"/>
  <c r="Z46" i="21" s="1"/>
  <c r="AA46" i="21" s="1"/>
  <c r="AB46" i="21" s="1"/>
  <c r="N46" i="21"/>
  <c r="O46" i="21" s="1"/>
  <c r="P46" i="21" s="1"/>
  <c r="Q46" i="21" s="1"/>
  <c r="R46" i="21" s="1"/>
  <c r="S46" i="21" s="1"/>
  <c r="T46" i="21" s="1"/>
  <c r="AL45" i="21"/>
  <c r="AM45" i="21" s="1"/>
  <c r="AN45" i="21" s="1"/>
  <c r="AO45" i="21" s="1"/>
  <c r="AP45" i="21" s="1"/>
  <c r="AQ45" i="21" s="1"/>
  <c r="AR45" i="21" s="1"/>
  <c r="AE45" i="21"/>
  <c r="AF45" i="21" s="1"/>
  <c r="AG45" i="21" s="1"/>
  <c r="AH45" i="21" s="1"/>
  <c r="AI45" i="21" s="1"/>
  <c r="AJ45" i="21" s="1"/>
  <c r="AD45" i="21"/>
  <c r="V45" i="21"/>
  <c r="W45" i="21" s="1"/>
  <c r="X45" i="21" s="1"/>
  <c r="Y45" i="21" s="1"/>
  <c r="Z45" i="21" s="1"/>
  <c r="AA45" i="21" s="1"/>
  <c r="AB45" i="21" s="1"/>
  <c r="N45" i="21"/>
  <c r="O45" i="21" s="1"/>
  <c r="P45" i="21" s="1"/>
  <c r="Q45" i="21" s="1"/>
  <c r="R45" i="21" s="1"/>
  <c r="S45" i="21" s="1"/>
  <c r="T45" i="21" s="1"/>
  <c r="AL44" i="21"/>
  <c r="AM44" i="21" s="1"/>
  <c r="AN44" i="21" s="1"/>
  <c r="AO44" i="21" s="1"/>
  <c r="AP44" i="21" s="1"/>
  <c r="AQ44" i="21" s="1"/>
  <c r="AR44" i="21" s="1"/>
  <c r="AF44" i="21"/>
  <c r="AG44" i="21" s="1"/>
  <c r="AH44" i="21" s="1"/>
  <c r="AI44" i="21" s="1"/>
  <c r="AJ44" i="21" s="1"/>
  <c r="AD44" i="21"/>
  <c r="AE44" i="21" s="1"/>
  <c r="V44" i="21"/>
  <c r="W44" i="21" s="1"/>
  <c r="X44" i="21" s="1"/>
  <c r="Y44" i="21" s="1"/>
  <c r="Z44" i="21" s="1"/>
  <c r="AA44" i="21" s="1"/>
  <c r="AB44" i="21" s="1"/>
  <c r="N44" i="21"/>
  <c r="O44" i="21" s="1"/>
  <c r="P44" i="21" s="1"/>
  <c r="Q44" i="21" s="1"/>
  <c r="R44" i="21" s="1"/>
  <c r="S44" i="21" s="1"/>
  <c r="T44" i="21" s="1"/>
  <c r="AN43" i="21"/>
  <c r="AO43" i="21" s="1"/>
  <c r="AP43" i="21" s="1"/>
  <c r="AQ43" i="21" s="1"/>
  <c r="AR43" i="21" s="1"/>
  <c r="AL43" i="21"/>
  <c r="AM43" i="21" s="1"/>
  <c r="AD43" i="21"/>
  <c r="AE43" i="21" s="1"/>
  <c r="AF43" i="21" s="1"/>
  <c r="AG43" i="21" s="1"/>
  <c r="AH43" i="21" s="1"/>
  <c r="AI43" i="21" s="1"/>
  <c r="AJ43" i="21" s="1"/>
  <c r="V43" i="21"/>
  <c r="W43" i="21" s="1"/>
  <c r="X43" i="21" s="1"/>
  <c r="Y43" i="21" s="1"/>
  <c r="Z43" i="21" s="1"/>
  <c r="AA43" i="21" s="1"/>
  <c r="AB43" i="21" s="1"/>
  <c r="N43" i="21"/>
  <c r="O43" i="21" s="1"/>
  <c r="P43" i="21" s="1"/>
  <c r="Q43" i="21" s="1"/>
  <c r="R43" i="21" s="1"/>
  <c r="S43" i="21" s="1"/>
  <c r="T43" i="21" s="1"/>
  <c r="AL42" i="21"/>
  <c r="AM42" i="21" s="1"/>
  <c r="AN42" i="21" s="1"/>
  <c r="AO42" i="21" s="1"/>
  <c r="AP42" i="21" s="1"/>
  <c r="AQ42" i="21" s="1"/>
  <c r="AR42" i="21" s="1"/>
  <c r="AD42" i="21"/>
  <c r="AE42" i="21" s="1"/>
  <c r="AF42" i="21" s="1"/>
  <c r="AG42" i="21" s="1"/>
  <c r="AH42" i="21" s="1"/>
  <c r="AI42" i="21" s="1"/>
  <c r="AJ42" i="21" s="1"/>
  <c r="V42" i="21"/>
  <c r="W42" i="21" s="1"/>
  <c r="X42" i="21" s="1"/>
  <c r="Y42" i="21" s="1"/>
  <c r="Z42" i="21" s="1"/>
  <c r="AA42" i="21" s="1"/>
  <c r="AB42" i="21" s="1"/>
  <c r="N42" i="21"/>
  <c r="O42" i="21" s="1"/>
  <c r="P42" i="21" s="1"/>
  <c r="Q42" i="21" s="1"/>
  <c r="R42" i="21" s="1"/>
  <c r="S42" i="21" s="1"/>
  <c r="T42" i="21" s="1"/>
  <c r="AL41" i="21"/>
  <c r="AM41" i="21" s="1"/>
  <c r="AN41" i="21" s="1"/>
  <c r="AO41" i="21" s="1"/>
  <c r="AP41" i="21" s="1"/>
  <c r="AQ41" i="21" s="1"/>
  <c r="AR41" i="21" s="1"/>
  <c r="AD41" i="21"/>
  <c r="AE41" i="21" s="1"/>
  <c r="AF41" i="21" s="1"/>
  <c r="AG41" i="21" s="1"/>
  <c r="AH41" i="21" s="1"/>
  <c r="AI41" i="21" s="1"/>
  <c r="AJ41" i="21" s="1"/>
  <c r="V41" i="21"/>
  <c r="W41" i="21" s="1"/>
  <c r="X41" i="21" s="1"/>
  <c r="Y41" i="21" s="1"/>
  <c r="Z41" i="21" s="1"/>
  <c r="AA41" i="21" s="1"/>
  <c r="AB41" i="21" s="1"/>
  <c r="N41" i="21"/>
  <c r="O41" i="21" s="1"/>
  <c r="P41" i="21" s="1"/>
  <c r="Q41" i="21" s="1"/>
  <c r="R41" i="21" s="1"/>
  <c r="S41" i="21" s="1"/>
  <c r="T41" i="21" s="1"/>
  <c r="AL40" i="21"/>
  <c r="AM40" i="21" s="1"/>
  <c r="AN40" i="21" s="1"/>
  <c r="AO40" i="21" s="1"/>
  <c r="AP40" i="21" s="1"/>
  <c r="AQ40" i="21" s="1"/>
  <c r="AR40" i="21" s="1"/>
  <c r="AF40" i="21"/>
  <c r="AG40" i="21" s="1"/>
  <c r="AH40" i="21" s="1"/>
  <c r="AI40" i="21" s="1"/>
  <c r="AJ40" i="21" s="1"/>
  <c r="AD40" i="21"/>
  <c r="AE40" i="21" s="1"/>
  <c r="V40" i="21"/>
  <c r="W40" i="21" s="1"/>
  <c r="X40" i="21" s="1"/>
  <c r="Y40" i="21" s="1"/>
  <c r="Z40" i="21" s="1"/>
  <c r="AA40" i="21" s="1"/>
  <c r="AB40" i="21" s="1"/>
  <c r="P40" i="21"/>
  <c r="Q40" i="21" s="1"/>
  <c r="R40" i="21" s="1"/>
  <c r="S40" i="21" s="1"/>
  <c r="T40" i="21" s="1"/>
  <c r="N40" i="21"/>
  <c r="O40" i="21" s="1"/>
  <c r="AL39" i="21"/>
  <c r="AM39" i="21" s="1"/>
  <c r="AN39" i="21" s="1"/>
  <c r="AO39" i="21" s="1"/>
  <c r="AP39" i="21" s="1"/>
  <c r="AQ39" i="21" s="1"/>
  <c r="AR39" i="21" s="1"/>
  <c r="AE39" i="21"/>
  <c r="AF39" i="21" s="1"/>
  <c r="AG39" i="21" s="1"/>
  <c r="AH39" i="21" s="1"/>
  <c r="AI39" i="21" s="1"/>
  <c r="AJ39" i="21" s="1"/>
  <c r="AD39" i="21"/>
  <c r="V39" i="21"/>
  <c r="W39" i="21" s="1"/>
  <c r="X39" i="21" s="1"/>
  <c r="Y39" i="21" s="1"/>
  <c r="Z39" i="21" s="1"/>
  <c r="AA39" i="21" s="1"/>
  <c r="AB39" i="21" s="1"/>
  <c r="O39" i="21"/>
  <c r="P39" i="21" s="1"/>
  <c r="Q39" i="21" s="1"/>
  <c r="R39" i="21" s="1"/>
  <c r="S39" i="21" s="1"/>
  <c r="T39" i="21" s="1"/>
  <c r="N39" i="21"/>
  <c r="AL38" i="21"/>
  <c r="AM38" i="21" s="1"/>
  <c r="AN38" i="21" s="1"/>
  <c r="AO38" i="21" s="1"/>
  <c r="AP38" i="21" s="1"/>
  <c r="AQ38" i="21" s="1"/>
  <c r="AR38" i="21" s="1"/>
  <c r="AD38" i="21"/>
  <c r="AE38" i="21" s="1"/>
  <c r="AF38" i="21" s="1"/>
  <c r="AG38" i="21" s="1"/>
  <c r="AH38" i="21" s="1"/>
  <c r="AI38" i="21" s="1"/>
  <c r="AJ38" i="21" s="1"/>
  <c r="V38" i="21"/>
  <c r="W38" i="21" s="1"/>
  <c r="X38" i="21" s="1"/>
  <c r="Y38" i="21" s="1"/>
  <c r="Z38" i="21" s="1"/>
  <c r="AA38" i="21" s="1"/>
  <c r="AB38" i="21" s="1"/>
  <c r="T38" i="21"/>
  <c r="N38" i="21"/>
  <c r="O38" i="21" s="1"/>
  <c r="P38" i="21" s="1"/>
  <c r="Q38" i="21" s="1"/>
  <c r="R38" i="21" s="1"/>
  <c r="S38" i="21" s="1"/>
  <c r="AL37" i="21"/>
  <c r="AM37" i="21" s="1"/>
  <c r="AN37" i="21" s="1"/>
  <c r="AO37" i="21" s="1"/>
  <c r="AP37" i="21" s="1"/>
  <c r="AQ37" i="21" s="1"/>
  <c r="AR37" i="21" s="1"/>
  <c r="AE37" i="21"/>
  <c r="AF37" i="21" s="1"/>
  <c r="AG37" i="21" s="1"/>
  <c r="AH37" i="21" s="1"/>
  <c r="AI37" i="21" s="1"/>
  <c r="AJ37" i="21" s="1"/>
  <c r="AD37" i="21"/>
  <c r="V37" i="21"/>
  <c r="W37" i="21" s="1"/>
  <c r="X37" i="21" s="1"/>
  <c r="Y37" i="21" s="1"/>
  <c r="Z37" i="21" s="1"/>
  <c r="AA37" i="21" s="1"/>
  <c r="AB37" i="21" s="1"/>
  <c r="N37" i="21"/>
  <c r="O37" i="21" s="1"/>
  <c r="P37" i="21" s="1"/>
  <c r="Q37" i="21" s="1"/>
  <c r="R37" i="21" s="1"/>
  <c r="S37" i="21" s="1"/>
  <c r="T37" i="21" s="1"/>
  <c r="AL36" i="21"/>
  <c r="AM36" i="21" s="1"/>
  <c r="AN36" i="21" s="1"/>
  <c r="AO36" i="21" s="1"/>
  <c r="AP36" i="21" s="1"/>
  <c r="AQ36" i="21" s="1"/>
  <c r="AR36" i="21" s="1"/>
  <c r="AD36" i="21"/>
  <c r="AE36" i="21" s="1"/>
  <c r="AF36" i="21" s="1"/>
  <c r="AG36" i="21" s="1"/>
  <c r="AH36" i="21" s="1"/>
  <c r="AI36" i="21" s="1"/>
  <c r="AJ36" i="21" s="1"/>
  <c r="V36" i="21"/>
  <c r="W36" i="21" s="1"/>
  <c r="X36" i="21" s="1"/>
  <c r="Y36" i="21" s="1"/>
  <c r="Z36" i="21" s="1"/>
  <c r="AA36" i="21" s="1"/>
  <c r="AB36" i="21" s="1"/>
  <c r="N36" i="21"/>
  <c r="P36" i="21" s="1"/>
  <c r="R36" i="21" s="1"/>
  <c r="S36" i="21" s="1"/>
  <c r="T36" i="21" s="1"/>
  <c r="AL35" i="21"/>
  <c r="AM35" i="21" s="1"/>
  <c r="AN35" i="21" s="1"/>
  <c r="AO35" i="21" s="1"/>
  <c r="AP35" i="21" s="1"/>
  <c r="AQ35" i="21" s="1"/>
  <c r="AR35" i="21" s="1"/>
  <c r="AD35" i="21"/>
  <c r="AE35" i="21" s="1"/>
  <c r="AF35" i="21" s="1"/>
  <c r="AG35" i="21" s="1"/>
  <c r="AH35" i="21" s="1"/>
  <c r="AI35" i="21" s="1"/>
  <c r="AJ35" i="21" s="1"/>
  <c r="Z35" i="21"/>
  <c r="AA35" i="21" s="1"/>
  <c r="AB35" i="21" s="1"/>
  <c r="V35" i="21"/>
  <c r="W35" i="21" s="1"/>
  <c r="X35" i="21" s="1"/>
  <c r="Y35" i="21" s="1"/>
  <c r="N35" i="21"/>
  <c r="O35" i="21" s="1"/>
  <c r="P35" i="21" s="1"/>
  <c r="Q35" i="21" s="1"/>
  <c r="R35" i="21" s="1"/>
  <c r="S35" i="21" s="1"/>
  <c r="T35" i="21" s="1"/>
  <c r="AM34" i="21"/>
  <c r="AN34" i="21" s="1"/>
  <c r="AO34" i="21" s="1"/>
  <c r="AP34" i="21" s="1"/>
  <c r="AQ34" i="21" s="1"/>
  <c r="AR34" i="21" s="1"/>
  <c r="AL34" i="21"/>
  <c r="AD34" i="21"/>
  <c r="AE34" i="21" s="1"/>
  <c r="AF34" i="21" s="1"/>
  <c r="AG34" i="21" s="1"/>
  <c r="AH34" i="21" s="1"/>
  <c r="AI34" i="21" s="1"/>
  <c r="AJ34" i="21" s="1"/>
  <c r="V34" i="21"/>
  <c r="W34" i="21" s="1"/>
  <c r="X34" i="21" s="1"/>
  <c r="Y34" i="21" s="1"/>
  <c r="Z34" i="21" s="1"/>
  <c r="AA34" i="21" s="1"/>
  <c r="AB34" i="21" s="1"/>
  <c r="N34" i="21"/>
  <c r="O34" i="21" s="1"/>
  <c r="P34" i="21" s="1"/>
  <c r="Q34" i="21" s="1"/>
  <c r="R34" i="21" s="1"/>
  <c r="S34" i="21" s="1"/>
  <c r="T34" i="21" s="1"/>
  <c r="AL33" i="21"/>
  <c r="AM33" i="21" s="1"/>
  <c r="AN33" i="21" s="1"/>
  <c r="AO33" i="21" s="1"/>
  <c r="AP33" i="21" s="1"/>
  <c r="AQ33" i="21" s="1"/>
  <c r="AR33" i="21" s="1"/>
  <c r="AE33" i="21"/>
  <c r="AF33" i="21" s="1"/>
  <c r="AG33" i="21" s="1"/>
  <c r="AH33" i="21" s="1"/>
  <c r="AI33" i="21" s="1"/>
  <c r="AJ33" i="21" s="1"/>
  <c r="AD33" i="21"/>
  <c r="V33" i="21"/>
  <c r="W33" i="21" s="1"/>
  <c r="X33" i="21" s="1"/>
  <c r="Y33" i="21" s="1"/>
  <c r="Z33" i="21" s="1"/>
  <c r="AA33" i="21" s="1"/>
  <c r="AB33" i="21" s="1"/>
  <c r="N33" i="21"/>
  <c r="O33" i="21" s="1"/>
  <c r="P33" i="21" s="1"/>
  <c r="Q33" i="21" s="1"/>
  <c r="R33" i="21" s="1"/>
  <c r="S33" i="21" s="1"/>
  <c r="T33" i="21" s="1"/>
  <c r="AL32" i="21"/>
  <c r="AM32" i="21" s="1"/>
  <c r="AN32" i="21" s="1"/>
  <c r="AO32" i="21" s="1"/>
  <c r="AP32" i="21" s="1"/>
  <c r="AQ32" i="21" s="1"/>
  <c r="AR32" i="21" s="1"/>
  <c r="AD32" i="21"/>
  <c r="AE32" i="21" s="1"/>
  <c r="AF32" i="21" s="1"/>
  <c r="AG32" i="21" s="1"/>
  <c r="AH32" i="21" s="1"/>
  <c r="AI32" i="21" s="1"/>
  <c r="AJ32" i="21" s="1"/>
  <c r="V32" i="21"/>
  <c r="W32" i="21" s="1"/>
  <c r="X32" i="21" s="1"/>
  <c r="Y32" i="21" s="1"/>
  <c r="Z32" i="21" s="1"/>
  <c r="AA32" i="21" s="1"/>
  <c r="AB32" i="21" s="1"/>
  <c r="P32" i="21"/>
  <c r="Q32" i="21" s="1"/>
  <c r="R32" i="21" s="1"/>
  <c r="S32" i="21" s="1"/>
  <c r="T32" i="21" s="1"/>
  <c r="N32" i="21"/>
  <c r="O32" i="21" s="1"/>
  <c r="AL31" i="21"/>
  <c r="AM31" i="21" s="1"/>
  <c r="AN31" i="21" s="1"/>
  <c r="AO31" i="21" s="1"/>
  <c r="AP31" i="21" s="1"/>
  <c r="AQ31" i="21" s="1"/>
  <c r="AR31" i="21" s="1"/>
  <c r="AI31" i="21"/>
  <c r="AJ31" i="21" s="1"/>
  <c r="AD31" i="21"/>
  <c r="AE31" i="21" s="1"/>
  <c r="AF31" i="21" s="1"/>
  <c r="AG31" i="21" s="1"/>
  <c r="AH31" i="21" s="1"/>
  <c r="V31" i="21"/>
  <c r="W31" i="21" s="1"/>
  <c r="X31" i="21" s="1"/>
  <c r="Y31" i="21" s="1"/>
  <c r="Z31" i="21" s="1"/>
  <c r="AA31" i="21" s="1"/>
  <c r="AB31" i="21" s="1"/>
  <c r="O31" i="21"/>
  <c r="P31" i="21" s="1"/>
  <c r="Q31" i="21" s="1"/>
  <c r="R31" i="21" s="1"/>
  <c r="S31" i="21" s="1"/>
  <c r="T31" i="21" s="1"/>
  <c r="N31" i="21"/>
  <c r="AL30" i="21"/>
  <c r="AM30" i="21" s="1"/>
  <c r="AN30" i="21" s="1"/>
  <c r="AO30" i="21" s="1"/>
  <c r="AP30" i="21" s="1"/>
  <c r="AQ30" i="21" s="1"/>
  <c r="AR30" i="21" s="1"/>
  <c r="AD30" i="21"/>
  <c r="AE30" i="21" s="1"/>
  <c r="AF30" i="21" s="1"/>
  <c r="AG30" i="21" s="1"/>
  <c r="AH30" i="21" s="1"/>
  <c r="AI30" i="21" s="1"/>
  <c r="AJ30" i="21" s="1"/>
  <c r="W30" i="21"/>
  <c r="X30" i="21" s="1"/>
  <c r="Y30" i="21" s="1"/>
  <c r="Z30" i="21" s="1"/>
  <c r="AA30" i="21" s="1"/>
  <c r="AB30" i="21" s="1"/>
  <c r="V30" i="21"/>
  <c r="N30" i="21"/>
  <c r="O30" i="21" s="1"/>
  <c r="P30" i="21" s="1"/>
  <c r="Q30" i="21" s="1"/>
  <c r="R30" i="21" s="1"/>
  <c r="S30" i="21" s="1"/>
  <c r="T30" i="21" s="1"/>
  <c r="AL29" i="21"/>
  <c r="AM29" i="21" s="1"/>
  <c r="AN29" i="21" s="1"/>
  <c r="AO29" i="21" s="1"/>
  <c r="AP29" i="21" s="1"/>
  <c r="AQ29" i="21" s="1"/>
  <c r="AR29" i="21" s="1"/>
  <c r="AD29" i="21"/>
  <c r="AE29" i="21" s="1"/>
  <c r="AF29" i="21" s="1"/>
  <c r="AG29" i="21" s="1"/>
  <c r="AH29" i="21" s="1"/>
  <c r="AI29" i="21" s="1"/>
  <c r="AJ29" i="21" s="1"/>
  <c r="V29" i="21"/>
  <c r="W29" i="21" s="1"/>
  <c r="X29" i="21" s="1"/>
  <c r="Y29" i="21" s="1"/>
  <c r="Z29" i="21" s="1"/>
  <c r="AA29" i="21" s="1"/>
  <c r="AB29" i="21" s="1"/>
  <c r="N29" i="21"/>
  <c r="O29" i="21" s="1"/>
  <c r="P29" i="21" s="1"/>
  <c r="Q29" i="21" s="1"/>
  <c r="R29" i="21" s="1"/>
  <c r="S29" i="21" s="1"/>
  <c r="T29" i="21" s="1"/>
  <c r="AM28" i="21"/>
  <c r="AN28" i="21" s="1"/>
  <c r="AO28" i="21" s="1"/>
  <c r="AP28" i="21" s="1"/>
  <c r="AQ28" i="21" s="1"/>
  <c r="AR28" i="21" s="1"/>
  <c r="AL28" i="21"/>
  <c r="AD28" i="21"/>
  <c r="AE28" i="21" s="1"/>
  <c r="AF28" i="21" s="1"/>
  <c r="AG28" i="21" s="1"/>
  <c r="AH28" i="21" s="1"/>
  <c r="AI28" i="21" s="1"/>
  <c r="AJ28" i="21" s="1"/>
  <c r="W28" i="21"/>
  <c r="X28" i="21" s="1"/>
  <c r="Y28" i="21" s="1"/>
  <c r="Z28" i="21" s="1"/>
  <c r="AA28" i="21" s="1"/>
  <c r="AB28" i="21" s="1"/>
  <c r="V28" i="21"/>
  <c r="N28" i="21"/>
  <c r="O28" i="21" s="1"/>
  <c r="P28" i="21" s="1"/>
  <c r="Q28" i="21" s="1"/>
  <c r="R28" i="21" s="1"/>
  <c r="S28" i="21" s="1"/>
  <c r="T28" i="21" s="1"/>
  <c r="AN27" i="21"/>
  <c r="AO27" i="21" s="1"/>
  <c r="AP27" i="21" s="1"/>
  <c r="AQ27" i="21" s="1"/>
  <c r="AR27" i="21" s="1"/>
  <c r="AL27" i="21"/>
  <c r="AM27" i="21" s="1"/>
  <c r="AD27" i="21"/>
  <c r="AE27" i="21" s="1"/>
  <c r="AF27" i="21" s="1"/>
  <c r="AG27" i="21" s="1"/>
  <c r="AH27" i="21" s="1"/>
  <c r="AI27" i="21" s="1"/>
  <c r="AJ27" i="21" s="1"/>
  <c r="X27" i="21"/>
  <c r="Y27" i="21" s="1"/>
  <c r="Z27" i="21" s="1"/>
  <c r="AA27" i="21" s="1"/>
  <c r="AB27" i="21" s="1"/>
  <c r="V27" i="21"/>
  <c r="W27" i="21" s="1"/>
  <c r="N27" i="21"/>
  <c r="O27" i="21" s="1"/>
  <c r="P27" i="21" s="1"/>
  <c r="Q27" i="21" s="1"/>
  <c r="R27" i="21" s="1"/>
  <c r="S27" i="21" s="1"/>
  <c r="T27" i="21" s="1"/>
  <c r="AL26" i="21"/>
  <c r="AM26" i="21" s="1"/>
  <c r="AN26" i="21" s="1"/>
  <c r="AO26" i="21" s="1"/>
  <c r="AP26" i="21" s="1"/>
  <c r="AQ26" i="21" s="1"/>
  <c r="AR26" i="21" s="1"/>
  <c r="AD26" i="21"/>
  <c r="AE26" i="21" s="1"/>
  <c r="AF26" i="21" s="1"/>
  <c r="AG26" i="21" s="1"/>
  <c r="AH26" i="21" s="1"/>
  <c r="AI26" i="21" s="1"/>
  <c r="AJ26" i="21" s="1"/>
  <c r="V26" i="21"/>
  <c r="W26" i="21" s="1"/>
  <c r="X26" i="21" s="1"/>
  <c r="Y26" i="21" s="1"/>
  <c r="Z26" i="21" s="1"/>
  <c r="AA26" i="21" s="1"/>
  <c r="AB26" i="21" s="1"/>
  <c r="N26" i="21"/>
  <c r="O26" i="21" s="1"/>
  <c r="P26" i="21" s="1"/>
  <c r="R26" i="21" s="1"/>
  <c r="S26" i="21" s="1"/>
  <c r="T26" i="21" s="1"/>
  <c r="AL25" i="21"/>
  <c r="AM25" i="21" s="1"/>
  <c r="AN25" i="21" s="1"/>
  <c r="AO25" i="21" s="1"/>
  <c r="AP25" i="21" s="1"/>
  <c r="AQ25" i="21" s="1"/>
  <c r="AR25" i="21" s="1"/>
  <c r="AE25" i="21"/>
  <c r="AF25" i="21" s="1"/>
  <c r="AG25" i="21" s="1"/>
  <c r="AH25" i="21" s="1"/>
  <c r="AI25" i="21" s="1"/>
  <c r="AJ25" i="21" s="1"/>
  <c r="AD25" i="21"/>
  <c r="V25" i="21"/>
  <c r="W25" i="21" s="1"/>
  <c r="X25" i="21" s="1"/>
  <c r="Y25" i="21" s="1"/>
  <c r="Z25" i="21" s="1"/>
  <c r="AA25" i="21" s="1"/>
  <c r="AB25" i="21" s="1"/>
  <c r="N25" i="21"/>
  <c r="O25" i="21" s="1"/>
  <c r="P25" i="21" s="1"/>
  <c r="Q25" i="21" s="1"/>
  <c r="R25" i="21" s="1"/>
  <c r="S25" i="21" s="1"/>
  <c r="T25" i="21" s="1"/>
  <c r="AL24" i="21"/>
  <c r="AM24" i="21" s="1"/>
  <c r="AN24" i="21" s="1"/>
  <c r="AO24" i="21" s="1"/>
  <c r="AP24" i="21" s="1"/>
  <c r="AQ24" i="21" s="1"/>
  <c r="AR24" i="21" s="1"/>
  <c r="AD24" i="21"/>
  <c r="AE24" i="21" s="1"/>
  <c r="AF24" i="21" s="1"/>
  <c r="AG24" i="21" s="1"/>
  <c r="AH24" i="21" s="1"/>
  <c r="AI24" i="21" s="1"/>
  <c r="AJ24" i="21" s="1"/>
  <c r="V24" i="21"/>
  <c r="W24" i="21" s="1"/>
  <c r="X24" i="21" s="1"/>
  <c r="Y24" i="21" s="1"/>
  <c r="Z24" i="21" s="1"/>
  <c r="AA24" i="21" s="1"/>
  <c r="AB24" i="21" s="1"/>
  <c r="N24" i="21"/>
  <c r="O24" i="21" s="1"/>
  <c r="P24" i="21" s="1"/>
  <c r="Q24" i="21" s="1"/>
  <c r="R24" i="21" s="1"/>
  <c r="S24" i="21" s="1"/>
  <c r="T24" i="21" s="1"/>
  <c r="AL23" i="21"/>
  <c r="AM23" i="21" s="1"/>
  <c r="AN23" i="21" s="1"/>
  <c r="AO23" i="21" s="1"/>
  <c r="AP23" i="21" s="1"/>
  <c r="AQ23" i="21" s="1"/>
  <c r="AR23" i="21" s="1"/>
  <c r="AD23" i="21"/>
  <c r="AE23" i="21" s="1"/>
  <c r="AF23" i="21" s="1"/>
  <c r="AG23" i="21" s="1"/>
  <c r="AH23" i="21" s="1"/>
  <c r="AI23" i="21" s="1"/>
  <c r="AJ23" i="21" s="1"/>
  <c r="V23" i="21"/>
  <c r="W23" i="21" s="1"/>
  <c r="X23" i="21" s="1"/>
  <c r="Y23" i="21" s="1"/>
  <c r="Z23" i="21" s="1"/>
  <c r="AA23" i="21" s="1"/>
  <c r="AB23" i="21" s="1"/>
  <c r="N23" i="21"/>
  <c r="O23" i="21" s="1"/>
  <c r="P23" i="21" s="1"/>
  <c r="Q23" i="21" s="1"/>
  <c r="R23" i="21" s="1"/>
  <c r="S23" i="21" s="1"/>
  <c r="T23" i="21" s="1"/>
  <c r="AM22" i="21"/>
  <c r="AN22" i="21" s="1"/>
  <c r="AO22" i="21" s="1"/>
  <c r="AP22" i="21" s="1"/>
  <c r="AQ22" i="21" s="1"/>
  <c r="AR22" i="21" s="1"/>
  <c r="AL22" i="21"/>
  <c r="AD22" i="21"/>
  <c r="AE22" i="21" s="1"/>
  <c r="AF22" i="21" s="1"/>
  <c r="AG22" i="21" s="1"/>
  <c r="AH22" i="21" s="1"/>
  <c r="AI22" i="21" s="1"/>
  <c r="AJ22" i="21" s="1"/>
  <c r="V22" i="21"/>
  <c r="W22" i="21" s="1"/>
  <c r="X22" i="21" s="1"/>
  <c r="Y22" i="21" s="1"/>
  <c r="Z22" i="21" s="1"/>
  <c r="AA22" i="21" s="1"/>
  <c r="AB22" i="21" s="1"/>
  <c r="N22" i="21"/>
  <c r="O22" i="21" s="1"/>
  <c r="P22" i="21" s="1"/>
  <c r="Q22" i="21" s="1"/>
  <c r="R22" i="21" s="1"/>
  <c r="S22" i="21" s="1"/>
  <c r="T22" i="21" s="1"/>
  <c r="AL21" i="21"/>
  <c r="AM21" i="21" s="1"/>
  <c r="AN21" i="21" s="1"/>
  <c r="AO21" i="21" s="1"/>
  <c r="AP21" i="21" s="1"/>
  <c r="AQ21" i="21" s="1"/>
  <c r="AR21" i="21" s="1"/>
  <c r="AD21" i="21"/>
  <c r="AE21" i="21" s="1"/>
  <c r="AF21" i="21" s="1"/>
  <c r="AG21" i="21" s="1"/>
  <c r="AH21" i="21" s="1"/>
  <c r="AI21" i="21" s="1"/>
  <c r="AJ21" i="21" s="1"/>
  <c r="V21" i="21"/>
  <c r="W21" i="21" s="1"/>
  <c r="X21" i="21" s="1"/>
  <c r="Y21" i="21" s="1"/>
  <c r="Z21" i="21" s="1"/>
  <c r="AA21" i="21" s="1"/>
  <c r="AB21" i="21" s="1"/>
  <c r="N21" i="21"/>
  <c r="O21" i="21" s="1"/>
  <c r="P21" i="21" s="1"/>
  <c r="Q21" i="21" s="1"/>
  <c r="R21" i="21" s="1"/>
  <c r="S21" i="21" s="1"/>
  <c r="T21" i="21" s="1"/>
  <c r="AM20" i="21"/>
  <c r="AN20" i="21" s="1"/>
  <c r="AO20" i="21" s="1"/>
  <c r="AP20" i="21" s="1"/>
  <c r="AQ20" i="21" s="1"/>
  <c r="AR20" i="21" s="1"/>
  <c r="AL20" i="21"/>
  <c r="AD20" i="21"/>
  <c r="AE20" i="21" s="1"/>
  <c r="AF20" i="21" s="1"/>
  <c r="AG20" i="21" s="1"/>
  <c r="AH20" i="21" s="1"/>
  <c r="AI20" i="21" s="1"/>
  <c r="AJ20" i="21" s="1"/>
  <c r="W20" i="21"/>
  <c r="X20" i="21" s="1"/>
  <c r="Y20" i="21" s="1"/>
  <c r="Z20" i="21" s="1"/>
  <c r="AA20" i="21" s="1"/>
  <c r="AB20" i="21" s="1"/>
  <c r="V20" i="21"/>
  <c r="N20" i="21"/>
  <c r="O20" i="21" s="1"/>
  <c r="P20" i="21" s="1"/>
  <c r="Q20" i="21" s="1"/>
  <c r="R20" i="21" s="1"/>
  <c r="S20" i="21" s="1"/>
  <c r="T20" i="21" s="1"/>
  <c r="AL19" i="21"/>
  <c r="AM19" i="21" s="1"/>
  <c r="AN19" i="21" s="1"/>
  <c r="AO19" i="21" s="1"/>
  <c r="AP19" i="21" s="1"/>
  <c r="AQ19" i="21" s="1"/>
  <c r="AR19" i="21" s="1"/>
  <c r="AE19" i="21"/>
  <c r="AF19" i="21" s="1"/>
  <c r="AG19" i="21" s="1"/>
  <c r="AH19" i="21" s="1"/>
  <c r="AI19" i="21" s="1"/>
  <c r="AJ19" i="21" s="1"/>
  <c r="AD19" i="21"/>
  <c r="V19" i="21"/>
  <c r="W19" i="21" s="1"/>
  <c r="X19" i="21" s="1"/>
  <c r="Y19" i="21" s="1"/>
  <c r="Z19" i="21" s="1"/>
  <c r="AA19" i="21" s="1"/>
  <c r="AB19" i="21" s="1"/>
  <c r="P19" i="21"/>
  <c r="R19" i="21" s="1"/>
  <c r="S19" i="21" s="1"/>
  <c r="T19" i="21" s="1"/>
  <c r="N19" i="21"/>
  <c r="AM18" i="21"/>
  <c r="AN18" i="21" s="1"/>
  <c r="AO18" i="21" s="1"/>
  <c r="AP18" i="21" s="1"/>
  <c r="AQ18" i="21" s="1"/>
  <c r="AR18" i="21" s="1"/>
  <c r="AL18" i="21"/>
  <c r="AD18" i="21"/>
  <c r="AE18" i="21" s="1"/>
  <c r="AF18" i="21" s="1"/>
  <c r="AG18" i="21" s="1"/>
  <c r="AH18" i="21" s="1"/>
  <c r="AI18" i="21" s="1"/>
  <c r="AJ18" i="21" s="1"/>
  <c r="W18" i="21"/>
  <c r="X18" i="21" s="1"/>
  <c r="Y18" i="21" s="1"/>
  <c r="Z18" i="21" s="1"/>
  <c r="AA18" i="21" s="1"/>
  <c r="AB18" i="21" s="1"/>
  <c r="V18" i="21"/>
  <c r="N18" i="21"/>
  <c r="O18" i="21" s="1"/>
  <c r="P18" i="21" s="1"/>
  <c r="Q18" i="21" s="1"/>
  <c r="R18" i="21" s="1"/>
  <c r="S18" i="21" s="1"/>
  <c r="T18" i="21" s="1"/>
  <c r="AL17" i="21"/>
  <c r="AM17" i="21" s="1"/>
  <c r="AN17" i="21" s="1"/>
  <c r="AO17" i="21" s="1"/>
  <c r="AP17" i="21" s="1"/>
  <c r="AQ17" i="21" s="1"/>
  <c r="AR17" i="21" s="1"/>
  <c r="AE17" i="21"/>
  <c r="AF17" i="21" s="1"/>
  <c r="AG17" i="21" s="1"/>
  <c r="AH17" i="21" s="1"/>
  <c r="AI17" i="21" s="1"/>
  <c r="AJ17" i="21" s="1"/>
  <c r="AD17" i="21"/>
  <c r="V17" i="21"/>
  <c r="W17" i="21" s="1"/>
  <c r="X17" i="21" s="1"/>
  <c r="Y17" i="21" s="1"/>
  <c r="Z17" i="21" s="1"/>
  <c r="AA17" i="21" s="1"/>
  <c r="AB17" i="21" s="1"/>
  <c r="N17" i="21"/>
  <c r="O17" i="21" s="1"/>
  <c r="P17" i="21" s="1"/>
  <c r="Q17" i="21" s="1"/>
  <c r="R17" i="21" s="1"/>
  <c r="S17" i="21" s="1"/>
  <c r="T17" i="21" s="1"/>
  <c r="AM16" i="21"/>
  <c r="AN16" i="21" s="1"/>
  <c r="AO16" i="21" s="1"/>
  <c r="AP16" i="21" s="1"/>
  <c r="AQ16" i="21" s="1"/>
  <c r="AR16" i="21" s="1"/>
  <c r="AL16" i="21"/>
  <c r="AD16" i="21"/>
  <c r="AE16" i="21" s="1"/>
  <c r="AF16" i="21" s="1"/>
  <c r="AG16" i="21" s="1"/>
  <c r="AH16" i="21" s="1"/>
  <c r="AI16" i="21" s="1"/>
  <c r="AJ16" i="21" s="1"/>
  <c r="W16" i="21"/>
  <c r="X16" i="21" s="1"/>
  <c r="Y16" i="21" s="1"/>
  <c r="Z16" i="21" s="1"/>
  <c r="AA16" i="21" s="1"/>
  <c r="AB16" i="21" s="1"/>
  <c r="V16" i="21"/>
  <c r="N16" i="21"/>
  <c r="AL15" i="21"/>
  <c r="AM15" i="21" s="1"/>
  <c r="AN15" i="21" s="1"/>
  <c r="AO15" i="21" s="1"/>
  <c r="AP15" i="21" s="1"/>
  <c r="AQ15" i="21" s="1"/>
  <c r="AR15" i="21" s="1"/>
  <c r="AE15" i="21"/>
  <c r="AF15" i="21" s="1"/>
  <c r="AG15" i="21" s="1"/>
  <c r="AH15" i="21" s="1"/>
  <c r="AI15" i="21" s="1"/>
  <c r="AJ15" i="21" s="1"/>
  <c r="AD15" i="21"/>
  <c r="V15" i="21"/>
  <c r="W15" i="21" s="1"/>
  <c r="X15" i="21" s="1"/>
  <c r="Y15" i="21" s="1"/>
  <c r="Z15" i="21" s="1"/>
  <c r="AA15" i="21" s="1"/>
  <c r="AB15" i="21" s="1"/>
  <c r="N15" i="21"/>
  <c r="O15" i="21" s="1"/>
  <c r="P15" i="21" s="1"/>
  <c r="Q15" i="21" s="1"/>
  <c r="R15" i="21" s="1"/>
  <c r="S15" i="21" s="1"/>
  <c r="T15" i="21" s="1"/>
  <c r="AM14" i="21"/>
  <c r="AN14" i="21" s="1"/>
  <c r="AO14" i="21" s="1"/>
  <c r="AP14" i="21" s="1"/>
  <c r="AQ14" i="21" s="1"/>
  <c r="AR14" i="21" s="1"/>
  <c r="AL14" i="21"/>
  <c r="AD14" i="21"/>
  <c r="AE14" i="21" s="1"/>
  <c r="AF14" i="21" s="1"/>
  <c r="AG14" i="21" s="1"/>
  <c r="AH14" i="21" s="1"/>
  <c r="AI14" i="21" s="1"/>
  <c r="AJ14" i="21" s="1"/>
  <c r="V14" i="21"/>
  <c r="W14" i="21" s="1"/>
  <c r="X14" i="21" s="1"/>
  <c r="Y14" i="21" s="1"/>
  <c r="Z14" i="21" s="1"/>
  <c r="AA14" i="21" s="1"/>
  <c r="AB14" i="21" s="1"/>
  <c r="N14" i="21"/>
  <c r="O14" i="21" s="1"/>
  <c r="P14" i="21" s="1"/>
  <c r="Q14" i="21" s="1"/>
  <c r="R14" i="21" s="1"/>
  <c r="S14" i="21" s="1"/>
  <c r="T14" i="21" s="1"/>
  <c r="AL13" i="21"/>
  <c r="AM13" i="21" s="1"/>
  <c r="AN13" i="21" s="1"/>
  <c r="AO13" i="21" s="1"/>
  <c r="AP13" i="21" s="1"/>
  <c r="AQ13" i="21" s="1"/>
  <c r="AR13" i="21" s="1"/>
  <c r="AD13" i="21"/>
  <c r="AE13" i="21" s="1"/>
  <c r="AF13" i="21" s="1"/>
  <c r="AG13" i="21" s="1"/>
  <c r="AH13" i="21" s="1"/>
  <c r="AI13" i="21" s="1"/>
  <c r="AJ13" i="21" s="1"/>
  <c r="V13" i="21"/>
  <c r="W13" i="21" s="1"/>
  <c r="X13" i="21" s="1"/>
  <c r="Y13" i="21" s="1"/>
  <c r="Z13" i="21" s="1"/>
  <c r="AA13" i="21" s="1"/>
  <c r="AB13" i="21" s="1"/>
  <c r="N13" i="21"/>
  <c r="O13" i="21" s="1"/>
  <c r="P13" i="21" s="1"/>
  <c r="Q13" i="21" s="1"/>
  <c r="R13" i="21" s="1"/>
  <c r="S13" i="21" s="1"/>
  <c r="T13" i="21" s="1"/>
  <c r="AM12" i="21"/>
  <c r="AN12" i="21" s="1"/>
  <c r="AO12" i="21" s="1"/>
  <c r="AP12" i="21" s="1"/>
  <c r="AQ12" i="21" s="1"/>
  <c r="AR12" i="21" s="1"/>
  <c r="AL12" i="21"/>
  <c r="AD12" i="21"/>
  <c r="AE12" i="21" s="1"/>
  <c r="AF12" i="21" s="1"/>
  <c r="AG12" i="21" s="1"/>
  <c r="AH12" i="21" s="1"/>
  <c r="AI12" i="21" s="1"/>
  <c r="AJ12" i="21" s="1"/>
  <c r="V12" i="21"/>
  <c r="W12" i="21" s="1"/>
  <c r="X12" i="21" s="1"/>
  <c r="Y12" i="21" s="1"/>
  <c r="Z12" i="21" s="1"/>
  <c r="AA12" i="21" s="1"/>
  <c r="AB12" i="21" s="1"/>
  <c r="N12" i="21"/>
  <c r="O12" i="21" s="1"/>
  <c r="P12" i="21" s="1"/>
  <c r="Q12" i="21" s="1"/>
  <c r="R12" i="21" s="1"/>
  <c r="S12" i="21" s="1"/>
  <c r="T12" i="21" s="1"/>
  <c r="AL11" i="21"/>
  <c r="AM11" i="21" s="1"/>
  <c r="AN11" i="21" s="1"/>
  <c r="AO11" i="21" s="1"/>
  <c r="AP11" i="21" s="1"/>
  <c r="AQ11" i="21" s="1"/>
  <c r="AR11" i="21" s="1"/>
  <c r="AD11" i="21"/>
  <c r="AE11" i="21" s="1"/>
  <c r="AF11" i="21" s="1"/>
  <c r="AG11" i="21" s="1"/>
  <c r="AH11" i="21" s="1"/>
  <c r="AI11" i="21" s="1"/>
  <c r="AJ11" i="21" s="1"/>
  <c r="V11" i="21"/>
  <c r="W11" i="21" s="1"/>
  <c r="X11" i="21" s="1"/>
  <c r="Y11" i="21" s="1"/>
  <c r="Z11" i="21" s="1"/>
  <c r="AA11" i="21" s="1"/>
  <c r="AB11" i="21" s="1"/>
  <c r="N11" i="21"/>
  <c r="O11" i="21" s="1"/>
  <c r="P11" i="21" s="1"/>
  <c r="Q11" i="21" s="1"/>
  <c r="R11" i="21" s="1"/>
  <c r="S11" i="21" s="1"/>
  <c r="T11" i="21" s="1"/>
  <c r="AL10" i="21"/>
  <c r="AE10" i="21"/>
  <c r="AD10" i="21"/>
  <c r="V10" i="21"/>
  <c r="O10" i="21"/>
  <c r="N10" i="21"/>
  <c r="BB5" i="21"/>
  <c r="BB5" i="16"/>
  <c r="BC11" i="20"/>
  <c r="BC12" i="20"/>
  <c r="BC13" i="20"/>
  <c r="BC14" i="20"/>
  <c r="BC15" i="20"/>
  <c r="BC16" i="20"/>
  <c r="BC17" i="20"/>
  <c r="BC18" i="20"/>
  <c r="BC19" i="20"/>
  <c r="BC20" i="20"/>
  <c r="BC21" i="20"/>
  <c r="BC22" i="20"/>
  <c r="BC23" i="20"/>
  <c r="BC24" i="20"/>
  <c r="BC25" i="20"/>
  <c r="BC26" i="20"/>
  <c r="BC27" i="20"/>
  <c r="BC28" i="20"/>
  <c r="BC29" i="20"/>
  <c r="BC30" i="20"/>
  <c r="BC31" i="20"/>
  <c r="BC32" i="20"/>
  <c r="BC33" i="20"/>
  <c r="BC34" i="20"/>
  <c r="BC35" i="20"/>
  <c r="BC36" i="20"/>
  <c r="BC37" i="20"/>
  <c r="BC38" i="20"/>
  <c r="BC39" i="20"/>
  <c r="BC40" i="20"/>
  <c r="BC41" i="20"/>
  <c r="BC42" i="20"/>
  <c r="BC43" i="20"/>
  <c r="BC44" i="20"/>
  <c r="BC45" i="20"/>
  <c r="BC46" i="20"/>
  <c r="BC47" i="20"/>
  <c r="BC48" i="20"/>
  <c r="BC49" i="20"/>
  <c r="BC50" i="20"/>
  <c r="BC51" i="20"/>
  <c r="BC52" i="20"/>
  <c r="BC53" i="20"/>
  <c r="BC54" i="20"/>
  <c r="BC55" i="20"/>
  <c r="BC56" i="20"/>
  <c r="BC57" i="20"/>
  <c r="BC58" i="20"/>
  <c r="BC59" i="20"/>
  <c r="BC60" i="20"/>
  <c r="BC61" i="20"/>
  <c r="BC62" i="20"/>
  <c r="BC63" i="20"/>
  <c r="BC64" i="20"/>
  <c r="BC65" i="20"/>
  <c r="BC66" i="20"/>
  <c r="BC67" i="20"/>
  <c r="BC68" i="20"/>
  <c r="BC69" i="20"/>
  <c r="BC70" i="20"/>
  <c r="BC71" i="20"/>
  <c r="BC72" i="20"/>
  <c r="BC73" i="20"/>
  <c r="BC10" i="20"/>
  <c r="BB5" i="20"/>
  <c r="AS74" i="20"/>
  <c r="AK74" i="20"/>
  <c r="AC74" i="20"/>
  <c r="U74" i="20"/>
  <c r="M74" i="20"/>
  <c r="E74" i="20"/>
  <c r="AT73" i="20"/>
  <c r="AU73" i="20" s="1"/>
  <c r="AV73" i="20" s="1"/>
  <c r="AW73" i="20" s="1"/>
  <c r="AX73" i="20" s="1"/>
  <c r="AY73" i="20" s="1"/>
  <c r="AZ73" i="20" s="1"/>
  <c r="AL73" i="20"/>
  <c r="AM73" i="20" s="1"/>
  <c r="AN73" i="20" s="1"/>
  <c r="AO73" i="20" s="1"/>
  <c r="AP73" i="20" s="1"/>
  <c r="AQ73" i="20" s="1"/>
  <c r="AR73" i="20" s="1"/>
  <c r="AD73" i="20"/>
  <c r="AE73" i="20" s="1"/>
  <c r="AF73" i="20" s="1"/>
  <c r="AG73" i="20" s="1"/>
  <c r="AH73" i="20" s="1"/>
  <c r="AI73" i="20" s="1"/>
  <c r="AJ73" i="20" s="1"/>
  <c r="V73" i="20"/>
  <c r="W73" i="20" s="1"/>
  <c r="X73" i="20" s="1"/>
  <c r="Y73" i="20" s="1"/>
  <c r="Z73" i="20" s="1"/>
  <c r="AA73" i="20" s="1"/>
  <c r="AB73" i="20" s="1"/>
  <c r="N73" i="20"/>
  <c r="O73" i="20" s="1"/>
  <c r="P73" i="20" s="1"/>
  <c r="Q73" i="20" s="1"/>
  <c r="R73" i="20" s="1"/>
  <c r="S73" i="20" s="1"/>
  <c r="T73" i="20" s="1"/>
  <c r="F73" i="20"/>
  <c r="G73" i="20" s="1"/>
  <c r="H73" i="20" s="1"/>
  <c r="I73" i="20" s="1"/>
  <c r="J73" i="20" s="1"/>
  <c r="K73" i="20" s="1"/>
  <c r="L73" i="20" s="1"/>
  <c r="AT72" i="20"/>
  <c r="AU72" i="20" s="1"/>
  <c r="AV72" i="20" s="1"/>
  <c r="AW72" i="20" s="1"/>
  <c r="AX72" i="20" s="1"/>
  <c r="AY72" i="20" s="1"/>
  <c r="AZ72" i="20" s="1"/>
  <c r="AL72" i="20"/>
  <c r="AM72" i="20" s="1"/>
  <c r="AN72" i="20" s="1"/>
  <c r="AO72" i="20" s="1"/>
  <c r="AP72" i="20" s="1"/>
  <c r="AQ72" i="20" s="1"/>
  <c r="AR72" i="20" s="1"/>
  <c r="AD72" i="20"/>
  <c r="AE72" i="20" s="1"/>
  <c r="AF72" i="20" s="1"/>
  <c r="AG72" i="20" s="1"/>
  <c r="AH72" i="20" s="1"/>
  <c r="AI72" i="20" s="1"/>
  <c r="AJ72" i="20" s="1"/>
  <c r="V72" i="20"/>
  <c r="W72" i="20" s="1"/>
  <c r="X72" i="20" s="1"/>
  <c r="Y72" i="20" s="1"/>
  <c r="Z72" i="20" s="1"/>
  <c r="AA72" i="20" s="1"/>
  <c r="AB72" i="20" s="1"/>
  <c r="N72" i="20"/>
  <c r="O72" i="20" s="1"/>
  <c r="P72" i="20" s="1"/>
  <c r="Q72" i="20" s="1"/>
  <c r="R72" i="20" s="1"/>
  <c r="S72" i="20" s="1"/>
  <c r="T72" i="20" s="1"/>
  <c r="F72" i="20"/>
  <c r="AT71" i="20"/>
  <c r="AU71" i="20" s="1"/>
  <c r="AV71" i="20" s="1"/>
  <c r="AW71" i="20" s="1"/>
  <c r="AX71" i="20" s="1"/>
  <c r="AY71" i="20" s="1"/>
  <c r="AZ71" i="20" s="1"/>
  <c r="AL71" i="20"/>
  <c r="AM71" i="20" s="1"/>
  <c r="AN71" i="20" s="1"/>
  <c r="AO71" i="20" s="1"/>
  <c r="AP71" i="20" s="1"/>
  <c r="AQ71" i="20" s="1"/>
  <c r="AR71" i="20" s="1"/>
  <c r="AD71" i="20"/>
  <c r="AE71" i="20" s="1"/>
  <c r="AF71" i="20" s="1"/>
  <c r="AG71" i="20" s="1"/>
  <c r="AH71" i="20" s="1"/>
  <c r="AI71" i="20" s="1"/>
  <c r="AJ71" i="20" s="1"/>
  <c r="V71" i="20"/>
  <c r="W71" i="20" s="1"/>
  <c r="X71" i="20" s="1"/>
  <c r="Y71" i="20" s="1"/>
  <c r="Z71" i="20" s="1"/>
  <c r="AA71" i="20" s="1"/>
  <c r="AB71" i="20" s="1"/>
  <c r="N71" i="20"/>
  <c r="O71" i="20" s="1"/>
  <c r="P71" i="20" s="1"/>
  <c r="Q71" i="20" s="1"/>
  <c r="R71" i="20" s="1"/>
  <c r="S71" i="20" s="1"/>
  <c r="T71" i="20" s="1"/>
  <c r="F71" i="20"/>
  <c r="G71" i="20" s="1"/>
  <c r="H71" i="20" s="1"/>
  <c r="I71" i="20" s="1"/>
  <c r="J71" i="20" s="1"/>
  <c r="K71" i="20" s="1"/>
  <c r="AT70" i="20"/>
  <c r="AU70" i="20" s="1"/>
  <c r="AV70" i="20" s="1"/>
  <c r="AW70" i="20" s="1"/>
  <c r="AX70" i="20" s="1"/>
  <c r="AY70" i="20" s="1"/>
  <c r="AZ70" i="20" s="1"/>
  <c r="AL70" i="20"/>
  <c r="AM70" i="20" s="1"/>
  <c r="AN70" i="20" s="1"/>
  <c r="AO70" i="20" s="1"/>
  <c r="AP70" i="20" s="1"/>
  <c r="AQ70" i="20" s="1"/>
  <c r="AR70" i="20" s="1"/>
  <c r="AD70" i="20"/>
  <c r="AE70" i="20" s="1"/>
  <c r="AF70" i="20" s="1"/>
  <c r="AG70" i="20" s="1"/>
  <c r="AH70" i="20" s="1"/>
  <c r="AI70" i="20" s="1"/>
  <c r="AJ70" i="20" s="1"/>
  <c r="Z70" i="20"/>
  <c r="AA70" i="20" s="1"/>
  <c r="AB70" i="20" s="1"/>
  <c r="V70" i="20"/>
  <c r="W70" i="20" s="1"/>
  <c r="X70" i="20" s="1"/>
  <c r="Y70" i="20" s="1"/>
  <c r="N70" i="20"/>
  <c r="O70" i="20" s="1"/>
  <c r="P70" i="20" s="1"/>
  <c r="Q70" i="20" s="1"/>
  <c r="R70" i="20" s="1"/>
  <c r="S70" i="20" s="1"/>
  <c r="T70" i="20" s="1"/>
  <c r="F70" i="20"/>
  <c r="AT69" i="20"/>
  <c r="AU69" i="20" s="1"/>
  <c r="AV69" i="20" s="1"/>
  <c r="AW69" i="20" s="1"/>
  <c r="AX69" i="20" s="1"/>
  <c r="AY69" i="20" s="1"/>
  <c r="AZ69" i="20" s="1"/>
  <c r="AL69" i="20"/>
  <c r="AM69" i="20" s="1"/>
  <c r="AN69" i="20" s="1"/>
  <c r="AO69" i="20" s="1"/>
  <c r="AP69" i="20" s="1"/>
  <c r="AQ69" i="20" s="1"/>
  <c r="AR69" i="20" s="1"/>
  <c r="AD69" i="20"/>
  <c r="AE69" i="20" s="1"/>
  <c r="AF69" i="20" s="1"/>
  <c r="AG69" i="20" s="1"/>
  <c r="AH69" i="20" s="1"/>
  <c r="AI69" i="20" s="1"/>
  <c r="AJ69" i="20" s="1"/>
  <c r="V69" i="20"/>
  <c r="W69" i="20" s="1"/>
  <c r="X69" i="20" s="1"/>
  <c r="Y69" i="20" s="1"/>
  <c r="Z69" i="20" s="1"/>
  <c r="AA69" i="20" s="1"/>
  <c r="AB69" i="20" s="1"/>
  <c r="O69" i="20"/>
  <c r="P69" i="20" s="1"/>
  <c r="Q69" i="20" s="1"/>
  <c r="R69" i="20" s="1"/>
  <c r="S69" i="20" s="1"/>
  <c r="T69" i="20" s="1"/>
  <c r="F69" i="20"/>
  <c r="AT68" i="20"/>
  <c r="AU68" i="20" s="1"/>
  <c r="AV68" i="20" s="1"/>
  <c r="AW68" i="20" s="1"/>
  <c r="AX68" i="20" s="1"/>
  <c r="AY68" i="20" s="1"/>
  <c r="AZ68" i="20" s="1"/>
  <c r="AL68" i="20"/>
  <c r="AM68" i="20" s="1"/>
  <c r="AN68" i="20" s="1"/>
  <c r="AO68" i="20" s="1"/>
  <c r="AP68" i="20" s="1"/>
  <c r="AQ68" i="20" s="1"/>
  <c r="AR68" i="20" s="1"/>
  <c r="AD68" i="20"/>
  <c r="AE68" i="20" s="1"/>
  <c r="AF68" i="20" s="1"/>
  <c r="AG68" i="20" s="1"/>
  <c r="AH68" i="20" s="1"/>
  <c r="AI68" i="20" s="1"/>
  <c r="AJ68" i="20" s="1"/>
  <c r="V68" i="20"/>
  <c r="W68" i="20" s="1"/>
  <c r="X68" i="20" s="1"/>
  <c r="Y68" i="20" s="1"/>
  <c r="Z68" i="20" s="1"/>
  <c r="AA68" i="20" s="1"/>
  <c r="AB68" i="20" s="1"/>
  <c r="P68" i="20"/>
  <c r="Q68" i="20" s="1"/>
  <c r="R68" i="20" s="1"/>
  <c r="S68" i="20" s="1"/>
  <c r="T68" i="20" s="1"/>
  <c r="N68" i="20"/>
  <c r="O68" i="20" s="1"/>
  <c r="F68" i="20"/>
  <c r="AT67" i="20"/>
  <c r="AU67" i="20" s="1"/>
  <c r="AV67" i="20" s="1"/>
  <c r="AW67" i="20" s="1"/>
  <c r="AX67" i="20" s="1"/>
  <c r="AY67" i="20" s="1"/>
  <c r="AZ67" i="20" s="1"/>
  <c r="AL67" i="20"/>
  <c r="AM67" i="20" s="1"/>
  <c r="AN67" i="20" s="1"/>
  <c r="AO67" i="20" s="1"/>
  <c r="AP67" i="20" s="1"/>
  <c r="AQ67" i="20" s="1"/>
  <c r="AR67" i="20" s="1"/>
  <c r="AD67" i="20"/>
  <c r="AE67" i="20" s="1"/>
  <c r="AF67" i="20" s="1"/>
  <c r="AG67" i="20" s="1"/>
  <c r="AH67" i="20" s="1"/>
  <c r="AI67" i="20" s="1"/>
  <c r="AJ67" i="20" s="1"/>
  <c r="V67" i="20"/>
  <c r="W67" i="20" s="1"/>
  <c r="X67" i="20" s="1"/>
  <c r="Y67" i="20" s="1"/>
  <c r="Z67" i="20" s="1"/>
  <c r="AA67" i="20" s="1"/>
  <c r="AB67" i="20" s="1"/>
  <c r="N67" i="20"/>
  <c r="O67" i="20" s="1"/>
  <c r="P67" i="20" s="1"/>
  <c r="Q67" i="20" s="1"/>
  <c r="R67" i="20" s="1"/>
  <c r="S67" i="20" s="1"/>
  <c r="T67" i="20" s="1"/>
  <c r="F67" i="20"/>
  <c r="G67" i="20" s="1"/>
  <c r="H67" i="20" s="1"/>
  <c r="I67" i="20" s="1"/>
  <c r="J67" i="20" s="1"/>
  <c r="AT66" i="20"/>
  <c r="AU66" i="20" s="1"/>
  <c r="AV66" i="20" s="1"/>
  <c r="AW66" i="20" s="1"/>
  <c r="AX66" i="20" s="1"/>
  <c r="AY66" i="20" s="1"/>
  <c r="AZ66" i="20" s="1"/>
  <c r="AL66" i="20"/>
  <c r="AM66" i="20" s="1"/>
  <c r="AN66" i="20" s="1"/>
  <c r="AO66" i="20" s="1"/>
  <c r="AP66" i="20" s="1"/>
  <c r="AQ66" i="20" s="1"/>
  <c r="AR66" i="20" s="1"/>
  <c r="AD66" i="20"/>
  <c r="AE66" i="20" s="1"/>
  <c r="AF66" i="20" s="1"/>
  <c r="AG66" i="20" s="1"/>
  <c r="AH66" i="20" s="1"/>
  <c r="AI66" i="20" s="1"/>
  <c r="AJ66" i="20" s="1"/>
  <c r="V66" i="20"/>
  <c r="W66" i="20" s="1"/>
  <c r="X66" i="20" s="1"/>
  <c r="Y66" i="20" s="1"/>
  <c r="Z66" i="20" s="1"/>
  <c r="AA66" i="20" s="1"/>
  <c r="AB66" i="20" s="1"/>
  <c r="N66" i="20"/>
  <c r="O66" i="20" s="1"/>
  <c r="P66" i="20" s="1"/>
  <c r="Q66" i="20" s="1"/>
  <c r="R66" i="20" s="1"/>
  <c r="S66" i="20" s="1"/>
  <c r="T66" i="20" s="1"/>
  <c r="F66" i="20"/>
  <c r="AT65" i="20"/>
  <c r="AU65" i="20" s="1"/>
  <c r="AV65" i="20" s="1"/>
  <c r="AW65" i="20" s="1"/>
  <c r="AX65" i="20" s="1"/>
  <c r="AY65" i="20" s="1"/>
  <c r="AZ65" i="20" s="1"/>
  <c r="AL65" i="20"/>
  <c r="AM65" i="20" s="1"/>
  <c r="AN65" i="20" s="1"/>
  <c r="AO65" i="20" s="1"/>
  <c r="AP65" i="20" s="1"/>
  <c r="AQ65" i="20" s="1"/>
  <c r="AR65" i="20" s="1"/>
  <c r="AD65" i="20"/>
  <c r="AE65" i="20" s="1"/>
  <c r="AF65" i="20" s="1"/>
  <c r="AG65" i="20" s="1"/>
  <c r="AH65" i="20" s="1"/>
  <c r="AI65" i="20" s="1"/>
  <c r="AJ65" i="20" s="1"/>
  <c r="V65" i="20"/>
  <c r="W65" i="20" s="1"/>
  <c r="X65" i="20" s="1"/>
  <c r="Y65" i="20" s="1"/>
  <c r="Z65" i="20" s="1"/>
  <c r="AA65" i="20" s="1"/>
  <c r="AB65" i="20" s="1"/>
  <c r="N65" i="20"/>
  <c r="O65" i="20" s="1"/>
  <c r="P65" i="20" s="1"/>
  <c r="Q65" i="20" s="1"/>
  <c r="R65" i="20" s="1"/>
  <c r="S65" i="20" s="1"/>
  <c r="T65" i="20" s="1"/>
  <c r="F65" i="20"/>
  <c r="AT64" i="20"/>
  <c r="AU64" i="20" s="1"/>
  <c r="AV64" i="20" s="1"/>
  <c r="AW64" i="20" s="1"/>
  <c r="AX64" i="20" s="1"/>
  <c r="AY64" i="20" s="1"/>
  <c r="AZ64" i="20" s="1"/>
  <c r="AL64" i="20"/>
  <c r="AM64" i="20" s="1"/>
  <c r="AN64" i="20" s="1"/>
  <c r="AO64" i="20" s="1"/>
  <c r="AP64" i="20" s="1"/>
  <c r="AQ64" i="20" s="1"/>
  <c r="AR64" i="20" s="1"/>
  <c r="AD64" i="20"/>
  <c r="AE64" i="20" s="1"/>
  <c r="AF64" i="20" s="1"/>
  <c r="AG64" i="20" s="1"/>
  <c r="AH64" i="20" s="1"/>
  <c r="AI64" i="20" s="1"/>
  <c r="AJ64" i="20" s="1"/>
  <c r="V64" i="20"/>
  <c r="W64" i="20" s="1"/>
  <c r="X64" i="20" s="1"/>
  <c r="Y64" i="20" s="1"/>
  <c r="Z64" i="20" s="1"/>
  <c r="AA64" i="20" s="1"/>
  <c r="AB64" i="20" s="1"/>
  <c r="N64" i="20"/>
  <c r="O64" i="20" s="1"/>
  <c r="P64" i="20" s="1"/>
  <c r="Q64" i="20" s="1"/>
  <c r="R64" i="20" s="1"/>
  <c r="S64" i="20" s="1"/>
  <c r="T64" i="20" s="1"/>
  <c r="F64" i="20"/>
  <c r="AT63" i="20"/>
  <c r="AU63" i="20" s="1"/>
  <c r="AV63" i="20" s="1"/>
  <c r="AW63" i="20" s="1"/>
  <c r="AX63" i="20" s="1"/>
  <c r="AY63" i="20" s="1"/>
  <c r="AZ63" i="20" s="1"/>
  <c r="AL63" i="20"/>
  <c r="AM63" i="20" s="1"/>
  <c r="AN63" i="20" s="1"/>
  <c r="AO63" i="20" s="1"/>
  <c r="AP63" i="20" s="1"/>
  <c r="AQ63" i="20" s="1"/>
  <c r="AR63" i="20" s="1"/>
  <c r="AD63" i="20"/>
  <c r="AE63" i="20" s="1"/>
  <c r="AF63" i="20" s="1"/>
  <c r="AG63" i="20" s="1"/>
  <c r="AH63" i="20" s="1"/>
  <c r="AI63" i="20" s="1"/>
  <c r="AJ63" i="20" s="1"/>
  <c r="V63" i="20"/>
  <c r="W63" i="20" s="1"/>
  <c r="X63" i="20" s="1"/>
  <c r="Y63" i="20" s="1"/>
  <c r="Z63" i="20" s="1"/>
  <c r="AA63" i="20" s="1"/>
  <c r="AB63" i="20" s="1"/>
  <c r="O63" i="20"/>
  <c r="P63" i="20" s="1"/>
  <c r="Q63" i="20" s="1"/>
  <c r="R63" i="20" s="1"/>
  <c r="S63" i="20" s="1"/>
  <c r="T63" i="20" s="1"/>
  <c r="F63" i="20"/>
  <c r="AT62" i="20"/>
  <c r="AU62" i="20" s="1"/>
  <c r="AV62" i="20" s="1"/>
  <c r="AW62" i="20" s="1"/>
  <c r="AX62" i="20" s="1"/>
  <c r="AY62" i="20" s="1"/>
  <c r="AZ62" i="20" s="1"/>
  <c r="AL62" i="20"/>
  <c r="AM62" i="20" s="1"/>
  <c r="AN62" i="20" s="1"/>
  <c r="AO62" i="20" s="1"/>
  <c r="AP62" i="20" s="1"/>
  <c r="AQ62" i="20" s="1"/>
  <c r="AR62" i="20" s="1"/>
  <c r="AD62" i="20"/>
  <c r="AE62" i="20" s="1"/>
  <c r="AF62" i="20" s="1"/>
  <c r="AG62" i="20" s="1"/>
  <c r="AH62" i="20" s="1"/>
  <c r="AI62" i="20" s="1"/>
  <c r="AJ62" i="20" s="1"/>
  <c r="V62" i="20"/>
  <c r="W62" i="20" s="1"/>
  <c r="X62" i="20" s="1"/>
  <c r="Y62" i="20" s="1"/>
  <c r="Z62" i="20" s="1"/>
  <c r="AA62" i="20" s="1"/>
  <c r="AB62" i="20" s="1"/>
  <c r="N62" i="20"/>
  <c r="O62" i="20" s="1"/>
  <c r="P62" i="20" s="1"/>
  <c r="R62" i="20" s="1"/>
  <c r="S62" i="20" s="1"/>
  <c r="T62" i="20" s="1"/>
  <c r="G62" i="20"/>
  <c r="H62" i="20" s="1"/>
  <c r="I62" i="20" s="1"/>
  <c r="F62" i="20"/>
  <c r="AT61" i="20"/>
  <c r="AU61" i="20" s="1"/>
  <c r="AV61" i="20" s="1"/>
  <c r="AW61" i="20" s="1"/>
  <c r="AX61" i="20" s="1"/>
  <c r="AY61" i="20" s="1"/>
  <c r="AZ61" i="20" s="1"/>
  <c r="AL61" i="20"/>
  <c r="AM61" i="20" s="1"/>
  <c r="AN61" i="20" s="1"/>
  <c r="AO61" i="20" s="1"/>
  <c r="AP61" i="20" s="1"/>
  <c r="AQ61" i="20" s="1"/>
  <c r="AR61" i="20" s="1"/>
  <c r="AD61" i="20"/>
  <c r="AE61" i="20" s="1"/>
  <c r="AF61" i="20" s="1"/>
  <c r="AG61" i="20" s="1"/>
  <c r="AH61" i="20" s="1"/>
  <c r="AI61" i="20" s="1"/>
  <c r="AJ61" i="20" s="1"/>
  <c r="V61" i="20"/>
  <c r="W61" i="20" s="1"/>
  <c r="X61" i="20" s="1"/>
  <c r="Y61" i="20" s="1"/>
  <c r="Z61" i="20" s="1"/>
  <c r="AA61" i="20" s="1"/>
  <c r="AB61" i="20" s="1"/>
  <c r="N61" i="20"/>
  <c r="O61" i="20" s="1"/>
  <c r="P61" i="20" s="1"/>
  <c r="Q61" i="20" s="1"/>
  <c r="R61" i="20" s="1"/>
  <c r="S61" i="20" s="1"/>
  <c r="T61" i="20" s="1"/>
  <c r="F61" i="20"/>
  <c r="G61" i="20" s="1"/>
  <c r="H61" i="20" s="1"/>
  <c r="I61" i="20" s="1"/>
  <c r="AT60" i="20"/>
  <c r="AU60" i="20" s="1"/>
  <c r="AV60" i="20" s="1"/>
  <c r="AW60" i="20" s="1"/>
  <c r="AX60" i="20" s="1"/>
  <c r="AY60" i="20" s="1"/>
  <c r="AZ60" i="20" s="1"/>
  <c r="AL60" i="20"/>
  <c r="AM60" i="20" s="1"/>
  <c r="AN60" i="20" s="1"/>
  <c r="AO60" i="20" s="1"/>
  <c r="AP60" i="20" s="1"/>
  <c r="AQ60" i="20" s="1"/>
  <c r="AR60" i="20" s="1"/>
  <c r="AD60" i="20"/>
  <c r="AE60" i="20" s="1"/>
  <c r="AF60" i="20" s="1"/>
  <c r="AG60" i="20" s="1"/>
  <c r="AH60" i="20" s="1"/>
  <c r="AI60" i="20" s="1"/>
  <c r="AJ60" i="20" s="1"/>
  <c r="V60" i="20"/>
  <c r="W60" i="20" s="1"/>
  <c r="X60" i="20" s="1"/>
  <c r="Y60" i="20" s="1"/>
  <c r="Z60" i="20" s="1"/>
  <c r="AA60" i="20" s="1"/>
  <c r="AB60" i="20" s="1"/>
  <c r="N60" i="20"/>
  <c r="O60" i="20" s="1"/>
  <c r="P60" i="20" s="1"/>
  <c r="R60" i="20" s="1"/>
  <c r="S60" i="20" s="1"/>
  <c r="T60" i="20" s="1"/>
  <c r="F60" i="20"/>
  <c r="G60" i="20" s="1"/>
  <c r="H60" i="20" s="1"/>
  <c r="I60" i="20" s="1"/>
  <c r="J60" i="20" s="1"/>
  <c r="K60" i="20" s="1"/>
  <c r="L60" i="20" s="1"/>
  <c r="AT59" i="20"/>
  <c r="AU59" i="20" s="1"/>
  <c r="AV59" i="20" s="1"/>
  <c r="AW59" i="20" s="1"/>
  <c r="AX59" i="20" s="1"/>
  <c r="AY59" i="20" s="1"/>
  <c r="AZ59" i="20" s="1"/>
  <c r="AL59" i="20"/>
  <c r="AM59" i="20" s="1"/>
  <c r="AN59" i="20" s="1"/>
  <c r="AO59" i="20" s="1"/>
  <c r="AP59" i="20" s="1"/>
  <c r="AQ59" i="20" s="1"/>
  <c r="AR59" i="20" s="1"/>
  <c r="AD59" i="20"/>
  <c r="AE59" i="20" s="1"/>
  <c r="AF59" i="20" s="1"/>
  <c r="AG59" i="20" s="1"/>
  <c r="AH59" i="20" s="1"/>
  <c r="AI59" i="20" s="1"/>
  <c r="AJ59" i="20" s="1"/>
  <c r="V59" i="20"/>
  <c r="W59" i="20" s="1"/>
  <c r="X59" i="20" s="1"/>
  <c r="Y59" i="20" s="1"/>
  <c r="Z59" i="20" s="1"/>
  <c r="AA59" i="20" s="1"/>
  <c r="AB59" i="20" s="1"/>
  <c r="N59" i="20"/>
  <c r="O59" i="20" s="1"/>
  <c r="P59" i="20" s="1"/>
  <c r="Q59" i="20" s="1"/>
  <c r="R59" i="20" s="1"/>
  <c r="S59" i="20" s="1"/>
  <c r="T59" i="20" s="1"/>
  <c r="F59" i="20"/>
  <c r="G59" i="20" s="1"/>
  <c r="AT58" i="20"/>
  <c r="AU58" i="20" s="1"/>
  <c r="AV58" i="20" s="1"/>
  <c r="AW58" i="20" s="1"/>
  <c r="AX58" i="20" s="1"/>
  <c r="AY58" i="20" s="1"/>
  <c r="AZ58" i="20" s="1"/>
  <c r="AM58" i="20"/>
  <c r="AN58" i="20" s="1"/>
  <c r="AO58" i="20" s="1"/>
  <c r="AP58" i="20" s="1"/>
  <c r="AQ58" i="20" s="1"/>
  <c r="AR58" i="20" s="1"/>
  <c r="AL58" i="20"/>
  <c r="AD58" i="20"/>
  <c r="AE58" i="20" s="1"/>
  <c r="AF58" i="20" s="1"/>
  <c r="AG58" i="20" s="1"/>
  <c r="AH58" i="20" s="1"/>
  <c r="AI58" i="20" s="1"/>
  <c r="AJ58" i="20" s="1"/>
  <c r="V58" i="20"/>
  <c r="W58" i="20" s="1"/>
  <c r="X58" i="20" s="1"/>
  <c r="Y58" i="20" s="1"/>
  <c r="Z58" i="20" s="1"/>
  <c r="AA58" i="20" s="1"/>
  <c r="AB58" i="20" s="1"/>
  <c r="N58" i="20"/>
  <c r="O58" i="20" s="1"/>
  <c r="P58" i="20" s="1"/>
  <c r="Q58" i="20" s="1"/>
  <c r="R58" i="20" s="1"/>
  <c r="S58" i="20" s="1"/>
  <c r="T58" i="20" s="1"/>
  <c r="F58" i="20"/>
  <c r="G58" i="20" s="1"/>
  <c r="AT57" i="20"/>
  <c r="AU57" i="20" s="1"/>
  <c r="AV57" i="20" s="1"/>
  <c r="AW57" i="20" s="1"/>
  <c r="AX57" i="20" s="1"/>
  <c r="AY57" i="20" s="1"/>
  <c r="AZ57" i="20" s="1"/>
  <c r="AM57" i="20"/>
  <c r="AN57" i="20" s="1"/>
  <c r="AO57" i="20" s="1"/>
  <c r="AP57" i="20" s="1"/>
  <c r="AQ57" i="20" s="1"/>
  <c r="AR57" i="20" s="1"/>
  <c r="AL57" i="20"/>
  <c r="AD57" i="20"/>
  <c r="AE57" i="20" s="1"/>
  <c r="AF57" i="20" s="1"/>
  <c r="AG57" i="20" s="1"/>
  <c r="AH57" i="20" s="1"/>
  <c r="AI57" i="20" s="1"/>
  <c r="AJ57" i="20" s="1"/>
  <c r="V57" i="20"/>
  <c r="W57" i="20" s="1"/>
  <c r="X57" i="20" s="1"/>
  <c r="Y57" i="20" s="1"/>
  <c r="Z57" i="20" s="1"/>
  <c r="AA57" i="20" s="1"/>
  <c r="AB57" i="20" s="1"/>
  <c r="N57" i="20"/>
  <c r="O57" i="20" s="1"/>
  <c r="P57" i="20" s="1"/>
  <c r="Q57" i="20" s="1"/>
  <c r="R57" i="20" s="1"/>
  <c r="S57" i="20" s="1"/>
  <c r="T57" i="20" s="1"/>
  <c r="F57" i="20"/>
  <c r="AT56" i="20"/>
  <c r="AU56" i="20" s="1"/>
  <c r="AV56" i="20" s="1"/>
  <c r="AW56" i="20" s="1"/>
  <c r="AX56" i="20" s="1"/>
  <c r="AY56" i="20" s="1"/>
  <c r="AZ56" i="20" s="1"/>
  <c r="AL56" i="20"/>
  <c r="AM56" i="20" s="1"/>
  <c r="AN56" i="20" s="1"/>
  <c r="AO56" i="20" s="1"/>
  <c r="AP56" i="20" s="1"/>
  <c r="AQ56" i="20" s="1"/>
  <c r="AR56" i="20" s="1"/>
  <c r="AD56" i="20"/>
  <c r="AE56" i="20" s="1"/>
  <c r="AF56" i="20" s="1"/>
  <c r="AG56" i="20" s="1"/>
  <c r="AH56" i="20" s="1"/>
  <c r="AI56" i="20" s="1"/>
  <c r="AJ56" i="20" s="1"/>
  <c r="V56" i="20"/>
  <c r="W56" i="20" s="1"/>
  <c r="X56" i="20" s="1"/>
  <c r="Y56" i="20" s="1"/>
  <c r="Z56" i="20" s="1"/>
  <c r="AA56" i="20" s="1"/>
  <c r="AB56" i="20" s="1"/>
  <c r="N56" i="20"/>
  <c r="O56" i="20" s="1"/>
  <c r="P56" i="20" s="1"/>
  <c r="Q56" i="20" s="1"/>
  <c r="R56" i="20" s="1"/>
  <c r="S56" i="20" s="1"/>
  <c r="T56" i="20" s="1"/>
  <c r="F56" i="20"/>
  <c r="AT55" i="20"/>
  <c r="AU55" i="20" s="1"/>
  <c r="AV55" i="20" s="1"/>
  <c r="AW55" i="20" s="1"/>
  <c r="AX55" i="20" s="1"/>
  <c r="AY55" i="20" s="1"/>
  <c r="AZ55" i="20" s="1"/>
  <c r="AL55" i="20"/>
  <c r="AM55" i="20" s="1"/>
  <c r="AN55" i="20" s="1"/>
  <c r="AO55" i="20" s="1"/>
  <c r="AP55" i="20" s="1"/>
  <c r="AQ55" i="20" s="1"/>
  <c r="AR55" i="20" s="1"/>
  <c r="AD55" i="20"/>
  <c r="AE55" i="20" s="1"/>
  <c r="AF55" i="20" s="1"/>
  <c r="AG55" i="20" s="1"/>
  <c r="AH55" i="20" s="1"/>
  <c r="AI55" i="20" s="1"/>
  <c r="AJ55" i="20" s="1"/>
  <c r="V55" i="20"/>
  <c r="W55" i="20" s="1"/>
  <c r="X55" i="20" s="1"/>
  <c r="Y55" i="20" s="1"/>
  <c r="Z55" i="20" s="1"/>
  <c r="AA55" i="20" s="1"/>
  <c r="AB55" i="20" s="1"/>
  <c r="O55" i="20"/>
  <c r="P55" i="20" s="1"/>
  <c r="Q55" i="20" s="1"/>
  <c r="R55" i="20" s="1"/>
  <c r="S55" i="20" s="1"/>
  <c r="T55" i="20" s="1"/>
  <c r="N55" i="20"/>
  <c r="F55" i="20"/>
  <c r="AT54" i="20"/>
  <c r="AU54" i="20" s="1"/>
  <c r="AV54" i="20" s="1"/>
  <c r="AW54" i="20" s="1"/>
  <c r="AX54" i="20" s="1"/>
  <c r="AY54" i="20" s="1"/>
  <c r="AZ54" i="20" s="1"/>
  <c r="AL54" i="20"/>
  <c r="AM54" i="20" s="1"/>
  <c r="AN54" i="20" s="1"/>
  <c r="AO54" i="20" s="1"/>
  <c r="AP54" i="20" s="1"/>
  <c r="AQ54" i="20" s="1"/>
  <c r="AR54" i="20" s="1"/>
  <c r="AD54" i="20"/>
  <c r="AE54" i="20" s="1"/>
  <c r="AF54" i="20" s="1"/>
  <c r="AG54" i="20" s="1"/>
  <c r="AH54" i="20" s="1"/>
  <c r="AI54" i="20" s="1"/>
  <c r="AJ54" i="20" s="1"/>
  <c r="V54" i="20"/>
  <c r="W54" i="20" s="1"/>
  <c r="X54" i="20" s="1"/>
  <c r="Y54" i="20" s="1"/>
  <c r="Z54" i="20" s="1"/>
  <c r="AA54" i="20" s="1"/>
  <c r="AB54" i="20" s="1"/>
  <c r="N54" i="20"/>
  <c r="O54" i="20" s="1"/>
  <c r="P54" i="20" s="1"/>
  <c r="Q54" i="20" s="1"/>
  <c r="R54" i="20" s="1"/>
  <c r="S54" i="20" s="1"/>
  <c r="T54" i="20" s="1"/>
  <c r="F54" i="20"/>
  <c r="G54" i="20" s="1"/>
  <c r="H54" i="20" s="1"/>
  <c r="I54" i="20" s="1"/>
  <c r="J54" i="20" s="1"/>
  <c r="K54" i="20" s="1"/>
  <c r="L54" i="20" s="1"/>
  <c r="AT53" i="20"/>
  <c r="AU53" i="20" s="1"/>
  <c r="AV53" i="20" s="1"/>
  <c r="AW53" i="20" s="1"/>
  <c r="AX53" i="20" s="1"/>
  <c r="AY53" i="20" s="1"/>
  <c r="AZ53" i="20" s="1"/>
  <c r="AL53" i="20"/>
  <c r="AM53" i="20" s="1"/>
  <c r="AN53" i="20" s="1"/>
  <c r="AO53" i="20" s="1"/>
  <c r="AP53" i="20" s="1"/>
  <c r="AQ53" i="20" s="1"/>
  <c r="AR53" i="20" s="1"/>
  <c r="AD53" i="20"/>
  <c r="AE53" i="20" s="1"/>
  <c r="AF53" i="20" s="1"/>
  <c r="AG53" i="20" s="1"/>
  <c r="AH53" i="20" s="1"/>
  <c r="AI53" i="20" s="1"/>
  <c r="AJ53" i="20" s="1"/>
  <c r="V53" i="20"/>
  <c r="W53" i="20" s="1"/>
  <c r="X53" i="20" s="1"/>
  <c r="Y53" i="20" s="1"/>
  <c r="Z53" i="20" s="1"/>
  <c r="AA53" i="20" s="1"/>
  <c r="AB53" i="20" s="1"/>
  <c r="N53" i="20"/>
  <c r="O53" i="20" s="1"/>
  <c r="P53" i="20" s="1"/>
  <c r="Q53" i="20" s="1"/>
  <c r="R53" i="20" s="1"/>
  <c r="S53" i="20" s="1"/>
  <c r="T53" i="20" s="1"/>
  <c r="F53" i="20"/>
  <c r="G53" i="20" s="1"/>
  <c r="H53" i="20" s="1"/>
  <c r="AT52" i="20"/>
  <c r="AU52" i="20" s="1"/>
  <c r="AV52" i="20" s="1"/>
  <c r="AW52" i="20" s="1"/>
  <c r="AX52" i="20" s="1"/>
  <c r="AY52" i="20" s="1"/>
  <c r="AZ52" i="20" s="1"/>
  <c r="AL52" i="20"/>
  <c r="AM52" i="20" s="1"/>
  <c r="AN52" i="20" s="1"/>
  <c r="AO52" i="20" s="1"/>
  <c r="AP52" i="20" s="1"/>
  <c r="AQ52" i="20" s="1"/>
  <c r="AR52" i="20" s="1"/>
  <c r="AD52" i="20"/>
  <c r="AE52" i="20" s="1"/>
  <c r="AF52" i="20" s="1"/>
  <c r="AG52" i="20" s="1"/>
  <c r="AH52" i="20" s="1"/>
  <c r="AI52" i="20" s="1"/>
  <c r="AJ52" i="20" s="1"/>
  <c r="V52" i="20"/>
  <c r="W52" i="20" s="1"/>
  <c r="X52" i="20" s="1"/>
  <c r="Y52" i="20" s="1"/>
  <c r="Z52" i="20" s="1"/>
  <c r="AA52" i="20" s="1"/>
  <c r="AB52" i="20" s="1"/>
  <c r="N52" i="20"/>
  <c r="O52" i="20" s="1"/>
  <c r="P52" i="20" s="1"/>
  <c r="Q52" i="20" s="1"/>
  <c r="R52" i="20" s="1"/>
  <c r="S52" i="20" s="1"/>
  <c r="T52" i="20" s="1"/>
  <c r="F52" i="20"/>
  <c r="AT51" i="20"/>
  <c r="AU51" i="20" s="1"/>
  <c r="AV51" i="20" s="1"/>
  <c r="AW51" i="20" s="1"/>
  <c r="AX51" i="20" s="1"/>
  <c r="AY51" i="20" s="1"/>
  <c r="AZ51" i="20" s="1"/>
  <c r="AL51" i="20"/>
  <c r="AM51" i="20" s="1"/>
  <c r="AN51" i="20" s="1"/>
  <c r="AO51" i="20" s="1"/>
  <c r="AP51" i="20" s="1"/>
  <c r="AQ51" i="20" s="1"/>
  <c r="AR51" i="20" s="1"/>
  <c r="AD51" i="20"/>
  <c r="AE51" i="20" s="1"/>
  <c r="AF51" i="20" s="1"/>
  <c r="AG51" i="20" s="1"/>
  <c r="AH51" i="20" s="1"/>
  <c r="AI51" i="20" s="1"/>
  <c r="AJ51" i="20" s="1"/>
  <c r="V51" i="20"/>
  <c r="W51" i="20" s="1"/>
  <c r="X51" i="20" s="1"/>
  <c r="Y51" i="20" s="1"/>
  <c r="Z51" i="20" s="1"/>
  <c r="AA51" i="20" s="1"/>
  <c r="AB51" i="20" s="1"/>
  <c r="N51" i="20"/>
  <c r="O51" i="20" s="1"/>
  <c r="P51" i="20" s="1"/>
  <c r="Q51" i="20" s="1"/>
  <c r="R51" i="20" s="1"/>
  <c r="S51" i="20" s="1"/>
  <c r="T51" i="20" s="1"/>
  <c r="F51" i="20"/>
  <c r="G51" i="20" s="1"/>
  <c r="H51" i="20" s="1"/>
  <c r="I51" i="20" s="1"/>
  <c r="J51" i="20" s="1"/>
  <c r="AT50" i="20"/>
  <c r="AU50" i="20" s="1"/>
  <c r="AV50" i="20" s="1"/>
  <c r="AW50" i="20" s="1"/>
  <c r="AX50" i="20" s="1"/>
  <c r="AY50" i="20" s="1"/>
  <c r="AZ50" i="20" s="1"/>
  <c r="AL50" i="20"/>
  <c r="AM50" i="20" s="1"/>
  <c r="AN50" i="20" s="1"/>
  <c r="AO50" i="20" s="1"/>
  <c r="AP50" i="20" s="1"/>
  <c r="AQ50" i="20" s="1"/>
  <c r="AR50" i="20" s="1"/>
  <c r="AD50" i="20"/>
  <c r="AE50" i="20" s="1"/>
  <c r="AF50" i="20" s="1"/>
  <c r="AG50" i="20" s="1"/>
  <c r="AH50" i="20" s="1"/>
  <c r="AI50" i="20" s="1"/>
  <c r="AJ50" i="20" s="1"/>
  <c r="V50" i="20"/>
  <c r="W50" i="20" s="1"/>
  <c r="X50" i="20" s="1"/>
  <c r="Y50" i="20" s="1"/>
  <c r="Z50" i="20" s="1"/>
  <c r="AA50" i="20" s="1"/>
  <c r="AB50" i="20" s="1"/>
  <c r="N50" i="20"/>
  <c r="O50" i="20" s="1"/>
  <c r="P50" i="20" s="1"/>
  <c r="Q50" i="20" s="1"/>
  <c r="R50" i="20" s="1"/>
  <c r="S50" i="20" s="1"/>
  <c r="T50" i="20" s="1"/>
  <c r="F50" i="20"/>
  <c r="G50" i="20" s="1"/>
  <c r="AT49" i="20"/>
  <c r="AU49" i="20" s="1"/>
  <c r="AV49" i="20" s="1"/>
  <c r="AW49" i="20" s="1"/>
  <c r="AX49" i="20" s="1"/>
  <c r="AY49" i="20" s="1"/>
  <c r="AZ49" i="20" s="1"/>
  <c r="AL49" i="20"/>
  <c r="AM49" i="20" s="1"/>
  <c r="AN49" i="20" s="1"/>
  <c r="AO49" i="20" s="1"/>
  <c r="AP49" i="20" s="1"/>
  <c r="AQ49" i="20" s="1"/>
  <c r="AR49" i="20" s="1"/>
  <c r="AD49" i="20"/>
  <c r="AE49" i="20" s="1"/>
  <c r="AF49" i="20" s="1"/>
  <c r="AG49" i="20" s="1"/>
  <c r="AH49" i="20" s="1"/>
  <c r="AI49" i="20" s="1"/>
  <c r="AJ49" i="20" s="1"/>
  <c r="V49" i="20"/>
  <c r="W49" i="20" s="1"/>
  <c r="X49" i="20" s="1"/>
  <c r="Y49" i="20" s="1"/>
  <c r="Z49" i="20" s="1"/>
  <c r="AA49" i="20" s="1"/>
  <c r="AB49" i="20" s="1"/>
  <c r="N49" i="20"/>
  <c r="O49" i="20" s="1"/>
  <c r="P49" i="20" s="1"/>
  <c r="Q49" i="20" s="1"/>
  <c r="R49" i="20" s="1"/>
  <c r="S49" i="20" s="1"/>
  <c r="T49" i="20" s="1"/>
  <c r="F49" i="20"/>
  <c r="G49" i="20" s="1"/>
  <c r="H49" i="20" s="1"/>
  <c r="I49" i="20" s="1"/>
  <c r="J49" i="20" s="1"/>
  <c r="K49" i="20" s="1"/>
  <c r="L49" i="20" s="1"/>
  <c r="AT48" i="20"/>
  <c r="AU48" i="20" s="1"/>
  <c r="AV48" i="20" s="1"/>
  <c r="AW48" i="20" s="1"/>
  <c r="AX48" i="20" s="1"/>
  <c r="AY48" i="20" s="1"/>
  <c r="AZ48" i="20" s="1"/>
  <c r="AL48" i="20"/>
  <c r="AM48" i="20" s="1"/>
  <c r="AN48" i="20" s="1"/>
  <c r="AO48" i="20" s="1"/>
  <c r="AP48" i="20" s="1"/>
  <c r="AQ48" i="20" s="1"/>
  <c r="AR48" i="20" s="1"/>
  <c r="AD48" i="20"/>
  <c r="AE48" i="20" s="1"/>
  <c r="AF48" i="20" s="1"/>
  <c r="AG48" i="20" s="1"/>
  <c r="AH48" i="20" s="1"/>
  <c r="AI48" i="20" s="1"/>
  <c r="AJ48" i="20" s="1"/>
  <c r="V48" i="20"/>
  <c r="W48" i="20" s="1"/>
  <c r="X48" i="20" s="1"/>
  <c r="Y48" i="20" s="1"/>
  <c r="Z48" i="20" s="1"/>
  <c r="AA48" i="20" s="1"/>
  <c r="AB48" i="20" s="1"/>
  <c r="N48" i="20"/>
  <c r="O48" i="20" s="1"/>
  <c r="P48" i="20" s="1"/>
  <c r="Q48" i="20" s="1"/>
  <c r="R48" i="20" s="1"/>
  <c r="S48" i="20" s="1"/>
  <c r="T48" i="20" s="1"/>
  <c r="J48" i="20"/>
  <c r="K48" i="20" s="1"/>
  <c r="F48" i="20"/>
  <c r="G48" i="20" s="1"/>
  <c r="H48" i="20" s="1"/>
  <c r="AT47" i="20"/>
  <c r="AU47" i="20" s="1"/>
  <c r="AV47" i="20" s="1"/>
  <c r="AW47" i="20" s="1"/>
  <c r="AX47" i="20" s="1"/>
  <c r="AY47" i="20" s="1"/>
  <c r="AZ47" i="20" s="1"/>
  <c r="AM47" i="20"/>
  <c r="AN47" i="20" s="1"/>
  <c r="AO47" i="20" s="1"/>
  <c r="AP47" i="20" s="1"/>
  <c r="AQ47" i="20" s="1"/>
  <c r="AR47" i="20" s="1"/>
  <c r="AL47" i="20"/>
  <c r="AD47" i="20"/>
  <c r="AE47" i="20" s="1"/>
  <c r="AF47" i="20" s="1"/>
  <c r="AG47" i="20" s="1"/>
  <c r="AH47" i="20" s="1"/>
  <c r="AI47" i="20" s="1"/>
  <c r="AJ47" i="20" s="1"/>
  <c r="V47" i="20"/>
  <c r="W47" i="20" s="1"/>
  <c r="X47" i="20" s="1"/>
  <c r="Y47" i="20" s="1"/>
  <c r="Z47" i="20" s="1"/>
  <c r="AA47" i="20" s="1"/>
  <c r="AB47" i="20" s="1"/>
  <c r="N47" i="20"/>
  <c r="O47" i="20" s="1"/>
  <c r="P47" i="20" s="1"/>
  <c r="Q47" i="20" s="1"/>
  <c r="R47" i="20" s="1"/>
  <c r="S47" i="20" s="1"/>
  <c r="T47" i="20" s="1"/>
  <c r="F47" i="20"/>
  <c r="G47" i="20" s="1"/>
  <c r="H47" i="20" s="1"/>
  <c r="I47" i="20" s="1"/>
  <c r="J47" i="20" s="1"/>
  <c r="K47" i="20" s="1"/>
  <c r="L47" i="20" s="1"/>
  <c r="AT46" i="20"/>
  <c r="AU46" i="20" s="1"/>
  <c r="AV46" i="20" s="1"/>
  <c r="AW46" i="20" s="1"/>
  <c r="AX46" i="20" s="1"/>
  <c r="AY46" i="20" s="1"/>
  <c r="AZ46" i="20" s="1"/>
  <c r="AL46" i="20"/>
  <c r="AM46" i="20" s="1"/>
  <c r="AN46" i="20" s="1"/>
  <c r="AO46" i="20" s="1"/>
  <c r="AP46" i="20" s="1"/>
  <c r="AQ46" i="20" s="1"/>
  <c r="AR46" i="20" s="1"/>
  <c r="AD46" i="20"/>
  <c r="AE46" i="20" s="1"/>
  <c r="AF46" i="20" s="1"/>
  <c r="AG46" i="20" s="1"/>
  <c r="AH46" i="20" s="1"/>
  <c r="AI46" i="20" s="1"/>
  <c r="AJ46" i="20" s="1"/>
  <c r="V46" i="20"/>
  <c r="W46" i="20" s="1"/>
  <c r="X46" i="20" s="1"/>
  <c r="Y46" i="20" s="1"/>
  <c r="Z46" i="20" s="1"/>
  <c r="AA46" i="20" s="1"/>
  <c r="AB46" i="20" s="1"/>
  <c r="N46" i="20"/>
  <c r="O46" i="20" s="1"/>
  <c r="P46" i="20" s="1"/>
  <c r="Q46" i="20" s="1"/>
  <c r="R46" i="20" s="1"/>
  <c r="S46" i="20" s="1"/>
  <c r="T46" i="20" s="1"/>
  <c r="F46" i="20"/>
  <c r="G46" i="20" s="1"/>
  <c r="H46" i="20" s="1"/>
  <c r="I46" i="20" s="1"/>
  <c r="J46" i="20" s="1"/>
  <c r="K46" i="20" s="1"/>
  <c r="L46" i="20" s="1"/>
  <c r="AT45" i="20"/>
  <c r="AU45" i="20" s="1"/>
  <c r="AV45" i="20" s="1"/>
  <c r="AW45" i="20" s="1"/>
  <c r="AX45" i="20" s="1"/>
  <c r="AY45" i="20" s="1"/>
  <c r="AZ45" i="20" s="1"/>
  <c r="AL45" i="20"/>
  <c r="AM45" i="20" s="1"/>
  <c r="AN45" i="20" s="1"/>
  <c r="AO45" i="20" s="1"/>
  <c r="AP45" i="20" s="1"/>
  <c r="AQ45" i="20" s="1"/>
  <c r="AR45" i="20" s="1"/>
  <c r="AD45" i="20"/>
  <c r="AE45" i="20" s="1"/>
  <c r="AF45" i="20" s="1"/>
  <c r="AG45" i="20" s="1"/>
  <c r="AH45" i="20" s="1"/>
  <c r="AI45" i="20" s="1"/>
  <c r="AJ45" i="20" s="1"/>
  <c r="V45" i="20"/>
  <c r="W45" i="20" s="1"/>
  <c r="X45" i="20" s="1"/>
  <c r="Y45" i="20" s="1"/>
  <c r="Z45" i="20" s="1"/>
  <c r="AA45" i="20" s="1"/>
  <c r="AB45" i="20" s="1"/>
  <c r="N45" i="20"/>
  <c r="O45" i="20" s="1"/>
  <c r="P45" i="20" s="1"/>
  <c r="Q45" i="20" s="1"/>
  <c r="R45" i="20" s="1"/>
  <c r="S45" i="20" s="1"/>
  <c r="T45" i="20" s="1"/>
  <c r="F45" i="20"/>
  <c r="G45" i="20" s="1"/>
  <c r="H45" i="20" s="1"/>
  <c r="I45" i="20" s="1"/>
  <c r="J45" i="20" s="1"/>
  <c r="K45" i="20" s="1"/>
  <c r="L45" i="20" s="1"/>
  <c r="AT44" i="20"/>
  <c r="AU44" i="20" s="1"/>
  <c r="AV44" i="20" s="1"/>
  <c r="AW44" i="20" s="1"/>
  <c r="AX44" i="20" s="1"/>
  <c r="AY44" i="20" s="1"/>
  <c r="AZ44" i="20" s="1"/>
  <c r="AL44" i="20"/>
  <c r="AM44" i="20" s="1"/>
  <c r="AN44" i="20" s="1"/>
  <c r="AO44" i="20" s="1"/>
  <c r="AP44" i="20" s="1"/>
  <c r="AQ44" i="20" s="1"/>
  <c r="AR44" i="20" s="1"/>
  <c r="AD44" i="20"/>
  <c r="AE44" i="20" s="1"/>
  <c r="AF44" i="20" s="1"/>
  <c r="AG44" i="20" s="1"/>
  <c r="AH44" i="20" s="1"/>
  <c r="AI44" i="20" s="1"/>
  <c r="AJ44" i="20" s="1"/>
  <c r="V44" i="20"/>
  <c r="W44" i="20" s="1"/>
  <c r="X44" i="20" s="1"/>
  <c r="Y44" i="20" s="1"/>
  <c r="Z44" i="20" s="1"/>
  <c r="AA44" i="20" s="1"/>
  <c r="AB44" i="20" s="1"/>
  <c r="N44" i="20"/>
  <c r="O44" i="20" s="1"/>
  <c r="P44" i="20" s="1"/>
  <c r="Q44" i="20" s="1"/>
  <c r="R44" i="20" s="1"/>
  <c r="S44" i="20" s="1"/>
  <c r="T44" i="20" s="1"/>
  <c r="J44" i="20"/>
  <c r="K44" i="20" s="1"/>
  <c r="L44" i="20" s="1"/>
  <c r="F44" i="20"/>
  <c r="G44" i="20" s="1"/>
  <c r="H44" i="20" s="1"/>
  <c r="I44" i="20" s="1"/>
  <c r="AT43" i="20"/>
  <c r="AU43" i="20" s="1"/>
  <c r="AV43" i="20" s="1"/>
  <c r="AW43" i="20" s="1"/>
  <c r="AX43" i="20" s="1"/>
  <c r="AY43" i="20" s="1"/>
  <c r="AZ43" i="20" s="1"/>
  <c r="AL43" i="20"/>
  <c r="AM43" i="20" s="1"/>
  <c r="AN43" i="20" s="1"/>
  <c r="AO43" i="20" s="1"/>
  <c r="AP43" i="20" s="1"/>
  <c r="AQ43" i="20" s="1"/>
  <c r="AR43" i="20" s="1"/>
  <c r="AD43" i="20"/>
  <c r="AE43" i="20" s="1"/>
  <c r="AF43" i="20" s="1"/>
  <c r="AG43" i="20" s="1"/>
  <c r="AH43" i="20" s="1"/>
  <c r="AI43" i="20" s="1"/>
  <c r="AJ43" i="20" s="1"/>
  <c r="V43" i="20"/>
  <c r="W43" i="20" s="1"/>
  <c r="X43" i="20" s="1"/>
  <c r="Y43" i="20" s="1"/>
  <c r="Z43" i="20" s="1"/>
  <c r="AA43" i="20" s="1"/>
  <c r="AB43" i="20" s="1"/>
  <c r="O43" i="20"/>
  <c r="P43" i="20" s="1"/>
  <c r="Q43" i="20" s="1"/>
  <c r="R43" i="20" s="1"/>
  <c r="S43" i="20" s="1"/>
  <c r="T43" i="20" s="1"/>
  <c r="F43" i="20"/>
  <c r="G43" i="20" s="1"/>
  <c r="H43" i="20" s="1"/>
  <c r="I43" i="20" s="1"/>
  <c r="J43" i="20" s="1"/>
  <c r="K43" i="20" s="1"/>
  <c r="L43" i="20" s="1"/>
  <c r="AT42" i="20"/>
  <c r="AU42" i="20" s="1"/>
  <c r="AV42" i="20" s="1"/>
  <c r="AW42" i="20" s="1"/>
  <c r="AX42" i="20" s="1"/>
  <c r="AY42" i="20" s="1"/>
  <c r="AZ42" i="20" s="1"/>
  <c r="AL42" i="20"/>
  <c r="AM42" i="20" s="1"/>
  <c r="AN42" i="20" s="1"/>
  <c r="AO42" i="20" s="1"/>
  <c r="AP42" i="20" s="1"/>
  <c r="AQ42" i="20" s="1"/>
  <c r="AR42" i="20" s="1"/>
  <c r="AD42" i="20"/>
  <c r="AE42" i="20" s="1"/>
  <c r="AF42" i="20" s="1"/>
  <c r="AG42" i="20" s="1"/>
  <c r="AH42" i="20" s="1"/>
  <c r="AI42" i="20" s="1"/>
  <c r="AJ42" i="20" s="1"/>
  <c r="V42" i="20"/>
  <c r="W42" i="20" s="1"/>
  <c r="X42" i="20" s="1"/>
  <c r="Y42" i="20" s="1"/>
  <c r="Z42" i="20" s="1"/>
  <c r="AA42" i="20" s="1"/>
  <c r="AB42" i="20" s="1"/>
  <c r="O42" i="20"/>
  <c r="P42" i="20" s="1"/>
  <c r="Q42" i="20" s="1"/>
  <c r="R42" i="20" s="1"/>
  <c r="S42" i="20" s="1"/>
  <c r="T42" i="20" s="1"/>
  <c r="F42" i="20"/>
  <c r="AT41" i="20"/>
  <c r="AU41" i="20" s="1"/>
  <c r="AV41" i="20" s="1"/>
  <c r="AW41" i="20" s="1"/>
  <c r="AX41" i="20" s="1"/>
  <c r="AY41" i="20" s="1"/>
  <c r="AZ41" i="20" s="1"/>
  <c r="AL41" i="20"/>
  <c r="AM41" i="20" s="1"/>
  <c r="AN41" i="20" s="1"/>
  <c r="AO41" i="20" s="1"/>
  <c r="AP41" i="20" s="1"/>
  <c r="AQ41" i="20" s="1"/>
  <c r="AR41" i="20" s="1"/>
  <c r="AD41" i="20"/>
  <c r="AE41" i="20" s="1"/>
  <c r="AF41" i="20" s="1"/>
  <c r="AG41" i="20" s="1"/>
  <c r="AH41" i="20" s="1"/>
  <c r="AI41" i="20" s="1"/>
  <c r="AJ41" i="20" s="1"/>
  <c r="V41" i="20"/>
  <c r="W41" i="20" s="1"/>
  <c r="X41" i="20" s="1"/>
  <c r="Y41" i="20" s="1"/>
  <c r="Z41" i="20" s="1"/>
  <c r="AA41" i="20" s="1"/>
  <c r="AB41" i="20" s="1"/>
  <c r="N41" i="20"/>
  <c r="O41" i="20" s="1"/>
  <c r="P41" i="20" s="1"/>
  <c r="Q41" i="20" s="1"/>
  <c r="R41" i="20" s="1"/>
  <c r="S41" i="20" s="1"/>
  <c r="T41" i="20" s="1"/>
  <c r="F41" i="20"/>
  <c r="G41" i="20" s="1"/>
  <c r="H41" i="20" s="1"/>
  <c r="I41" i="20" s="1"/>
  <c r="J41" i="20" s="1"/>
  <c r="K41" i="20" s="1"/>
  <c r="L41" i="20" s="1"/>
  <c r="AT40" i="20"/>
  <c r="AU40" i="20" s="1"/>
  <c r="AV40" i="20" s="1"/>
  <c r="AW40" i="20" s="1"/>
  <c r="AX40" i="20" s="1"/>
  <c r="AY40" i="20" s="1"/>
  <c r="AZ40" i="20" s="1"/>
  <c r="AL40" i="20"/>
  <c r="AM40" i="20" s="1"/>
  <c r="AN40" i="20" s="1"/>
  <c r="AO40" i="20" s="1"/>
  <c r="AP40" i="20" s="1"/>
  <c r="AQ40" i="20" s="1"/>
  <c r="AR40" i="20" s="1"/>
  <c r="AD40" i="20"/>
  <c r="AE40" i="20" s="1"/>
  <c r="AF40" i="20" s="1"/>
  <c r="AG40" i="20" s="1"/>
  <c r="AH40" i="20" s="1"/>
  <c r="AI40" i="20" s="1"/>
  <c r="AJ40" i="20" s="1"/>
  <c r="V40" i="20"/>
  <c r="W40" i="20" s="1"/>
  <c r="X40" i="20" s="1"/>
  <c r="Y40" i="20" s="1"/>
  <c r="Z40" i="20" s="1"/>
  <c r="AA40" i="20" s="1"/>
  <c r="AB40" i="20" s="1"/>
  <c r="N40" i="20"/>
  <c r="O40" i="20" s="1"/>
  <c r="P40" i="20" s="1"/>
  <c r="Q40" i="20" s="1"/>
  <c r="R40" i="20" s="1"/>
  <c r="S40" i="20" s="1"/>
  <c r="T40" i="20" s="1"/>
  <c r="F40" i="20"/>
  <c r="G40" i="20" s="1"/>
  <c r="H40" i="20" s="1"/>
  <c r="I40" i="20" s="1"/>
  <c r="J40" i="20" s="1"/>
  <c r="K40" i="20" s="1"/>
  <c r="L40" i="20" s="1"/>
  <c r="AT39" i="20"/>
  <c r="AU39" i="20" s="1"/>
  <c r="AV39" i="20" s="1"/>
  <c r="AW39" i="20" s="1"/>
  <c r="AX39" i="20" s="1"/>
  <c r="AY39" i="20" s="1"/>
  <c r="AZ39" i="20" s="1"/>
  <c r="AL39" i="20"/>
  <c r="AM39" i="20" s="1"/>
  <c r="AN39" i="20" s="1"/>
  <c r="AO39" i="20" s="1"/>
  <c r="AP39" i="20" s="1"/>
  <c r="AQ39" i="20" s="1"/>
  <c r="AR39" i="20" s="1"/>
  <c r="AD39" i="20"/>
  <c r="AE39" i="20" s="1"/>
  <c r="AF39" i="20" s="1"/>
  <c r="AG39" i="20" s="1"/>
  <c r="AH39" i="20" s="1"/>
  <c r="AI39" i="20" s="1"/>
  <c r="AJ39" i="20" s="1"/>
  <c r="AA39" i="20"/>
  <c r="AB39" i="20" s="1"/>
  <c r="V39" i="20"/>
  <c r="W39" i="20" s="1"/>
  <c r="X39" i="20" s="1"/>
  <c r="Y39" i="20" s="1"/>
  <c r="Z39" i="20" s="1"/>
  <c r="N39" i="20"/>
  <c r="O39" i="20" s="1"/>
  <c r="P39" i="20" s="1"/>
  <c r="Q39" i="20" s="1"/>
  <c r="R39" i="20" s="1"/>
  <c r="S39" i="20" s="1"/>
  <c r="T39" i="20" s="1"/>
  <c r="F39" i="20"/>
  <c r="G39" i="20" s="1"/>
  <c r="H39" i="20" s="1"/>
  <c r="I39" i="20" s="1"/>
  <c r="J39" i="20" s="1"/>
  <c r="K39" i="20" s="1"/>
  <c r="AT38" i="20"/>
  <c r="AU38" i="20" s="1"/>
  <c r="AV38" i="20" s="1"/>
  <c r="AW38" i="20" s="1"/>
  <c r="AX38" i="20" s="1"/>
  <c r="AY38" i="20" s="1"/>
  <c r="AZ38" i="20" s="1"/>
  <c r="AL38" i="20"/>
  <c r="AM38" i="20" s="1"/>
  <c r="AN38" i="20" s="1"/>
  <c r="AO38" i="20" s="1"/>
  <c r="AP38" i="20" s="1"/>
  <c r="AQ38" i="20" s="1"/>
  <c r="AR38" i="20" s="1"/>
  <c r="AD38" i="20"/>
  <c r="AE38" i="20" s="1"/>
  <c r="AF38" i="20" s="1"/>
  <c r="AG38" i="20" s="1"/>
  <c r="AH38" i="20" s="1"/>
  <c r="AI38" i="20" s="1"/>
  <c r="AJ38" i="20" s="1"/>
  <c r="V38" i="20"/>
  <c r="W38" i="20" s="1"/>
  <c r="X38" i="20" s="1"/>
  <c r="Y38" i="20" s="1"/>
  <c r="Z38" i="20" s="1"/>
  <c r="AA38" i="20" s="1"/>
  <c r="AB38" i="20" s="1"/>
  <c r="O38" i="20"/>
  <c r="P38" i="20" s="1"/>
  <c r="Q38" i="20" s="1"/>
  <c r="R38" i="20" s="1"/>
  <c r="S38" i="20" s="1"/>
  <c r="T38" i="20" s="1"/>
  <c r="N38" i="20"/>
  <c r="F38" i="20"/>
  <c r="G38" i="20" s="1"/>
  <c r="H38" i="20" s="1"/>
  <c r="I38" i="20" s="1"/>
  <c r="J38" i="20" s="1"/>
  <c r="K38" i="20" s="1"/>
  <c r="L38" i="20" s="1"/>
  <c r="AT37" i="20"/>
  <c r="AU37" i="20" s="1"/>
  <c r="AV37" i="20" s="1"/>
  <c r="AW37" i="20" s="1"/>
  <c r="AX37" i="20" s="1"/>
  <c r="AY37" i="20" s="1"/>
  <c r="AZ37" i="20" s="1"/>
  <c r="AL37" i="20"/>
  <c r="AM37" i="20" s="1"/>
  <c r="AN37" i="20" s="1"/>
  <c r="AO37" i="20" s="1"/>
  <c r="AP37" i="20" s="1"/>
  <c r="AQ37" i="20" s="1"/>
  <c r="AR37" i="20" s="1"/>
  <c r="AD37" i="20"/>
  <c r="AE37" i="20" s="1"/>
  <c r="AF37" i="20" s="1"/>
  <c r="AG37" i="20" s="1"/>
  <c r="AH37" i="20" s="1"/>
  <c r="AI37" i="20" s="1"/>
  <c r="AJ37" i="20" s="1"/>
  <c r="V37" i="20"/>
  <c r="W37" i="20" s="1"/>
  <c r="X37" i="20" s="1"/>
  <c r="Y37" i="20" s="1"/>
  <c r="Z37" i="20" s="1"/>
  <c r="AA37" i="20" s="1"/>
  <c r="AB37" i="20" s="1"/>
  <c r="N37" i="20"/>
  <c r="O37" i="20" s="1"/>
  <c r="P37" i="20" s="1"/>
  <c r="Q37" i="20" s="1"/>
  <c r="R37" i="20" s="1"/>
  <c r="S37" i="20" s="1"/>
  <c r="T37" i="20" s="1"/>
  <c r="F37" i="20"/>
  <c r="G37" i="20" s="1"/>
  <c r="AT36" i="20"/>
  <c r="AU36" i="20" s="1"/>
  <c r="AV36" i="20" s="1"/>
  <c r="AW36" i="20" s="1"/>
  <c r="AX36" i="20" s="1"/>
  <c r="AY36" i="20" s="1"/>
  <c r="AZ36" i="20" s="1"/>
  <c r="AL36" i="20"/>
  <c r="AM36" i="20" s="1"/>
  <c r="AN36" i="20" s="1"/>
  <c r="AO36" i="20" s="1"/>
  <c r="AP36" i="20" s="1"/>
  <c r="AQ36" i="20" s="1"/>
  <c r="AR36" i="20" s="1"/>
  <c r="AD36" i="20"/>
  <c r="AE36" i="20" s="1"/>
  <c r="AF36" i="20" s="1"/>
  <c r="AG36" i="20" s="1"/>
  <c r="AH36" i="20" s="1"/>
  <c r="AI36" i="20" s="1"/>
  <c r="AJ36" i="20" s="1"/>
  <c r="V36" i="20"/>
  <c r="W36" i="20" s="1"/>
  <c r="X36" i="20" s="1"/>
  <c r="Y36" i="20" s="1"/>
  <c r="Z36" i="20" s="1"/>
  <c r="AA36" i="20" s="1"/>
  <c r="AB36" i="20" s="1"/>
  <c r="N36" i="20"/>
  <c r="Q36" i="20" s="1"/>
  <c r="R36" i="20" s="1"/>
  <c r="S36" i="20" s="1"/>
  <c r="T36" i="20" s="1"/>
  <c r="F36" i="20"/>
  <c r="AT35" i="20"/>
  <c r="AU35" i="20" s="1"/>
  <c r="AV35" i="20" s="1"/>
  <c r="AW35" i="20" s="1"/>
  <c r="AX35" i="20" s="1"/>
  <c r="AY35" i="20" s="1"/>
  <c r="AZ35" i="20" s="1"/>
  <c r="AL35" i="20"/>
  <c r="AM35" i="20" s="1"/>
  <c r="AN35" i="20" s="1"/>
  <c r="AO35" i="20" s="1"/>
  <c r="AP35" i="20" s="1"/>
  <c r="AQ35" i="20" s="1"/>
  <c r="AR35" i="20" s="1"/>
  <c r="AD35" i="20"/>
  <c r="AE35" i="20" s="1"/>
  <c r="AF35" i="20" s="1"/>
  <c r="AG35" i="20" s="1"/>
  <c r="AH35" i="20" s="1"/>
  <c r="AI35" i="20" s="1"/>
  <c r="AJ35" i="20" s="1"/>
  <c r="V35" i="20"/>
  <c r="W35" i="20" s="1"/>
  <c r="X35" i="20" s="1"/>
  <c r="Y35" i="20" s="1"/>
  <c r="Z35" i="20" s="1"/>
  <c r="AA35" i="20" s="1"/>
  <c r="AB35" i="20" s="1"/>
  <c r="N35" i="20"/>
  <c r="O35" i="20" s="1"/>
  <c r="P35" i="20" s="1"/>
  <c r="Q35" i="20" s="1"/>
  <c r="R35" i="20" s="1"/>
  <c r="S35" i="20" s="1"/>
  <c r="T35" i="20" s="1"/>
  <c r="F35" i="20"/>
  <c r="G35" i="20" s="1"/>
  <c r="H35" i="20" s="1"/>
  <c r="I35" i="20" s="1"/>
  <c r="J35" i="20" s="1"/>
  <c r="K35" i="20" s="1"/>
  <c r="L35" i="20" s="1"/>
  <c r="AT34" i="20"/>
  <c r="AU34" i="20" s="1"/>
  <c r="AV34" i="20" s="1"/>
  <c r="AW34" i="20" s="1"/>
  <c r="AX34" i="20" s="1"/>
  <c r="AY34" i="20" s="1"/>
  <c r="AZ34" i="20" s="1"/>
  <c r="AL34" i="20"/>
  <c r="AM34" i="20" s="1"/>
  <c r="AN34" i="20" s="1"/>
  <c r="AO34" i="20" s="1"/>
  <c r="AP34" i="20" s="1"/>
  <c r="AQ34" i="20" s="1"/>
  <c r="AR34" i="20" s="1"/>
  <c r="AD34" i="20"/>
  <c r="AE34" i="20" s="1"/>
  <c r="AF34" i="20" s="1"/>
  <c r="AG34" i="20" s="1"/>
  <c r="AH34" i="20" s="1"/>
  <c r="AI34" i="20" s="1"/>
  <c r="AJ34" i="20" s="1"/>
  <c r="V34" i="20"/>
  <c r="W34" i="20" s="1"/>
  <c r="X34" i="20" s="1"/>
  <c r="Y34" i="20" s="1"/>
  <c r="Z34" i="20" s="1"/>
  <c r="AA34" i="20" s="1"/>
  <c r="AB34" i="20" s="1"/>
  <c r="N34" i="20"/>
  <c r="Q34" i="20" s="1"/>
  <c r="R34" i="20" s="1"/>
  <c r="S34" i="20" s="1"/>
  <c r="T34" i="20" s="1"/>
  <c r="F34" i="20"/>
  <c r="G34" i="20" s="1"/>
  <c r="H34" i="20" s="1"/>
  <c r="I34" i="20" s="1"/>
  <c r="AT33" i="20"/>
  <c r="AU33" i="20" s="1"/>
  <c r="AV33" i="20" s="1"/>
  <c r="AW33" i="20" s="1"/>
  <c r="AX33" i="20" s="1"/>
  <c r="AY33" i="20" s="1"/>
  <c r="AZ33" i="20" s="1"/>
  <c r="AL33" i="20"/>
  <c r="AM33" i="20" s="1"/>
  <c r="AN33" i="20" s="1"/>
  <c r="AO33" i="20" s="1"/>
  <c r="AP33" i="20" s="1"/>
  <c r="AQ33" i="20" s="1"/>
  <c r="AR33" i="20" s="1"/>
  <c r="AD33" i="20"/>
  <c r="AE33" i="20" s="1"/>
  <c r="AF33" i="20" s="1"/>
  <c r="AG33" i="20" s="1"/>
  <c r="AH33" i="20" s="1"/>
  <c r="AI33" i="20" s="1"/>
  <c r="AJ33" i="20" s="1"/>
  <c r="V33" i="20"/>
  <c r="W33" i="20" s="1"/>
  <c r="X33" i="20" s="1"/>
  <c r="Y33" i="20" s="1"/>
  <c r="Z33" i="20" s="1"/>
  <c r="AA33" i="20" s="1"/>
  <c r="AB33" i="20" s="1"/>
  <c r="N33" i="20"/>
  <c r="O33" i="20" s="1"/>
  <c r="P33" i="20" s="1"/>
  <c r="Q33" i="20" s="1"/>
  <c r="R33" i="20" s="1"/>
  <c r="S33" i="20" s="1"/>
  <c r="T33" i="20" s="1"/>
  <c r="F33" i="20"/>
  <c r="G33" i="20" s="1"/>
  <c r="AT32" i="20"/>
  <c r="AU32" i="20" s="1"/>
  <c r="AV32" i="20" s="1"/>
  <c r="AW32" i="20" s="1"/>
  <c r="AX32" i="20" s="1"/>
  <c r="AY32" i="20" s="1"/>
  <c r="AZ32" i="20" s="1"/>
  <c r="AL32" i="20"/>
  <c r="AM32" i="20" s="1"/>
  <c r="AN32" i="20" s="1"/>
  <c r="AO32" i="20" s="1"/>
  <c r="AP32" i="20" s="1"/>
  <c r="AQ32" i="20" s="1"/>
  <c r="AR32" i="20" s="1"/>
  <c r="AD32" i="20"/>
  <c r="AE32" i="20" s="1"/>
  <c r="AF32" i="20" s="1"/>
  <c r="AG32" i="20" s="1"/>
  <c r="AH32" i="20" s="1"/>
  <c r="AI32" i="20" s="1"/>
  <c r="AJ32" i="20" s="1"/>
  <c r="V32" i="20"/>
  <c r="W32" i="20" s="1"/>
  <c r="X32" i="20" s="1"/>
  <c r="Y32" i="20" s="1"/>
  <c r="Z32" i="20" s="1"/>
  <c r="AA32" i="20" s="1"/>
  <c r="AB32" i="20" s="1"/>
  <c r="O32" i="20"/>
  <c r="P32" i="20" s="1"/>
  <c r="Q32" i="20" s="1"/>
  <c r="R32" i="20" s="1"/>
  <c r="S32" i="20" s="1"/>
  <c r="T32" i="20" s="1"/>
  <c r="F32" i="20"/>
  <c r="AT31" i="20"/>
  <c r="AU31" i="20" s="1"/>
  <c r="AV31" i="20" s="1"/>
  <c r="AW31" i="20" s="1"/>
  <c r="AX31" i="20" s="1"/>
  <c r="AY31" i="20" s="1"/>
  <c r="AZ31" i="20" s="1"/>
  <c r="AL31" i="20"/>
  <c r="AM31" i="20" s="1"/>
  <c r="AN31" i="20" s="1"/>
  <c r="AO31" i="20" s="1"/>
  <c r="AP31" i="20" s="1"/>
  <c r="AQ31" i="20" s="1"/>
  <c r="AR31" i="20" s="1"/>
  <c r="AD31" i="20"/>
  <c r="AE31" i="20" s="1"/>
  <c r="AF31" i="20" s="1"/>
  <c r="AG31" i="20" s="1"/>
  <c r="AH31" i="20" s="1"/>
  <c r="AI31" i="20" s="1"/>
  <c r="AJ31" i="20" s="1"/>
  <c r="V31" i="20"/>
  <c r="W31" i="20" s="1"/>
  <c r="X31" i="20" s="1"/>
  <c r="Y31" i="20" s="1"/>
  <c r="Z31" i="20" s="1"/>
  <c r="AA31" i="20" s="1"/>
  <c r="AB31" i="20" s="1"/>
  <c r="N31" i="20"/>
  <c r="O31" i="20" s="1"/>
  <c r="P31" i="20" s="1"/>
  <c r="Q31" i="20" s="1"/>
  <c r="R31" i="20" s="1"/>
  <c r="S31" i="20" s="1"/>
  <c r="T31" i="20" s="1"/>
  <c r="G31" i="20"/>
  <c r="H31" i="20" s="1"/>
  <c r="I31" i="20" s="1"/>
  <c r="J31" i="20" s="1"/>
  <c r="K31" i="20" s="1"/>
  <c r="L31" i="20" s="1"/>
  <c r="F31" i="20"/>
  <c r="AT30" i="20"/>
  <c r="AU30" i="20" s="1"/>
  <c r="AV30" i="20" s="1"/>
  <c r="AW30" i="20" s="1"/>
  <c r="AX30" i="20" s="1"/>
  <c r="AY30" i="20" s="1"/>
  <c r="AZ30" i="20" s="1"/>
  <c r="AL30" i="20"/>
  <c r="AM30" i="20" s="1"/>
  <c r="AN30" i="20" s="1"/>
  <c r="AO30" i="20" s="1"/>
  <c r="AP30" i="20" s="1"/>
  <c r="AQ30" i="20" s="1"/>
  <c r="AR30" i="20" s="1"/>
  <c r="AD30" i="20"/>
  <c r="AE30" i="20" s="1"/>
  <c r="AF30" i="20" s="1"/>
  <c r="AG30" i="20" s="1"/>
  <c r="AH30" i="20" s="1"/>
  <c r="AI30" i="20" s="1"/>
  <c r="AJ30" i="20" s="1"/>
  <c r="V30" i="20"/>
  <c r="W30" i="20" s="1"/>
  <c r="X30" i="20" s="1"/>
  <c r="Y30" i="20" s="1"/>
  <c r="Z30" i="20" s="1"/>
  <c r="AA30" i="20" s="1"/>
  <c r="AB30" i="20" s="1"/>
  <c r="N30" i="20"/>
  <c r="O30" i="20" s="1"/>
  <c r="P30" i="20" s="1"/>
  <c r="Q30" i="20" s="1"/>
  <c r="R30" i="20" s="1"/>
  <c r="S30" i="20" s="1"/>
  <c r="T30" i="20" s="1"/>
  <c r="F30" i="20"/>
  <c r="AT29" i="20"/>
  <c r="AU29" i="20" s="1"/>
  <c r="AV29" i="20" s="1"/>
  <c r="AW29" i="20" s="1"/>
  <c r="AX29" i="20" s="1"/>
  <c r="AY29" i="20" s="1"/>
  <c r="AZ29" i="20" s="1"/>
  <c r="AL29" i="20"/>
  <c r="AM29" i="20" s="1"/>
  <c r="AN29" i="20" s="1"/>
  <c r="AO29" i="20" s="1"/>
  <c r="AP29" i="20" s="1"/>
  <c r="AQ29" i="20" s="1"/>
  <c r="AR29" i="20" s="1"/>
  <c r="AD29" i="20"/>
  <c r="AE29" i="20" s="1"/>
  <c r="AF29" i="20" s="1"/>
  <c r="AG29" i="20" s="1"/>
  <c r="AH29" i="20" s="1"/>
  <c r="AI29" i="20" s="1"/>
  <c r="AJ29" i="20" s="1"/>
  <c r="V29" i="20"/>
  <c r="W29" i="20" s="1"/>
  <c r="X29" i="20" s="1"/>
  <c r="Y29" i="20" s="1"/>
  <c r="Z29" i="20" s="1"/>
  <c r="AA29" i="20" s="1"/>
  <c r="AB29" i="20" s="1"/>
  <c r="N29" i="20"/>
  <c r="O29" i="20" s="1"/>
  <c r="P29" i="20" s="1"/>
  <c r="Q29" i="20" s="1"/>
  <c r="R29" i="20" s="1"/>
  <c r="S29" i="20" s="1"/>
  <c r="T29" i="20" s="1"/>
  <c r="F29" i="20"/>
  <c r="G29" i="20" s="1"/>
  <c r="H29" i="20" s="1"/>
  <c r="I29" i="20" s="1"/>
  <c r="J29" i="20" s="1"/>
  <c r="K29" i="20" s="1"/>
  <c r="L29" i="20" s="1"/>
  <c r="AT28" i="20"/>
  <c r="AU28" i="20" s="1"/>
  <c r="AV28" i="20" s="1"/>
  <c r="AW28" i="20" s="1"/>
  <c r="AX28" i="20" s="1"/>
  <c r="AY28" i="20" s="1"/>
  <c r="AZ28" i="20" s="1"/>
  <c r="AL28" i="20"/>
  <c r="AM28" i="20" s="1"/>
  <c r="AN28" i="20" s="1"/>
  <c r="AO28" i="20" s="1"/>
  <c r="AP28" i="20" s="1"/>
  <c r="AQ28" i="20" s="1"/>
  <c r="AR28" i="20" s="1"/>
  <c r="AD28" i="20"/>
  <c r="AE28" i="20" s="1"/>
  <c r="AF28" i="20" s="1"/>
  <c r="AG28" i="20" s="1"/>
  <c r="AH28" i="20" s="1"/>
  <c r="AI28" i="20" s="1"/>
  <c r="AJ28" i="20" s="1"/>
  <c r="V28" i="20"/>
  <c r="W28" i="20" s="1"/>
  <c r="X28" i="20" s="1"/>
  <c r="Y28" i="20" s="1"/>
  <c r="Z28" i="20" s="1"/>
  <c r="AA28" i="20" s="1"/>
  <c r="AB28" i="20" s="1"/>
  <c r="N28" i="20"/>
  <c r="O28" i="20" s="1"/>
  <c r="P28" i="20" s="1"/>
  <c r="Q28" i="20" s="1"/>
  <c r="R28" i="20" s="1"/>
  <c r="S28" i="20" s="1"/>
  <c r="T28" i="20" s="1"/>
  <c r="F28" i="20"/>
  <c r="G28" i="20" s="1"/>
  <c r="H28" i="20" s="1"/>
  <c r="I28" i="20" s="1"/>
  <c r="J28" i="20" s="1"/>
  <c r="K28" i="20" s="1"/>
  <c r="L28" i="20" s="1"/>
  <c r="AT27" i="20"/>
  <c r="AU27" i="20" s="1"/>
  <c r="AV27" i="20" s="1"/>
  <c r="AW27" i="20" s="1"/>
  <c r="AX27" i="20" s="1"/>
  <c r="AY27" i="20" s="1"/>
  <c r="AZ27" i="20" s="1"/>
  <c r="AL27" i="20"/>
  <c r="AM27" i="20" s="1"/>
  <c r="AN27" i="20" s="1"/>
  <c r="AO27" i="20" s="1"/>
  <c r="AP27" i="20" s="1"/>
  <c r="AQ27" i="20" s="1"/>
  <c r="AR27" i="20" s="1"/>
  <c r="AD27" i="20"/>
  <c r="AE27" i="20" s="1"/>
  <c r="AF27" i="20" s="1"/>
  <c r="AG27" i="20" s="1"/>
  <c r="AH27" i="20" s="1"/>
  <c r="AI27" i="20" s="1"/>
  <c r="AJ27" i="20" s="1"/>
  <c r="V27" i="20"/>
  <c r="W27" i="20" s="1"/>
  <c r="X27" i="20" s="1"/>
  <c r="Y27" i="20" s="1"/>
  <c r="Z27" i="20" s="1"/>
  <c r="AA27" i="20" s="1"/>
  <c r="AB27" i="20" s="1"/>
  <c r="N27" i="20"/>
  <c r="O27" i="20" s="1"/>
  <c r="P27" i="20" s="1"/>
  <c r="Q27" i="20" s="1"/>
  <c r="R27" i="20" s="1"/>
  <c r="S27" i="20" s="1"/>
  <c r="T27" i="20" s="1"/>
  <c r="G27" i="20"/>
  <c r="H27" i="20" s="1"/>
  <c r="F27" i="20"/>
  <c r="AT26" i="20"/>
  <c r="AU26" i="20" s="1"/>
  <c r="AV26" i="20" s="1"/>
  <c r="AW26" i="20" s="1"/>
  <c r="AX26" i="20" s="1"/>
  <c r="AY26" i="20" s="1"/>
  <c r="AZ26" i="20" s="1"/>
  <c r="AL26" i="20"/>
  <c r="AM26" i="20" s="1"/>
  <c r="AN26" i="20" s="1"/>
  <c r="AO26" i="20" s="1"/>
  <c r="AP26" i="20" s="1"/>
  <c r="AQ26" i="20" s="1"/>
  <c r="AR26" i="20" s="1"/>
  <c r="AD26" i="20"/>
  <c r="AE26" i="20" s="1"/>
  <c r="AF26" i="20" s="1"/>
  <c r="AG26" i="20" s="1"/>
  <c r="AH26" i="20" s="1"/>
  <c r="AI26" i="20" s="1"/>
  <c r="AJ26" i="20" s="1"/>
  <c r="V26" i="20"/>
  <c r="W26" i="20" s="1"/>
  <c r="X26" i="20" s="1"/>
  <c r="Y26" i="20" s="1"/>
  <c r="Z26" i="20" s="1"/>
  <c r="AA26" i="20" s="1"/>
  <c r="AB26" i="20" s="1"/>
  <c r="O26" i="20"/>
  <c r="P26" i="20" s="1"/>
  <c r="Q26" i="20" s="1"/>
  <c r="R26" i="20" s="1"/>
  <c r="S26" i="20" s="1"/>
  <c r="T26" i="20" s="1"/>
  <c r="F26" i="20"/>
  <c r="AT25" i="20"/>
  <c r="AU25" i="20" s="1"/>
  <c r="AV25" i="20" s="1"/>
  <c r="AW25" i="20" s="1"/>
  <c r="AX25" i="20" s="1"/>
  <c r="AY25" i="20" s="1"/>
  <c r="AZ25" i="20" s="1"/>
  <c r="AL25" i="20"/>
  <c r="AM25" i="20" s="1"/>
  <c r="AN25" i="20" s="1"/>
  <c r="AO25" i="20" s="1"/>
  <c r="AP25" i="20" s="1"/>
  <c r="AQ25" i="20" s="1"/>
  <c r="AR25" i="20" s="1"/>
  <c r="AG25" i="20"/>
  <c r="AH25" i="20" s="1"/>
  <c r="AI25" i="20" s="1"/>
  <c r="AJ25" i="20" s="1"/>
  <c r="AD25" i="20"/>
  <c r="AE25" i="20" s="1"/>
  <c r="AF25" i="20" s="1"/>
  <c r="V25" i="20"/>
  <c r="W25" i="20" s="1"/>
  <c r="X25" i="20" s="1"/>
  <c r="Y25" i="20" s="1"/>
  <c r="Z25" i="20" s="1"/>
  <c r="AA25" i="20" s="1"/>
  <c r="AB25" i="20" s="1"/>
  <c r="N25" i="20"/>
  <c r="O25" i="20" s="1"/>
  <c r="P25" i="20" s="1"/>
  <c r="Q25" i="20" s="1"/>
  <c r="R25" i="20" s="1"/>
  <c r="S25" i="20" s="1"/>
  <c r="T25" i="20" s="1"/>
  <c r="F25" i="20"/>
  <c r="AT24" i="20"/>
  <c r="AU24" i="20" s="1"/>
  <c r="AV24" i="20" s="1"/>
  <c r="AW24" i="20" s="1"/>
  <c r="AX24" i="20" s="1"/>
  <c r="AY24" i="20" s="1"/>
  <c r="AZ24" i="20" s="1"/>
  <c r="AL24" i="20"/>
  <c r="AM24" i="20" s="1"/>
  <c r="AN24" i="20" s="1"/>
  <c r="AO24" i="20" s="1"/>
  <c r="AP24" i="20" s="1"/>
  <c r="AQ24" i="20" s="1"/>
  <c r="AR24" i="20" s="1"/>
  <c r="AD24" i="20"/>
  <c r="AE24" i="20" s="1"/>
  <c r="AF24" i="20" s="1"/>
  <c r="AG24" i="20" s="1"/>
  <c r="AH24" i="20" s="1"/>
  <c r="AI24" i="20" s="1"/>
  <c r="AJ24" i="20" s="1"/>
  <c r="V24" i="20"/>
  <c r="W24" i="20" s="1"/>
  <c r="X24" i="20" s="1"/>
  <c r="Y24" i="20" s="1"/>
  <c r="Z24" i="20" s="1"/>
  <c r="AA24" i="20" s="1"/>
  <c r="AB24" i="20" s="1"/>
  <c r="N24" i="20"/>
  <c r="O24" i="20" s="1"/>
  <c r="P24" i="20" s="1"/>
  <c r="Q24" i="20" s="1"/>
  <c r="R24" i="20" s="1"/>
  <c r="S24" i="20" s="1"/>
  <c r="T24" i="20" s="1"/>
  <c r="F24" i="20"/>
  <c r="G24" i="20" s="1"/>
  <c r="H24" i="20" s="1"/>
  <c r="I24" i="20" s="1"/>
  <c r="J24" i="20" s="1"/>
  <c r="K24" i="20" s="1"/>
  <c r="L24" i="20" s="1"/>
  <c r="AT23" i="20"/>
  <c r="AU23" i="20" s="1"/>
  <c r="AV23" i="20" s="1"/>
  <c r="AW23" i="20" s="1"/>
  <c r="AX23" i="20" s="1"/>
  <c r="AY23" i="20" s="1"/>
  <c r="AZ23" i="20" s="1"/>
  <c r="AL23" i="20"/>
  <c r="AM23" i="20" s="1"/>
  <c r="AN23" i="20" s="1"/>
  <c r="AO23" i="20" s="1"/>
  <c r="AP23" i="20" s="1"/>
  <c r="AQ23" i="20" s="1"/>
  <c r="AR23" i="20" s="1"/>
  <c r="AD23" i="20"/>
  <c r="AE23" i="20" s="1"/>
  <c r="AF23" i="20" s="1"/>
  <c r="AG23" i="20" s="1"/>
  <c r="AH23" i="20" s="1"/>
  <c r="AI23" i="20" s="1"/>
  <c r="AJ23" i="20" s="1"/>
  <c r="V23" i="20"/>
  <c r="W23" i="20" s="1"/>
  <c r="X23" i="20" s="1"/>
  <c r="Y23" i="20" s="1"/>
  <c r="Z23" i="20" s="1"/>
  <c r="AA23" i="20" s="1"/>
  <c r="AB23" i="20" s="1"/>
  <c r="N23" i="20"/>
  <c r="O23" i="20" s="1"/>
  <c r="P23" i="20" s="1"/>
  <c r="Q23" i="20" s="1"/>
  <c r="R23" i="20" s="1"/>
  <c r="S23" i="20" s="1"/>
  <c r="T23" i="20" s="1"/>
  <c r="F23" i="20"/>
  <c r="G23" i="20" s="1"/>
  <c r="AT22" i="20"/>
  <c r="AU22" i="20" s="1"/>
  <c r="AV22" i="20" s="1"/>
  <c r="AW22" i="20" s="1"/>
  <c r="AX22" i="20" s="1"/>
  <c r="AY22" i="20" s="1"/>
  <c r="AZ22" i="20" s="1"/>
  <c r="AL22" i="20"/>
  <c r="AM22" i="20" s="1"/>
  <c r="AN22" i="20" s="1"/>
  <c r="AO22" i="20" s="1"/>
  <c r="AP22" i="20" s="1"/>
  <c r="AQ22" i="20" s="1"/>
  <c r="AR22" i="20" s="1"/>
  <c r="AD22" i="20"/>
  <c r="AE22" i="20" s="1"/>
  <c r="AF22" i="20" s="1"/>
  <c r="AG22" i="20" s="1"/>
  <c r="AH22" i="20" s="1"/>
  <c r="AI22" i="20" s="1"/>
  <c r="AJ22" i="20" s="1"/>
  <c r="V22" i="20"/>
  <c r="W22" i="20" s="1"/>
  <c r="X22" i="20" s="1"/>
  <c r="Y22" i="20" s="1"/>
  <c r="Z22" i="20" s="1"/>
  <c r="AA22" i="20" s="1"/>
  <c r="AB22" i="20" s="1"/>
  <c r="N22" i="20"/>
  <c r="O22" i="20" s="1"/>
  <c r="P22" i="20" s="1"/>
  <c r="Q22" i="20" s="1"/>
  <c r="R22" i="20" s="1"/>
  <c r="S22" i="20" s="1"/>
  <c r="T22" i="20" s="1"/>
  <c r="F22" i="20"/>
  <c r="AT21" i="20"/>
  <c r="AU21" i="20" s="1"/>
  <c r="AV21" i="20" s="1"/>
  <c r="AW21" i="20" s="1"/>
  <c r="AX21" i="20" s="1"/>
  <c r="AY21" i="20" s="1"/>
  <c r="AZ21" i="20" s="1"/>
  <c r="AL21" i="20"/>
  <c r="AM21" i="20" s="1"/>
  <c r="AN21" i="20" s="1"/>
  <c r="AO21" i="20" s="1"/>
  <c r="AP21" i="20" s="1"/>
  <c r="AQ21" i="20" s="1"/>
  <c r="AR21" i="20" s="1"/>
  <c r="AD21" i="20"/>
  <c r="AE21" i="20" s="1"/>
  <c r="AF21" i="20" s="1"/>
  <c r="AG21" i="20" s="1"/>
  <c r="AH21" i="20" s="1"/>
  <c r="AI21" i="20" s="1"/>
  <c r="AJ21" i="20" s="1"/>
  <c r="V21" i="20"/>
  <c r="W21" i="20" s="1"/>
  <c r="X21" i="20" s="1"/>
  <c r="Y21" i="20" s="1"/>
  <c r="Z21" i="20" s="1"/>
  <c r="AA21" i="20" s="1"/>
  <c r="AB21" i="20" s="1"/>
  <c r="N21" i="20"/>
  <c r="O21" i="20" s="1"/>
  <c r="P21" i="20" s="1"/>
  <c r="Q21" i="20" s="1"/>
  <c r="R21" i="20" s="1"/>
  <c r="S21" i="20" s="1"/>
  <c r="T21" i="20" s="1"/>
  <c r="F21" i="20"/>
  <c r="AT20" i="20"/>
  <c r="AU20" i="20" s="1"/>
  <c r="AV20" i="20" s="1"/>
  <c r="AW20" i="20" s="1"/>
  <c r="AX20" i="20" s="1"/>
  <c r="AY20" i="20" s="1"/>
  <c r="AZ20" i="20" s="1"/>
  <c r="AL20" i="20"/>
  <c r="AM20" i="20" s="1"/>
  <c r="AN20" i="20" s="1"/>
  <c r="AO20" i="20" s="1"/>
  <c r="AP20" i="20" s="1"/>
  <c r="AQ20" i="20" s="1"/>
  <c r="AR20" i="20" s="1"/>
  <c r="AD20" i="20"/>
  <c r="AE20" i="20" s="1"/>
  <c r="AF20" i="20" s="1"/>
  <c r="AG20" i="20" s="1"/>
  <c r="AH20" i="20" s="1"/>
  <c r="AI20" i="20" s="1"/>
  <c r="AJ20" i="20" s="1"/>
  <c r="V20" i="20"/>
  <c r="W20" i="20" s="1"/>
  <c r="X20" i="20" s="1"/>
  <c r="Y20" i="20" s="1"/>
  <c r="Z20" i="20" s="1"/>
  <c r="AA20" i="20" s="1"/>
  <c r="AB20" i="20" s="1"/>
  <c r="N20" i="20"/>
  <c r="O20" i="20" s="1"/>
  <c r="P20" i="20" s="1"/>
  <c r="Q20" i="20" s="1"/>
  <c r="R20" i="20" s="1"/>
  <c r="S20" i="20" s="1"/>
  <c r="T20" i="20" s="1"/>
  <c r="F20" i="20"/>
  <c r="AT19" i="20"/>
  <c r="AU19" i="20" s="1"/>
  <c r="AV19" i="20" s="1"/>
  <c r="AW19" i="20" s="1"/>
  <c r="AX19" i="20" s="1"/>
  <c r="AY19" i="20" s="1"/>
  <c r="AZ19" i="20" s="1"/>
  <c r="AL19" i="20"/>
  <c r="AM19" i="20" s="1"/>
  <c r="AN19" i="20" s="1"/>
  <c r="AO19" i="20" s="1"/>
  <c r="AP19" i="20" s="1"/>
  <c r="AQ19" i="20" s="1"/>
  <c r="AR19" i="20" s="1"/>
  <c r="AD19" i="20"/>
  <c r="AE19" i="20" s="1"/>
  <c r="AF19" i="20" s="1"/>
  <c r="AG19" i="20" s="1"/>
  <c r="AH19" i="20" s="1"/>
  <c r="AI19" i="20" s="1"/>
  <c r="AJ19" i="20" s="1"/>
  <c r="V19" i="20"/>
  <c r="W19" i="20" s="1"/>
  <c r="X19" i="20" s="1"/>
  <c r="Y19" i="20" s="1"/>
  <c r="Z19" i="20" s="1"/>
  <c r="AA19" i="20" s="1"/>
  <c r="AB19" i="20" s="1"/>
  <c r="N19" i="20"/>
  <c r="O19" i="20" s="1"/>
  <c r="P19" i="20" s="1"/>
  <c r="Q19" i="20" s="1"/>
  <c r="R19" i="20" s="1"/>
  <c r="S19" i="20" s="1"/>
  <c r="T19" i="20" s="1"/>
  <c r="F19" i="20"/>
  <c r="G19" i="20" s="1"/>
  <c r="H19" i="20" s="1"/>
  <c r="I19" i="20" s="1"/>
  <c r="J19" i="20" s="1"/>
  <c r="K19" i="20" s="1"/>
  <c r="L19" i="20" s="1"/>
  <c r="AT18" i="20"/>
  <c r="AU18" i="20" s="1"/>
  <c r="AV18" i="20" s="1"/>
  <c r="AW18" i="20" s="1"/>
  <c r="AX18" i="20" s="1"/>
  <c r="AY18" i="20" s="1"/>
  <c r="AZ18" i="20" s="1"/>
  <c r="AL18" i="20"/>
  <c r="AM18" i="20" s="1"/>
  <c r="AN18" i="20" s="1"/>
  <c r="AO18" i="20" s="1"/>
  <c r="AP18" i="20" s="1"/>
  <c r="AQ18" i="20" s="1"/>
  <c r="AR18" i="20" s="1"/>
  <c r="AE18" i="20"/>
  <c r="AF18" i="20" s="1"/>
  <c r="AG18" i="20" s="1"/>
  <c r="AH18" i="20" s="1"/>
  <c r="AI18" i="20" s="1"/>
  <c r="AJ18" i="20" s="1"/>
  <c r="AD18" i="20"/>
  <c r="V18" i="20"/>
  <c r="W18" i="20" s="1"/>
  <c r="X18" i="20" s="1"/>
  <c r="Y18" i="20" s="1"/>
  <c r="Z18" i="20" s="1"/>
  <c r="AA18" i="20" s="1"/>
  <c r="AB18" i="20" s="1"/>
  <c r="N18" i="20"/>
  <c r="O18" i="20" s="1"/>
  <c r="P18" i="20" s="1"/>
  <c r="Q18" i="20" s="1"/>
  <c r="R18" i="20" s="1"/>
  <c r="S18" i="20" s="1"/>
  <c r="T18" i="20" s="1"/>
  <c r="F18" i="20"/>
  <c r="G18" i="20" s="1"/>
  <c r="H18" i="20" s="1"/>
  <c r="J18" i="20" s="1"/>
  <c r="K18" i="20" s="1"/>
  <c r="L18" i="20" s="1"/>
  <c r="AT17" i="20"/>
  <c r="AU17" i="20" s="1"/>
  <c r="AV17" i="20" s="1"/>
  <c r="AW17" i="20" s="1"/>
  <c r="AX17" i="20" s="1"/>
  <c r="AY17" i="20" s="1"/>
  <c r="AZ17" i="20" s="1"/>
  <c r="AL17" i="20"/>
  <c r="AM17" i="20" s="1"/>
  <c r="AN17" i="20" s="1"/>
  <c r="AO17" i="20" s="1"/>
  <c r="AP17" i="20" s="1"/>
  <c r="AQ17" i="20" s="1"/>
  <c r="AR17" i="20" s="1"/>
  <c r="AD17" i="20"/>
  <c r="AE17" i="20" s="1"/>
  <c r="AF17" i="20" s="1"/>
  <c r="AG17" i="20" s="1"/>
  <c r="AH17" i="20" s="1"/>
  <c r="AI17" i="20" s="1"/>
  <c r="AJ17" i="20" s="1"/>
  <c r="V17" i="20"/>
  <c r="W17" i="20" s="1"/>
  <c r="X17" i="20" s="1"/>
  <c r="Y17" i="20" s="1"/>
  <c r="Z17" i="20" s="1"/>
  <c r="AA17" i="20" s="1"/>
  <c r="AB17" i="20" s="1"/>
  <c r="N17" i="20"/>
  <c r="O17" i="20" s="1"/>
  <c r="P17" i="20" s="1"/>
  <c r="Q17" i="20" s="1"/>
  <c r="R17" i="20" s="1"/>
  <c r="S17" i="20" s="1"/>
  <c r="T17" i="20" s="1"/>
  <c r="F17" i="20"/>
  <c r="AT16" i="20"/>
  <c r="AU16" i="20" s="1"/>
  <c r="AV16" i="20" s="1"/>
  <c r="AW16" i="20" s="1"/>
  <c r="AX16" i="20" s="1"/>
  <c r="AY16" i="20" s="1"/>
  <c r="AZ16" i="20" s="1"/>
  <c r="AL16" i="20"/>
  <c r="AM16" i="20" s="1"/>
  <c r="AN16" i="20" s="1"/>
  <c r="AO16" i="20" s="1"/>
  <c r="AP16" i="20" s="1"/>
  <c r="AQ16" i="20" s="1"/>
  <c r="AR16" i="20" s="1"/>
  <c r="AD16" i="20"/>
  <c r="AE16" i="20" s="1"/>
  <c r="AF16" i="20" s="1"/>
  <c r="AG16" i="20" s="1"/>
  <c r="AH16" i="20" s="1"/>
  <c r="AI16" i="20" s="1"/>
  <c r="AJ16" i="20" s="1"/>
  <c r="V16" i="20"/>
  <c r="W16" i="20" s="1"/>
  <c r="X16" i="20" s="1"/>
  <c r="Y16" i="20" s="1"/>
  <c r="Z16" i="20" s="1"/>
  <c r="AA16" i="20" s="1"/>
  <c r="AB16" i="20" s="1"/>
  <c r="N16" i="20"/>
  <c r="Q16" i="20" s="1"/>
  <c r="R16" i="20" s="1"/>
  <c r="S16" i="20" s="1"/>
  <c r="T16" i="20" s="1"/>
  <c r="F16" i="20"/>
  <c r="G16" i="20" s="1"/>
  <c r="H16" i="20" s="1"/>
  <c r="J16" i="20" s="1"/>
  <c r="K16" i="20" s="1"/>
  <c r="L16" i="20" s="1"/>
  <c r="AT15" i="20"/>
  <c r="AU15" i="20" s="1"/>
  <c r="AV15" i="20" s="1"/>
  <c r="AW15" i="20" s="1"/>
  <c r="AX15" i="20" s="1"/>
  <c r="AY15" i="20" s="1"/>
  <c r="AZ15" i="20" s="1"/>
  <c r="AL15" i="20"/>
  <c r="AM15" i="20" s="1"/>
  <c r="AN15" i="20" s="1"/>
  <c r="AO15" i="20" s="1"/>
  <c r="AP15" i="20" s="1"/>
  <c r="AQ15" i="20" s="1"/>
  <c r="AR15" i="20" s="1"/>
  <c r="AD15" i="20"/>
  <c r="AE15" i="20" s="1"/>
  <c r="AF15" i="20" s="1"/>
  <c r="AG15" i="20" s="1"/>
  <c r="AH15" i="20" s="1"/>
  <c r="AI15" i="20" s="1"/>
  <c r="AJ15" i="20" s="1"/>
  <c r="V15" i="20"/>
  <c r="W15" i="20" s="1"/>
  <c r="X15" i="20" s="1"/>
  <c r="Y15" i="20" s="1"/>
  <c r="Z15" i="20" s="1"/>
  <c r="AA15" i="20" s="1"/>
  <c r="AB15" i="20" s="1"/>
  <c r="N15" i="20"/>
  <c r="O15" i="20" s="1"/>
  <c r="P15" i="20" s="1"/>
  <c r="Q15" i="20" s="1"/>
  <c r="R15" i="20" s="1"/>
  <c r="S15" i="20" s="1"/>
  <c r="T15" i="20" s="1"/>
  <c r="F15" i="20"/>
  <c r="G15" i="20" s="1"/>
  <c r="H15" i="20" s="1"/>
  <c r="I15" i="20" s="1"/>
  <c r="J15" i="20" s="1"/>
  <c r="K15" i="20" s="1"/>
  <c r="L15" i="20" s="1"/>
  <c r="AT14" i="20"/>
  <c r="AU14" i="20" s="1"/>
  <c r="AV14" i="20" s="1"/>
  <c r="AW14" i="20" s="1"/>
  <c r="AX14" i="20" s="1"/>
  <c r="AY14" i="20" s="1"/>
  <c r="AZ14" i="20" s="1"/>
  <c r="AL14" i="20"/>
  <c r="AM14" i="20" s="1"/>
  <c r="AN14" i="20" s="1"/>
  <c r="AO14" i="20" s="1"/>
  <c r="AP14" i="20" s="1"/>
  <c r="AQ14" i="20" s="1"/>
  <c r="AR14" i="20" s="1"/>
  <c r="AD14" i="20"/>
  <c r="AE14" i="20" s="1"/>
  <c r="AF14" i="20" s="1"/>
  <c r="AG14" i="20" s="1"/>
  <c r="AH14" i="20" s="1"/>
  <c r="AI14" i="20" s="1"/>
  <c r="AJ14" i="20" s="1"/>
  <c r="V14" i="20"/>
  <c r="W14" i="20" s="1"/>
  <c r="X14" i="20" s="1"/>
  <c r="Y14" i="20" s="1"/>
  <c r="Z14" i="20" s="1"/>
  <c r="AA14" i="20" s="1"/>
  <c r="AB14" i="20" s="1"/>
  <c r="N14" i="20"/>
  <c r="O14" i="20" s="1"/>
  <c r="P14" i="20" s="1"/>
  <c r="Q14" i="20" s="1"/>
  <c r="R14" i="20" s="1"/>
  <c r="S14" i="20" s="1"/>
  <c r="T14" i="20" s="1"/>
  <c r="F14" i="20"/>
  <c r="G14" i="20" s="1"/>
  <c r="H14" i="20" s="1"/>
  <c r="I14" i="20" s="1"/>
  <c r="J14" i="20" s="1"/>
  <c r="K14" i="20" s="1"/>
  <c r="L14" i="20" s="1"/>
  <c r="AT13" i="20"/>
  <c r="AU13" i="20" s="1"/>
  <c r="AV13" i="20" s="1"/>
  <c r="AW13" i="20" s="1"/>
  <c r="AX13" i="20" s="1"/>
  <c r="AY13" i="20" s="1"/>
  <c r="AZ13" i="20" s="1"/>
  <c r="AL13" i="20"/>
  <c r="AM13" i="20" s="1"/>
  <c r="AN13" i="20" s="1"/>
  <c r="AO13" i="20" s="1"/>
  <c r="AP13" i="20" s="1"/>
  <c r="AQ13" i="20" s="1"/>
  <c r="AR13" i="20" s="1"/>
  <c r="AG13" i="20"/>
  <c r="AH13" i="20" s="1"/>
  <c r="AI13" i="20" s="1"/>
  <c r="AJ13" i="20" s="1"/>
  <c r="AD13" i="20"/>
  <c r="AE13" i="20" s="1"/>
  <c r="AF13" i="20" s="1"/>
  <c r="V13" i="20"/>
  <c r="W13" i="20" s="1"/>
  <c r="X13" i="20" s="1"/>
  <c r="Y13" i="20" s="1"/>
  <c r="Z13" i="20" s="1"/>
  <c r="AA13" i="20" s="1"/>
  <c r="AB13" i="20" s="1"/>
  <c r="N13" i="20"/>
  <c r="O13" i="20" s="1"/>
  <c r="P13" i="20" s="1"/>
  <c r="Q13" i="20" s="1"/>
  <c r="R13" i="20" s="1"/>
  <c r="S13" i="20" s="1"/>
  <c r="T13" i="20" s="1"/>
  <c r="F13" i="20"/>
  <c r="G13" i="20" s="1"/>
  <c r="H13" i="20" s="1"/>
  <c r="I13" i="20" s="1"/>
  <c r="J13" i="20" s="1"/>
  <c r="K13" i="20" s="1"/>
  <c r="L13" i="20" s="1"/>
  <c r="AT12" i="20"/>
  <c r="AU12" i="20" s="1"/>
  <c r="AV12" i="20" s="1"/>
  <c r="AW12" i="20" s="1"/>
  <c r="AX12" i="20" s="1"/>
  <c r="AY12" i="20" s="1"/>
  <c r="AZ12" i="20" s="1"/>
  <c r="AL12" i="20"/>
  <c r="AM12" i="20" s="1"/>
  <c r="AN12" i="20" s="1"/>
  <c r="AO12" i="20" s="1"/>
  <c r="AP12" i="20" s="1"/>
  <c r="AQ12" i="20" s="1"/>
  <c r="AR12" i="20" s="1"/>
  <c r="AD12" i="20"/>
  <c r="AE12" i="20" s="1"/>
  <c r="AF12" i="20" s="1"/>
  <c r="AG12" i="20" s="1"/>
  <c r="AH12" i="20" s="1"/>
  <c r="AI12" i="20" s="1"/>
  <c r="AJ12" i="20" s="1"/>
  <c r="V12" i="20"/>
  <c r="W12" i="20" s="1"/>
  <c r="X12" i="20" s="1"/>
  <c r="Y12" i="20" s="1"/>
  <c r="Z12" i="20" s="1"/>
  <c r="AA12" i="20" s="1"/>
  <c r="AB12" i="20" s="1"/>
  <c r="N12" i="20"/>
  <c r="O12" i="20" s="1"/>
  <c r="P12" i="20" s="1"/>
  <c r="Q12" i="20" s="1"/>
  <c r="R12" i="20" s="1"/>
  <c r="S12" i="20" s="1"/>
  <c r="T12" i="20" s="1"/>
  <c r="F12" i="20"/>
  <c r="AT11" i="20"/>
  <c r="AU11" i="20" s="1"/>
  <c r="AV11" i="20" s="1"/>
  <c r="AW11" i="20" s="1"/>
  <c r="AX11" i="20" s="1"/>
  <c r="AY11" i="20" s="1"/>
  <c r="AZ11" i="20" s="1"/>
  <c r="AL11" i="20"/>
  <c r="AM11" i="20" s="1"/>
  <c r="AN11" i="20" s="1"/>
  <c r="AO11" i="20" s="1"/>
  <c r="AP11" i="20" s="1"/>
  <c r="AQ11" i="20" s="1"/>
  <c r="AR11" i="20" s="1"/>
  <c r="AD11" i="20"/>
  <c r="AE11" i="20" s="1"/>
  <c r="AF11" i="20" s="1"/>
  <c r="AG11" i="20" s="1"/>
  <c r="AH11" i="20" s="1"/>
  <c r="AI11" i="20" s="1"/>
  <c r="AJ11" i="20" s="1"/>
  <c r="V11" i="20"/>
  <c r="W11" i="20" s="1"/>
  <c r="X11" i="20" s="1"/>
  <c r="Y11" i="20" s="1"/>
  <c r="Z11" i="20" s="1"/>
  <c r="AA11" i="20" s="1"/>
  <c r="AB11" i="20" s="1"/>
  <c r="N11" i="20"/>
  <c r="O11" i="20" s="1"/>
  <c r="P11" i="20" s="1"/>
  <c r="Q11" i="20" s="1"/>
  <c r="R11" i="20" s="1"/>
  <c r="S11" i="20" s="1"/>
  <c r="T11" i="20" s="1"/>
  <c r="J11" i="20"/>
  <c r="K11" i="20" s="1"/>
  <c r="L11" i="20" s="1"/>
  <c r="F11" i="20"/>
  <c r="AT10" i="20"/>
  <c r="AL10" i="20"/>
  <c r="AD10" i="20"/>
  <c r="AE10" i="20" s="1"/>
  <c r="V10" i="20"/>
  <c r="N10" i="20"/>
  <c r="O10" i="20" s="1"/>
  <c r="F10" i="20"/>
  <c r="G10" i="20" s="1"/>
  <c r="F75" i="19"/>
  <c r="G75" i="19"/>
  <c r="H75" i="19"/>
  <c r="M75" i="19"/>
  <c r="N75" i="19"/>
  <c r="O75" i="19"/>
  <c r="P75" i="19"/>
  <c r="Q75" i="19"/>
  <c r="E75" i="19"/>
  <c r="BB5" i="19"/>
  <c r="M74" i="19"/>
  <c r="E74" i="19"/>
  <c r="N73" i="19"/>
  <c r="O73" i="19" s="1"/>
  <c r="P73" i="19" s="1"/>
  <c r="Q73" i="19" s="1"/>
  <c r="R73" i="19" s="1"/>
  <c r="S73" i="19" s="1"/>
  <c r="T73" i="19" s="1"/>
  <c r="F73" i="19"/>
  <c r="N72" i="19"/>
  <c r="O72" i="19" s="1"/>
  <c r="P72" i="19" s="1"/>
  <c r="Q72" i="19" s="1"/>
  <c r="R72" i="19" s="1"/>
  <c r="S72" i="19" s="1"/>
  <c r="T72" i="19" s="1"/>
  <c r="F72" i="19"/>
  <c r="N71" i="19"/>
  <c r="O71" i="19" s="1"/>
  <c r="P71" i="19" s="1"/>
  <c r="Q71" i="19" s="1"/>
  <c r="R71" i="19" s="1"/>
  <c r="S71" i="19" s="1"/>
  <c r="T71" i="19" s="1"/>
  <c r="F71" i="19"/>
  <c r="N70" i="19"/>
  <c r="O70" i="19" s="1"/>
  <c r="P70" i="19" s="1"/>
  <c r="Q70" i="19" s="1"/>
  <c r="R70" i="19" s="1"/>
  <c r="S70" i="19" s="1"/>
  <c r="T70" i="19" s="1"/>
  <c r="F70" i="19"/>
  <c r="N69" i="19"/>
  <c r="O69" i="19" s="1"/>
  <c r="P69" i="19" s="1"/>
  <c r="Q69" i="19" s="1"/>
  <c r="R69" i="19" s="1"/>
  <c r="S69" i="19" s="1"/>
  <c r="T69" i="19" s="1"/>
  <c r="F69" i="19"/>
  <c r="N68" i="19"/>
  <c r="O68" i="19" s="1"/>
  <c r="P68" i="19" s="1"/>
  <c r="Q68" i="19" s="1"/>
  <c r="R68" i="19" s="1"/>
  <c r="S68" i="19" s="1"/>
  <c r="T68" i="19" s="1"/>
  <c r="F68" i="19"/>
  <c r="N67" i="19"/>
  <c r="O67" i="19" s="1"/>
  <c r="P67" i="19" s="1"/>
  <c r="Q67" i="19" s="1"/>
  <c r="R67" i="19" s="1"/>
  <c r="S67" i="19" s="1"/>
  <c r="T67" i="19" s="1"/>
  <c r="F67" i="19"/>
  <c r="N66" i="19"/>
  <c r="O66" i="19" s="1"/>
  <c r="P66" i="19" s="1"/>
  <c r="Q66" i="19" s="1"/>
  <c r="R66" i="19" s="1"/>
  <c r="S66" i="19" s="1"/>
  <c r="T66" i="19" s="1"/>
  <c r="F66" i="19"/>
  <c r="N65" i="19"/>
  <c r="O65" i="19" s="1"/>
  <c r="P65" i="19" s="1"/>
  <c r="Q65" i="19" s="1"/>
  <c r="R65" i="19" s="1"/>
  <c r="S65" i="19" s="1"/>
  <c r="T65" i="19" s="1"/>
  <c r="F65" i="19"/>
  <c r="N64" i="19"/>
  <c r="O64" i="19" s="1"/>
  <c r="P64" i="19" s="1"/>
  <c r="Q64" i="19" s="1"/>
  <c r="R64" i="19" s="1"/>
  <c r="S64" i="19" s="1"/>
  <c r="T64" i="19" s="1"/>
  <c r="F64" i="19"/>
  <c r="N63" i="19"/>
  <c r="O63" i="19" s="1"/>
  <c r="P63" i="19" s="1"/>
  <c r="Q63" i="19" s="1"/>
  <c r="R63" i="19" s="1"/>
  <c r="S63" i="19" s="1"/>
  <c r="T63" i="19" s="1"/>
  <c r="F63" i="19"/>
  <c r="N62" i="19"/>
  <c r="O62" i="19" s="1"/>
  <c r="P62" i="19" s="1"/>
  <c r="Q62" i="19" s="1"/>
  <c r="R62" i="19" s="1"/>
  <c r="S62" i="19" s="1"/>
  <c r="T62" i="19" s="1"/>
  <c r="F62" i="19"/>
  <c r="N61" i="19"/>
  <c r="O61" i="19" s="1"/>
  <c r="P61" i="19" s="1"/>
  <c r="Q61" i="19" s="1"/>
  <c r="R61" i="19" s="1"/>
  <c r="S61" i="19" s="1"/>
  <c r="T61" i="19" s="1"/>
  <c r="F61" i="19"/>
  <c r="N60" i="19"/>
  <c r="O60" i="19" s="1"/>
  <c r="P60" i="19" s="1"/>
  <c r="Q60" i="19" s="1"/>
  <c r="R60" i="19" s="1"/>
  <c r="S60" i="19" s="1"/>
  <c r="T60" i="19" s="1"/>
  <c r="F60" i="19"/>
  <c r="N59" i="19"/>
  <c r="O59" i="19" s="1"/>
  <c r="P59" i="19" s="1"/>
  <c r="Q59" i="19" s="1"/>
  <c r="R59" i="19" s="1"/>
  <c r="S59" i="19" s="1"/>
  <c r="T59" i="19" s="1"/>
  <c r="F59" i="19"/>
  <c r="N58" i="19"/>
  <c r="O58" i="19" s="1"/>
  <c r="P58" i="19" s="1"/>
  <c r="Q58" i="19" s="1"/>
  <c r="R58" i="19" s="1"/>
  <c r="S58" i="19" s="1"/>
  <c r="T58" i="19" s="1"/>
  <c r="F58" i="19"/>
  <c r="N57" i="19"/>
  <c r="O57" i="19" s="1"/>
  <c r="P57" i="19" s="1"/>
  <c r="Q57" i="19" s="1"/>
  <c r="R57" i="19" s="1"/>
  <c r="S57" i="19" s="1"/>
  <c r="T57" i="19" s="1"/>
  <c r="F57" i="19"/>
  <c r="N56" i="19"/>
  <c r="O56" i="19" s="1"/>
  <c r="P56" i="19" s="1"/>
  <c r="Q56" i="19" s="1"/>
  <c r="R56" i="19" s="1"/>
  <c r="S56" i="19" s="1"/>
  <c r="T56" i="19" s="1"/>
  <c r="F56" i="19"/>
  <c r="N55" i="19"/>
  <c r="O55" i="19" s="1"/>
  <c r="P55" i="19" s="1"/>
  <c r="Q55" i="19" s="1"/>
  <c r="R55" i="19" s="1"/>
  <c r="S55" i="19" s="1"/>
  <c r="T55" i="19" s="1"/>
  <c r="F55" i="19"/>
  <c r="N54" i="19"/>
  <c r="O54" i="19" s="1"/>
  <c r="P54" i="19" s="1"/>
  <c r="Q54" i="19" s="1"/>
  <c r="R54" i="19" s="1"/>
  <c r="S54" i="19" s="1"/>
  <c r="T54" i="19" s="1"/>
  <c r="F54" i="19"/>
  <c r="N53" i="19"/>
  <c r="O53" i="19" s="1"/>
  <c r="P53" i="19" s="1"/>
  <c r="Q53" i="19" s="1"/>
  <c r="R53" i="19" s="1"/>
  <c r="S53" i="19" s="1"/>
  <c r="T53" i="19" s="1"/>
  <c r="F53" i="19"/>
  <c r="N52" i="19"/>
  <c r="O52" i="19" s="1"/>
  <c r="P52" i="19" s="1"/>
  <c r="Q52" i="19" s="1"/>
  <c r="R52" i="19" s="1"/>
  <c r="S52" i="19" s="1"/>
  <c r="T52" i="19" s="1"/>
  <c r="F52" i="19"/>
  <c r="N51" i="19"/>
  <c r="O51" i="19" s="1"/>
  <c r="P51" i="19" s="1"/>
  <c r="Q51" i="19" s="1"/>
  <c r="R51" i="19" s="1"/>
  <c r="S51" i="19" s="1"/>
  <c r="T51" i="19" s="1"/>
  <c r="F51" i="19"/>
  <c r="N50" i="19"/>
  <c r="O50" i="19" s="1"/>
  <c r="P50" i="19" s="1"/>
  <c r="Q50" i="19" s="1"/>
  <c r="R50" i="19" s="1"/>
  <c r="S50" i="19" s="1"/>
  <c r="T50" i="19" s="1"/>
  <c r="F50" i="19"/>
  <c r="N49" i="19"/>
  <c r="O49" i="19" s="1"/>
  <c r="P49" i="19" s="1"/>
  <c r="Q49" i="19" s="1"/>
  <c r="R49" i="19" s="1"/>
  <c r="S49" i="19" s="1"/>
  <c r="T49" i="19" s="1"/>
  <c r="F49" i="19"/>
  <c r="N48" i="19"/>
  <c r="O48" i="19" s="1"/>
  <c r="P48" i="19" s="1"/>
  <c r="Q48" i="19" s="1"/>
  <c r="R48" i="19" s="1"/>
  <c r="S48" i="19" s="1"/>
  <c r="T48" i="19" s="1"/>
  <c r="F48" i="19"/>
  <c r="N47" i="19"/>
  <c r="O47" i="19" s="1"/>
  <c r="P47" i="19" s="1"/>
  <c r="Q47" i="19" s="1"/>
  <c r="R47" i="19" s="1"/>
  <c r="S47" i="19" s="1"/>
  <c r="T47" i="19" s="1"/>
  <c r="F47" i="19"/>
  <c r="N46" i="19"/>
  <c r="O46" i="19" s="1"/>
  <c r="P46" i="19" s="1"/>
  <c r="Q46" i="19" s="1"/>
  <c r="R46" i="19" s="1"/>
  <c r="S46" i="19" s="1"/>
  <c r="T46" i="19" s="1"/>
  <c r="F46" i="19"/>
  <c r="N45" i="19"/>
  <c r="O45" i="19" s="1"/>
  <c r="P45" i="19" s="1"/>
  <c r="Q45" i="19" s="1"/>
  <c r="R45" i="19" s="1"/>
  <c r="S45" i="19" s="1"/>
  <c r="T45" i="19" s="1"/>
  <c r="F45" i="19"/>
  <c r="N44" i="19"/>
  <c r="O44" i="19" s="1"/>
  <c r="P44" i="19" s="1"/>
  <c r="Q44" i="19" s="1"/>
  <c r="R44" i="19" s="1"/>
  <c r="S44" i="19" s="1"/>
  <c r="T44" i="19" s="1"/>
  <c r="F44" i="19"/>
  <c r="N43" i="19"/>
  <c r="O43" i="19" s="1"/>
  <c r="P43" i="19" s="1"/>
  <c r="Q43" i="19" s="1"/>
  <c r="R43" i="19" s="1"/>
  <c r="S43" i="19" s="1"/>
  <c r="T43" i="19" s="1"/>
  <c r="F43" i="19"/>
  <c r="N42" i="19"/>
  <c r="O42" i="19" s="1"/>
  <c r="P42" i="19" s="1"/>
  <c r="Q42" i="19" s="1"/>
  <c r="R42" i="19" s="1"/>
  <c r="S42" i="19" s="1"/>
  <c r="T42" i="19" s="1"/>
  <c r="F42" i="19"/>
  <c r="N41" i="19"/>
  <c r="O41" i="19" s="1"/>
  <c r="P41" i="19" s="1"/>
  <c r="Q41" i="19" s="1"/>
  <c r="R41" i="19" s="1"/>
  <c r="S41" i="19" s="1"/>
  <c r="T41" i="19" s="1"/>
  <c r="F41" i="19"/>
  <c r="N40" i="19"/>
  <c r="O40" i="19" s="1"/>
  <c r="P40" i="19" s="1"/>
  <c r="Q40" i="19" s="1"/>
  <c r="R40" i="19" s="1"/>
  <c r="S40" i="19" s="1"/>
  <c r="T40" i="19" s="1"/>
  <c r="F40" i="19"/>
  <c r="N39" i="19"/>
  <c r="O39" i="19" s="1"/>
  <c r="P39" i="19" s="1"/>
  <c r="Q39" i="19" s="1"/>
  <c r="R39" i="19" s="1"/>
  <c r="S39" i="19" s="1"/>
  <c r="T39" i="19" s="1"/>
  <c r="F39" i="19"/>
  <c r="N38" i="19"/>
  <c r="O38" i="19" s="1"/>
  <c r="P38" i="19" s="1"/>
  <c r="Q38" i="19" s="1"/>
  <c r="R38" i="19" s="1"/>
  <c r="S38" i="19" s="1"/>
  <c r="T38" i="19" s="1"/>
  <c r="F38" i="19"/>
  <c r="N37" i="19"/>
  <c r="O37" i="19" s="1"/>
  <c r="P37" i="19" s="1"/>
  <c r="Q37" i="19" s="1"/>
  <c r="R37" i="19" s="1"/>
  <c r="S37" i="19" s="1"/>
  <c r="T37" i="19" s="1"/>
  <c r="F37" i="19"/>
  <c r="N36" i="19"/>
  <c r="O36" i="19" s="1"/>
  <c r="P36" i="19" s="1"/>
  <c r="Q36" i="19" s="1"/>
  <c r="R36" i="19" s="1"/>
  <c r="S36" i="19" s="1"/>
  <c r="T36" i="19" s="1"/>
  <c r="F36" i="19"/>
  <c r="N35" i="19"/>
  <c r="O35" i="19" s="1"/>
  <c r="P35" i="19" s="1"/>
  <c r="Q35" i="19" s="1"/>
  <c r="R35" i="19" s="1"/>
  <c r="S35" i="19" s="1"/>
  <c r="T35" i="19" s="1"/>
  <c r="F35" i="19"/>
  <c r="N34" i="19"/>
  <c r="O34" i="19" s="1"/>
  <c r="P34" i="19" s="1"/>
  <c r="Q34" i="19" s="1"/>
  <c r="R34" i="19" s="1"/>
  <c r="S34" i="19" s="1"/>
  <c r="T34" i="19" s="1"/>
  <c r="F34" i="19"/>
  <c r="N33" i="19"/>
  <c r="O33" i="19" s="1"/>
  <c r="P33" i="19" s="1"/>
  <c r="Q33" i="19" s="1"/>
  <c r="R33" i="19" s="1"/>
  <c r="S33" i="19" s="1"/>
  <c r="T33" i="19" s="1"/>
  <c r="F33" i="19"/>
  <c r="N32" i="19"/>
  <c r="O32" i="19" s="1"/>
  <c r="P32" i="19" s="1"/>
  <c r="Q32" i="19" s="1"/>
  <c r="R32" i="19" s="1"/>
  <c r="S32" i="19" s="1"/>
  <c r="T32" i="19" s="1"/>
  <c r="F32" i="19"/>
  <c r="N31" i="19"/>
  <c r="O31" i="19" s="1"/>
  <c r="P31" i="19" s="1"/>
  <c r="Q31" i="19" s="1"/>
  <c r="R31" i="19" s="1"/>
  <c r="S31" i="19" s="1"/>
  <c r="T31" i="19" s="1"/>
  <c r="F31" i="19"/>
  <c r="N30" i="19"/>
  <c r="O30" i="19" s="1"/>
  <c r="P30" i="19" s="1"/>
  <c r="Q30" i="19" s="1"/>
  <c r="R30" i="19" s="1"/>
  <c r="S30" i="19" s="1"/>
  <c r="T30" i="19" s="1"/>
  <c r="F30" i="19"/>
  <c r="N29" i="19"/>
  <c r="O29" i="19" s="1"/>
  <c r="P29" i="19" s="1"/>
  <c r="Q29" i="19" s="1"/>
  <c r="R29" i="19" s="1"/>
  <c r="S29" i="19" s="1"/>
  <c r="T29" i="19" s="1"/>
  <c r="F29" i="19"/>
  <c r="N28" i="19"/>
  <c r="O28" i="19" s="1"/>
  <c r="P28" i="19" s="1"/>
  <c r="Q28" i="19" s="1"/>
  <c r="R28" i="19" s="1"/>
  <c r="S28" i="19" s="1"/>
  <c r="T28" i="19" s="1"/>
  <c r="F28" i="19"/>
  <c r="N27" i="19"/>
  <c r="O27" i="19" s="1"/>
  <c r="P27" i="19" s="1"/>
  <c r="Q27" i="19" s="1"/>
  <c r="R27" i="19" s="1"/>
  <c r="S27" i="19" s="1"/>
  <c r="T27" i="19" s="1"/>
  <c r="F27" i="19"/>
  <c r="N26" i="19"/>
  <c r="O26" i="19" s="1"/>
  <c r="P26" i="19" s="1"/>
  <c r="Q26" i="19" s="1"/>
  <c r="F26" i="19"/>
  <c r="N25" i="19"/>
  <c r="O25" i="19" s="1"/>
  <c r="P25" i="19" s="1"/>
  <c r="Q25" i="19" s="1"/>
  <c r="R25" i="19" s="1"/>
  <c r="S25" i="19" s="1"/>
  <c r="T25" i="19" s="1"/>
  <c r="F25" i="19"/>
  <c r="N24" i="19"/>
  <c r="O24" i="19" s="1"/>
  <c r="P24" i="19" s="1"/>
  <c r="Q24" i="19" s="1"/>
  <c r="R24" i="19" s="1"/>
  <c r="S24" i="19" s="1"/>
  <c r="T24" i="19" s="1"/>
  <c r="F24" i="19"/>
  <c r="N23" i="19"/>
  <c r="O23" i="19" s="1"/>
  <c r="P23" i="19" s="1"/>
  <c r="Q23" i="19" s="1"/>
  <c r="R23" i="19" s="1"/>
  <c r="S23" i="19" s="1"/>
  <c r="T23" i="19" s="1"/>
  <c r="F23" i="19"/>
  <c r="N22" i="19"/>
  <c r="O22" i="19" s="1"/>
  <c r="P22" i="19" s="1"/>
  <c r="Q22" i="19" s="1"/>
  <c r="R22" i="19" s="1"/>
  <c r="S22" i="19" s="1"/>
  <c r="T22" i="19" s="1"/>
  <c r="F22" i="19"/>
  <c r="N21" i="19"/>
  <c r="O21" i="19" s="1"/>
  <c r="P21" i="19" s="1"/>
  <c r="Q21" i="19" s="1"/>
  <c r="R21" i="19" s="1"/>
  <c r="S21" i="19" s="1"/>
  <c r="T21" i="19" s="1"/>
  <c r="F21" i="19"/>
  <c r="N20" i="19"/>
  <c r="O20" i="19" s="1"/>
  <c r="P20" i="19" s="1"/>
  <c r="Q20" i="19" s="1"/>
  <c r="R20" i="19" s="1"/>
  <c r="S20" i="19" s="1"/>
  <c r="T20" i="19" s="1"/>
  <c r="F20" i="19"/>
  <c r="N19" i="19"/>
  <c r="O19" i="19" s="1"/>
  <c r="P19" i="19" s="1"/>
  <c r="Q19" i="19" s="1"/>
  <c r="R19" i="19" s="1"/>
  <c r="S19" i="19" s="1"/>
  <c r="T19" i="19" s="1"/>
  <c r="F19" i="19"/>
  <c r="N18" i="19"/>
  <c r="O18" i="19" s="1"/>
  <c r="P18" i="19" s="1"/>
  <c r="Q18" i="19" s="1"/>
  <c r="R18" i="19" s="1"/>
  <c r="S18" i="19" s="1"/>
  <c r="T18" i="19" s="1"/>
  <c r="F18" i="19"/>
  <c r="N17" i="19"/>
  <c r="O17" i="19" s="1"/>
  <c r="P17" i="19" s="1"/>
  <c r="Q17" i="19" s="1"/>
  <c r="R17" i="19" s="1"/>
  <c r="S17" i="19" s="1"/>
  <c r="T17" i="19" s="1"/>
  <c r="F17" i="19"/>
  <c r="N16" i="19"/>
  <c r="O16" i="19" s="1"/>
  <c r="P16" i="19" s="1"/>
  <c r="Q16" i="19" s="1"/>
  <c r="R16" i="19" s="1"/>
  <c r="S16" i="19" s="1"/>
  <c r="T16" i="19" s="1"/>
  <c r="F16" i="19"/>
  <c r="N15" i="19"/>
  <c r="O15" i="19" s="1"/>
  <c r="P15" i="19" s="1"/>
  <c r="Q15" i="19" s="1"/>
  <c r="R15" i="19" s="1"/>
  <c r="S15" i="19" s="1"/>
  <c r="T15" i="19" s="1"/>
  <c r="F15" i="19"/>
  <c r="N14" i="19"/>
  <c r="O14" i="19" s="1"/>
  <c r="P14" i="19" s="1"/>
  <c r="Q14" i="19" s="1"/>
  <c r="R14" i="19" s="1"/>
  <c r="S14" i="19" s="1"/>
  <c r="T14" i="19" s="1"/>
  <c r="F14" i="19"/>
  <c r="N13" i="19"/>
  <c r="O13" i="19" s="1"/>
  <c r="P13" i="19" s="1"/>
  <c r="Q13" i="19" s="1"/>
  <c r="R13" i="19" s="1"/>
  <c r="S13" i="19" s="1"/>
  <c r="T13" i="19" s="1"/>
  <c r="F13" i="19"/>
  <c r="N12" i="19"/>
  <c r="O12" i="19" s="1"/>
  <c r="P12" i="19" s="1"/>
  <c r="Q12" i="19" s="1"/>
  <c r="R12" i="19" s="1"/>
  <c r="S12" i="19" s="1"/>
  <c r="T12" i="19" s="1"/>
  <c r="F12" i="19"/>
  <c r="N11" i="19"/>
  <c r="O11" i="19" s="1"/>
  <c r="P11" i="19" s="1"/>
  <c r="Q11" i="19" s="1"/>
  <c r="R11" i="19" s="1"/>
  <c r="S11" i="19" s="1"/>
  <c r="T11" i="19" s="1"/>
  <c r="J11" i="19"/>
  <c r="K11" i="19" s="1"/>
  <c r="L11" i="19" s="1"/>
  <c r="F11" i="19"/>
  <c r="N10" i="19"/>
  <c r="F10" i="19"/>
  <c r="M74" i="16"/>
  <c r="U74" i="16"/>
  <c r="AC74" i="16"/>
  <c r="AK74" i="16"/>
  <c r="AS74" i="16"/>
  <c r="E74" i="16"/>
  <c r="AT73" i="16"/>
  <c r="AU73" i="16" s="1"/>
  <c r="AV73" i="16" s="1"/>
  <c r="AW73" i="16" s="1"/>
  <c r="AX73" i="16" s="1"/>
  <c r="AY73" i="16" s="1"/>
  <c r="AZ73" i="16" s="1"/>
  <c r="AT72" i="16"/>
  <c r="AU72" i="16" s="1"/>
  <c r="AV72" i="16" s="1"/>
  <c r="AW72" i="16" s="1"/>
  <c r="AX72" i="16" s="1"/>
  <c r="AY72" i="16" s="1"/>
  <c r="AZ72" i="16" s="1"/>
  <c r="AT71" i="16"/>
  <c r="AU71" i="16" s="1"/>
  <c r="AV71" i="16" s="1"/>
  <c r="AW71" i="16" s="1"/>
  <c r="AX71" i="16" s="1"/>
  <c r="AY71" i="16" s="1"/>
  <c r="AZ71" i="16" s="1"/>
  <c r="AT70" i="16"/>
  <c r="AU70" i="16" s="1"/>
  <c r="AV70" i="16" s="1"/>
  <c r="AW70" i="16" s="1"/>
  <c r="AX70" i="16" s="1"/>
  <c r="AY70" i="16" s="1"/>
  <c r="AZ70" i="16" s="1"/>
  <c r="AT69" i="16"/>
  <c r="AU69" i="16" s="1"/>
  <c r="AV69" i="16" s="1"/>
  <c r="AW69" i="16" s="1"/>
  <c r="AX69" i="16" s="1"/>
  <c r="AY69" i="16" s="1"/>
  <c r="AZ69" i="16" s="1"/>
  <c r="AT68" i="16"/>
  <c r="AU68" i="16" s="1"/>
  <c r="AV68" i="16" s="1"/>
  <c r="AW68" i="16" s="1"/>
  <c r="AX68" i="16" s="1"/>
  <c r="AY68" i="16" s="1"/>
  <c r="AZ68" i="16" s="1"/>
  <c r="AT67" i="16"/>
  <c r="AU67" i="16" s="1"/>
  <c r="AV67" i="16" s="1"/>
  <c r="AW67" i="16" s="1"/>
  <c r="AX67" i="16" s="1"/>
  <c r="AY67" i="16" s="1"/>
  <c r="AZ67" i="16" s="1"/>
  <c r="AT66" i="16"/>
  <c r="AU66" i="16" s="1"/>
  <c r="AV66" i="16" s="1"/>
  <c r="AW66" i="16" s="1"/>
  <c r="AX66" i="16" s="1"/>
  <c r="AY66" i="16" s="1"/>
  <c r="AZ66" i="16" s="1"/>
  <c r="AT65" i="16"/>
  <c r="AU65" i="16" s="1"/>
  <c r="AV65" i="16" s="1"/>
  <c r="AW65" i="16" s="1"/>
  <c r="AX65" i="16" s="1"/>
  <c r="AY65" i="16" s="1"/>
  <c r="AZ65" i="16" s="1"/>
  <c r="AT64" i="16"/>
  <c r="AU64" i="16" s="1"/>
  <c r="AV64" i="16" s="1"/>
  <c r="AW64" i="16" s="1"/>
  <c r="AX64" i="16" s="1"/>
  <c r="AY64" i="16" s="1"/>
  <c r="AZ64" i="16" s="1"/>
  <c r="AT63" i="16"/>
  <c r="AU63" i="16" s="1"/>
  <c r="AV63" i="16" s="1"/>
  <c r="AW63" i="16" s="1"/>
  <c r="AX63" i="16" s="1"/>
  <c r="AY63" i="16" s="1"/>
  <c r="AZ63" i="16" s="1"/>
  <c r="AT62" i="16"/>
  <c r="AU62" i="16" s="1"/>
  <c r="AV62" i="16" s="1"/>
  <c r="AW62" i="16" s="1"/>
  <c r="AX62" i="16" s="1"/>
  <c r="AY62" i="16" s="1"/>
  <c r="AZ62" i="16" s="1"/>
  <c r="AT61" i="16"/>
  <c r="AU61" i="16" s="1"/>
  <c r="AV61" i="16" s="1"/>
  <c r="AW61" i="16" s="1"/>
  <c r="AX61" i="16" s="1"/>
  <c r="AY61" i="16" s="1"/>
  <c r="AZ61" i="16" s="1"/>
  <c r="AT60" i="16"/>
  <c r="AU60" i="16" s="1"/>
  <c r="AV60" i="16" s="1"/>
  <c r="AW60" i="16" s="1"/>
  <c r="AX60" i="16" s="1"/>
  <c r="AY60" i="16" s="1"/>
  <c r="AZ60" i="16" s="1"/>
  <c r="AT59" i="16"/>
  <c r="AU59" i="16" s="1"/>
  <c r="AV59" i="16" s="1"/>
  <c r="AW59" i="16" s="1"/>
  <c r="AX59" i="16" s="1"/>
  <c r="AY59" i="16" s="1"/>
  <c r="AZ59" i="16" s="1"/>
  <c r="AT58" i="16"/>
  <c r="AU58" i="16" s="1"/>
  <c r="AV58" i="16" s="1"/>
  <c r="AW58" i="16" s="1"/>
  <c r="AX58" i="16" s="1"/>
  <c r="AY58" i="16" s="1"/>
  <c r="AZ58" i="16" s="1"/>
  <c r="AT57" i="16"/>
  <c r="AU57" i="16" s="1"/>
  <c r="AV57" i="16" s="1"/>
  <c r="AW57" i="16" s="1"/>
  <c r="AX57" i="16" s="1"/>
  <c r="AY57" i="16" s="1"/>
  <c r="AZ57" i="16" s="1"/>
  <c r="AT56" i="16"/>
  <c r="AU56" i="16" s="1"/>
  <c r="AV56" i="16" s="1"/>
  <c r="AW56" i="16" s="1"/>
  <c r="AX56" i="16" s="1"/>
  <c r="AY56" i="16" s="1"/>
  <c r="AZ56" i="16" s="1"/>
  <c r="AT55" i="16"/>
  <c r="AU55" i="16" s="1"/>
  <c r="AV55" i="16" s="1"/>
  <c r="AW55" i="16" s="1"/>
  <c r="AX55" i="16" s="1"/>
  <c r="AY55" i="16" s="1"/>
  <c r="AZ55" i="16" s="1"/>
  <c r="AT54" i="16"/>
  <c r="AU54" i="16" s="1"/>
  <c r="AV54" i="16" s="1"/>
  <c r="AW54" i="16" s="1"/>
  <c r="AX54" i="16" s="1"/>
  <c r="AY54" i="16" s="1"/>
  <c r="AZ54" i="16" s="1"/>
  <c r="AT53" i="16"/>
  <c r="AU53" i="16" s="1"/>
  <c r="AV53" i="16" s="1"/>
  <c r="AW53" i="16" s="1"/>
  <c r="AX53" i="16" s="1"/>
  <c r="AY53" i="16" s="1"/>
  <c r="AZ53" i="16" s="1"/>
  <c r="AT52" i="16"/>
  <c r="AU52" i="16" s="1"/>
  <c r="AV52" i="16" s="1"/>
  <c r="AW52" i="16" s="1"/>
  <c r="AX52" i="16" s="1"/>
  <c r="AY52" i="16" s="1"/>
  <c r="AZ52" i="16" s="1"/>
  <c r="AT51" i="16"/>
  <c r="AU51" i="16" s="1"/>
  <c r="AV51" i="16" s="1"/>
  <c r="AW51" i="16" s="1"/>
  <c r="AX51" i="16" s="1"/>
  <c r="AY51" i="16" s="1"/>
  <c r="AZ51" i="16" s="1"/>
  <c r="AT50" i="16"/>
  <c r="AU50" i="16" s="1"/>
  <c r="AV50" i="16" s="1"/>
  <c r="AW50" i="16" s="1"/>
  <c r="AX50" i="16" s="1"/>
  <c r="AY50" i="16" s="1"/>
  <c r="AZ50" i="16" s="1"/>
  <c r="AT49" i="16"/>
  <c r="AU49" i="16" s="1"/>
  <c r="AV49" i="16" s="1"/>
  <c r="AW49" i="16" s="1"/>
  <c r="AX49" i="16" s="1"/>
  <c r="AY49" i="16" s="1"/>
  <c r="AZ49" i="16" s="1"/>
  <c r="AT48" i="16"/>
  <c r="AU48" i="16" s="1"/>
  <c r="AV48" i="16" s="1"/>
  <c r="AW48" i="16" s="1"/>
  <c r="AX48" i="16" s="1"/>
  <c r="AY48" i="16" s="1"/>
  <c r="AZ48" i="16" s="1"/>
  <c r="AT47" i="16"/>
  <c r="AU47" i="16" s="1"/>
  <c r="AV47" i="16" s="1"/>
  <c r="AW47" i="16" s="1"/>
  <c r="AX47" i="16" s="1"/>
  <c r="AY47" i="16" s="1"/>
  <c r="AZ47" i="16" s="1"/>
  <c r="AT46" i="16"/>
  <c r="AU46" i="16" s="1"/>
  <c r="AV46" i="16" s="1"/>
  <c r="AW46" i="16" s="1"/>
  <c r="AX46" i="16" s="1"/>
  <c r="AY46" i="16" s="1"/>
  <c r="AZ46" i="16" s="1"/>
  <c r="AT45" i="16"/>
  <c r="AU45" i="16" s="1"/>
  <c r="AV45" i="16" s="1"/>
  <c r="AW45" i="16" s="1"/>
  <c r="AX45" i="16" s="1"/>
  <c r="AY45" i="16" s="1"/>
  <c r="AZ45" i="16" s="1"/>
  <c r="AT44" i="16"/>
  <c r="AU44" i="16" s="1"/>
  <c r="AV44" i="16" s="1"/>
  <c r="AW44" i="16" s="1"/>
  <c r="AX44" i="16" s="1"/>
  <c r="AY44" i="16" s="1"/>
  <c r="AZ44" i="16" s="1"/>
  <c r="AT43" i="16"/>
  <c r="AU43" i="16" s="1"/>
  <c r="AV43" i="16" s="1"/>
  <c r="AW43" i="16" s="1"/>
  <c r="AX43" i="16" s="1"/>
  <c r="AY43" i="16" s="1"/>
  <c r="AZ43" i="16" s="1"/>
  <c r="AT42" i="16"/>
  <c r="AU42" i="16" s="1"/>
  <c r="AV42" i="16" s="1"/>
  <c r="AW42" i="16" s="1"/>
  <c r="AX42" i="16" s="1"/>
  <c r="AY42" i="16" s="1"/>
  <c r="AZ42" i="16" s="1"/>
  <c r="AT41" i="16"/>
  <c r="AU41" i="16" s="1"/>
  <c r="AV41" i="16" s="1"/>
  <c r="AW41" i="16" s="1"/>
  <c r="AX41" i="16" s="1"/>
  <c r="AY41" i="16" s="1"/>
  <c r="AZ41" i="16" s="1"/>
  <c r="AT40" i="16"/>
  <c r="AU40" i="16" s="1"/>
  <c r="AV40" i="16" s="1"/>
  <c r="AW40" i="16" s="1"/>
  <c r="AX40" i="16" s="1"/>
  <c r="AY40" i="16" s="1"/>
  <c r="AZ40" i="16" s="1"/>
  <c r="AT39" i="16"/>
  <c r="AU39" i="16" s="1"/>
  <c r="AV39" i="16" s="1"/>
  <c r="AW39" i="16" s="1"/>
  <c r="AX39" i="16" s="1"/>
  <c r="AY39" i="16" s="1"/>
  <c r="AZ39" i="16" s="1"/>
  <c r="AT38" i="16"/>
  <c r="AU38" i="16" s="1"/>
  <c r="AV38" i="16" s="1"/>
  <c r="AW38" i="16" s="1"/>
  <c r="AX38" i="16" s="1"/>
  <c r="AY38" i="16" s="1"/>
  <c r="AZ38" i="16" s="1"/>
  <c r="AT37" i="16"/>
  <c r="AU37" i="16" s="1"/>
  <c r="AV37" i="16" s="1"/>
  <c r="AW37" i="16" s="1"/>
  <c r="AX37" i="16" s="1"/>
  <c r="AY37" i="16" s="1"/>
  <c r="AZ37" i="16" s="1"/>
  <c r="AT36" i="16"/>
  <c r="AU36" i="16" s="1"/>
  <c r="AV36" i="16" s="1"/>
  <c r="AW36" i="16" s="1"/>
  <c r="AX36" i="16" s="1"/>
  <c r="AY36" i="16" s="1"/>
  <c r="AZ36" i="16" s="1"/>
  <c r="AT35" i="16"/>
  <c r="AU35" i="16" s="1"/>
  <c r="AV35" i="16" s="1"/>
  <c r="AW35" i="16" s="1"/>
  <c r="AX35" i="16" s="1"/>
  <c r="AY35" i="16" s="1"/>
  <c r="AZ35" i="16" s="1"/>
  <c r="AT34" i="16"/>
  <c r="AU34" i="16" s="1"/>
  <c r="AV34" i="16" s="1"/>
  <c r="AW34" i="16" s="1"/>
  <c r="AX34" i="16" s="1"/>
  <c r="AY34" i="16" s="1"/>
  <c r="AZ34" i="16" s="1"/>
  <c r="AT33" i="16"/>
  <c r="AU33" i="16" s="1"/>
  <c r="AV33" i="16" s="1"/>
  <c r="AW33" i="16" s="1"/>
  <c r="AX33" i="16" s="1"/>
  <c r="AY33" i="16" s="1"/>
  <c r="AZ33" i="16" s="1"/>
  <c r="AT32" i="16"/>
  <c r="AU32" i="16" s="1"/>
  <c r="AV32" i="16" s="1"/>
  <c r="AW32" i="16" s="1"/>
  <c r="AX32" i="16" s="1"/>
  <c r="AY32" i="16" s="1"/>
  <c r="AZ32" i="16" s="1"/>
  <c r="AT31" i="16"/>
  <c r="AU31" i="16" s="1"/>
  <c r="AV31" i="16" s="1"/>
  <c r="AW31" i="16" s="1"/>
  <c r="AX31" i="16" s="1"/>
  <c r="AY31" i="16" s="1"/>
  <c r="AZ31" i="16" s="1"/>
  <c r="AT30" i="16"/>
  <c r="AU30" i="16" s="1"/>
  <c r="AV30" i="16" s="1"/>
  <c r="AW30" i="16" s="1"/>
  <c r="AX30" i="16" s="1"/>
  <c r="AY30" i="16" s="1"/>
  <c r="AZ30" i="16" s="1"/>
  <c r="AT29" i="16"/>
  <c r="AU29" i="16" s="1"/>
  <c r="AV29" i="16" s="1"/>
  <c r="AW29" i="16" s="1"/>
  <c r="AX29" i="16" s="1"/>
  <c r="AY29" i="16" s="1"/>
  <c r="AZ29" i="16" s="1"/>
  <c r="AT28" i="16"/>
  <c r="AU28" i="16" s="1"/>
  <c r="AV28" i="16" s="1"/>
  <c r="AW28" i="16" s="1"/>
  <c r="AX28" i="16" s="1"/>
  <c r="AY28" i="16" s="1"/>
  <c r="AZ28" i="16" s="1"/>
  <c r="AT27" i="16"/>
  <c r="AU27" i="16" s="1"/>
  <c r="AV27" i="16" s="1"/>
  <c r="AW27" i="16" s="1"/>
  <c r="AX27" i="16" s="1"/>
  <c r="AY27" i="16" s="1"/>
  <c r="AZ27" i="16" s="1"/>
  <c r="AT26" i="16"/>
  <c r="AU26" i="16" s="1"/>
  <c r="AV26" i="16" s="1"/>
  <c r="AW26" i="16" s="1"/>
  <c r="AX26" i="16" s="1"/>
  <c r="AY26" i="16" s="1"/>
  <c r="AZ26" i="16" s="1"/>
  <c r="AT25" i="16"/>
  <c r="AU25" i="16" s="1"/>
  <c r="AV25" i="16" s="1"/>
  <c r="AW25" i="16" s="1"/>
  <c r="AX25" i="16" s="1"/>
  <c r="AY25" i="16" s="1"/>
  <c r="AZ25" i="16" s="1"/>
  <c r="AT24" i="16"/>
  <c r="AU24" i="16" s="1"/>
  <c r="AV24" i="16" s="1"/>
  <c r="AW24" i="16" s="1"/>
  <c r="AX24" i="16" s="1"/>
  <c r="AY24" i="16" s="1"/>
  <c r="AZ24" i="16" s="1"/>
  <c r="AT23" i="16"/>
  <c r="AU23" i="16" s="1"/>
  <c r="AV23" i="16" s="1"/>
  <c r="AW23" i="16" s="1"/>
  <c r="AX23" i="16" s="1"/>
  <c r="AY23" i="16" s="1"/>
  <c r="AZ23" i="16" s="1"/>
  <c r="AT22" i="16"/>
  <c r="AU22" i="16" s="1"/>
  <c r="AV22" i="16" s="1"/>
  <c r="AW22" i="16" s="1"/>
  <c r="AX22" i="16" s="1"/>
  <c r="AY22" i="16" s="1"/>
  <c r="AZ22" i="16" s="1"/>
  <c r="AT21" i="16"/>
  <c r="AU21" i="16" s="1"/>
  <c r="AV21" i="16" s="1"/>
  <c r="AW21" i="16" s="1"/>
  <c r="AX21" i="16" s="1"/>
  <c r="AY21" i="16" s="1"/>
  <c r="AZ21" i="16" s="1"/>
  <c r="AT20" i="16"/>
  <c r="AU20" i="16" s="1"/>
  <c r="AV20" i="16" s="1"/>
  <c r="AW20" i="16" s="1"/>
  <c r="AX20" i="16" s="1"/>
  <c r="AY20" i="16" s="1"/>
  <c r="AZ20" i="16" s="1"/>
  <c r="AT19" i="16"/>
  <c r="AU19" i="16" s="1"/>
  <c r="AV19" i="16" s="1"/>
  <c r="AW19" i="16" s="1"/>
  <c r="AX19" i="16" s="1"/>
  <c r="AY19" i="16" s="1"/>
  <c r="AZ19" i="16" s="1"/>
  <c r="AT18" i="16"/>
  <c r="AU18" i="16" s="1"/>
  <c r="AV18" i="16" s="1"/>
  <c r="AW18" i="16" s="1"/>
  <c r="AX18" i="16" s="1"/>
  <c r="AY18" i="16" s="1"/>
  <c r="AZ18" i="16" s="1"/>
  <c r="AT17" i="16"/>
  <c r="AU17" i="16" s="1"/>
  <c r="AV17" i="16" s="1"/>
  <c r="AW17" i="16" s="1"/>
  <c r="AX17" i="16" s="1"/>
  <c r="AY17" i="16" s="1"/>
  <c r="AZ17" i="16" s="1"/>
  <c r="AT16" i="16"/>
  <c r="AU16" i="16" s="1"/>
  <c r="AV16" i="16" s="1"/>
  <c r="AW16" i="16" s="1"/>
  <c r="AX16" i="16" s="1"/>
  <c r="AY16" i="16" s="1"/>
  <c r="AZ16" i="16" s="1"/>
  <c r="AT15" i="16"/>
  <c r="AU15" i="16" s="1"/>
  <c r="AV15" i="16" s="1"/>
  <c r="AW15" i="16" s="1"/>
  <c r="AX15" i="16" s="1"/>
  <c r="AY15" i="16" s="1"/>
  <c r="AZ15" i="16" s="1"/>
  <c r="AT14" i="16"/>
  <c r="AU14" i="16" s="1"/>
  <c r="AV14" i="16" s="1"/>
  <c r="AW14" i="16" s="1"/>
  <c r="AX14" i="16" s="1"/>
  <c r="AY14" i="16" s="1"/>
  <c r="AZ14" i="16" s="1"/>
  <c r="AT13" i="16"/>
  <c r="AU13" i="16" s="1"/>
  <c r="AV13" i="16" s="1"/>
  <c r="AW13" i="16" s="1"/>
  <c r="AX13" i="16" s="1"/>
  <c r="AY13" i="16" s="1"/>
  <c r="AZ13" i="16" s="1"/>
  <c r="AT12" i="16"/>
  <c r="AU12" i="16" s="1"/>
  <c r="AV12" i="16" s="1"/>
  <c r="AW12" i="16" s="1"/>
  <c r="AX12" i="16" s="1"/>
  <c r="AY12" i="16" s="1"/>
  <c r="AZ12" i="16" s="1"/>
  <c r="AT11" i="16"/>
  <c r="AU11" i="16" s="1"/>
  <c r="AV11" i="16" s="1"/>
  <c r="AW11" i="16" s="1"/>
  <c r="AX11" i="16" s="1"/>
  <c r="AY11" i="16" s="1"/>
  <c r="AZ11" i="16" s="1"/>
  <c r="AT10" i="16"/>
  <c r="AL73" i="16"/>
  <c r="AM73" i="16" s="1"/>
  <c r="AN73" i="16" s="1"/>
  <c r="AO73" i="16" s="1"/>
  <c r="AP73" i="16" s="1"/>
  <c r="AQ73" i="16" s="1"/>
  <c r="AR73" i="16" s="1"/>
  <c r="AL72" i="16"/>
  <c r="AM72" i="16" s="1"/>
  <c r="AN72" i="16" s="1"/>
  <c r="AO72" i="16" s="1"/>
  <c r="AP72" i="16" s="1"/>
  <c r="AQ72" i="16" s="1"/>
  <c r="AR72" i="16" s="1"/>
  <c r="AL71" i="16"/>
  <c r="AM71" i="16" s="1"/>
  <c r="AN71" i="16" s="1"/>
  <c r="AO71" i="16" s="1"/>
  <c r="AP71" i="16" s="1"/>
  <c r="AQ71" i="16" s="1"/>
  <c r="AR71" i="16" s="1"/>
  <c r="AL70" i="16"/>
  <c r="AM70" i="16" s="1"/>
  <c r="AN70" i="16" s="1"/>
  <c r="AO70" i="16" s="1"/>
  <c r="AP70" i="16" s="1"/>
  <c r="AQ70" i="16" s="1"/>
  <c r="AR70" i="16" s="1"/>
  <c r="AL69" i="16"/>
  <c r="AM69" i="16" s="1"/>
  <c r="AN69" i="16" s="1"/>
  <c r="AO69" i="16" s="1"/>
  <c r="AP69" i="16" s="1"/>
  <c r="AQ69" i="16" s="1"/>
  <c r="AR69" i="16" s="1"/>
  <c r="AL68" i="16"/>
  <c r="AM68" i="16" s="1"/>
  <c r="AN68" i="16" s="1"/>
  <c r="AO68" i="16" s="1"/>
  <c r="AP68" i="16" s="1"/>
  <c r="AQ68" i="16" s="1"/>
  <c r="AR68" i="16" s="1"/>
  <c r="AL67" i="16"/>
  <c r="AM67" i="16" s="1"/>
  <c r="AN67" i="16" s="1"/>
  <c r="AO67" i="16" s="1"/>
  <c r="AP67" i="16" s="1"/>
  <c r="AQ67" i="16" s="1"/>
  <c r="AR67" i="16" s="1"/>
  <c r="AL66" i="16"/>
  <c r="AM66" i="16" s="1"/>
  <c r="AN66" i="16" s="1"/>
  <c r="AO66" i="16" s="1"/>
  <c r="AP66" i="16" s="1"/>
  <c r="AQ66" i="16" s="1"/>
  <c r="AR66" i="16" s="1"/>
  <c r="AL65" i="16"/>
  <c r="AM65" i="16" s="1"/>
  <c r="AN65" i="16" s="1"/>
  <c r="AO65" i="16" s="1"/>
  <c r="AP65" i="16" s="1"/>
  <c r="AQ65" i="16" s="1"/>
  <c r="AR65" i="16" s="1"/>
  <c r="AL64" i="16"/>
  <c r="AM64" i="16" s="1"/>
  <c r="AN64" i="16" s="1"/>
  <c r="AO64" i="16" s="1"/>
  <c r="AP64" i="16" s="1"/>
  <c r="AQ64" i="16" s="1"/>
  <c r="AR64" i="16" s="1"/>
  <c r="AL63" i="16"/>
  <c r="AM63" i="16" s="1"/>
  <c r="AN63" i="16" s="1"/>
  <c r="AO63" i="16" s="1"/>
  <c r="AP63" i="16" s="1"/>
  <c r="AQ63" i="16" s="1"/>
  <c r="AR63" i="16" s="1"/>
  <c r="AL62" i="16"/>
  <c r="AM62" i="16" s="1"/>
  <c r="AN62" i="16" s="1"/>
  <c r="AO62" i="16" s="1"/>
  <c r="AP62" i="16" s="1"/>
  <c r="AQ62" i="16" s="1"/>
  <c r="AR62" i="16" s="1"/>
  <c r="AL61" i="16"/>
  <c r="AM61" i="16" s="1"/>
  <c r="AN61" i="16" s="1"/>
  <c r="AO61" i="16" s="1"/>
  <c r="AP61" i="16" s="1"/>
  <c r="AQ61" i="16" s="1"/>
  <c r="AR61" i="16" s="1"/>
  <c r="AL60" i="16"/>
  <c r="AM60" i="16" s="1"/>
  <c r="AN60" i="16" s="1"/>
  <c r="AO60" i="16" s="1"/>
  <c r="AP60" i="16" s="1"/>
  <c r="AQ60" i="16" s="1"/>
  <c r="AR60" i="16" s="1"/>
  <c r="AL59" i="16"/>
  <c r="AM59" i="16" s="1"/>
  <c r="AN59" i="16" s="1"/>
  <c r="AO59" i="16" s="1"/>
  <c r="AP59" i="16" s="1"/>
  <c r="AQ59" i="16" s="1"/>
  <c r="AR59" i="16" s="1"/>
  <c r="AL58" i="16"/>
  <c r="AM58" i="16" s="1"/>
  <c r="AN58" i="16" s="1"/>
  <c r="AO58" i="16" s="1"/>
  <c r="AP58" i="16" s="1"/>
  <c r="AQ58" i="16" s="1"/>
  <c r="AR58" i="16" s="1"/>
  <c r="AL57" i="16"/>
  <c r="AM57" i="16" s="1"/>
  <c r="AN57" i="16" s="1"/>
  <c r="AO57" i="16" s="1"/>
  <c r="AP57" i="16" s="1"/>
  <c r="AQ57" i="16" s="1"/>
  <c r="AR57" i="16" s="1"/>
  <c r="AL56" i="16"/>
  <c r="AM56" i="16" s="1"/>
  <c r="AN56" i="16" s="1"/>
  <c r="AO56" i="16" s="1"/>
  <c r="AP56" i="16" s="1"/>
  <c r="AQ56" i="16" s="1"/>
  <c r="AR56" i="16" s="1"/>
  <c r="AL55" i="16"/>
  <c r="AM55" i="16" s="1"/>
  <c r="AN55" i="16" s="1"/>
  <c r="AO55" i="16" s="1"/>
  <c r="AP55" i="16" s="1"/>
  <c r="AQ55" i="16" s="1"/>
  <c r="AR55" i="16" s="1"/>
  <c r="AL54" i="16"/>
  <c r="AM54" i="16" s="1"/>
  <c r="AN54" i="16" s="1"/>
  <c r="AO54" i="16" s="1"/>
  <c r="AP54" i="16" s="1"/>
  <c r="AQ54" i="16" s="1"/>
  <c r="AR54" i="16" s="1"/>
  <c r="AL53" i="16"/>
  <c r="AM53" i="16" s="1"/>
  <c r="AN53" i="16" s="1"/>
  <c r="AO53" i="16" s="1"/>
  <c r="AP53" i="16" s="1"/>
  <c r="AQ53" i="16" s="1"/>
  <c r="AR53" i="16" s="1"/>
  <c r="AL52" i="16"/>
  <c r="AM52" i="16" s="1"/>
  <c r="AN52" i="16" s="1"/>
  <c r="AO52" i="16" s="1"/>
  <c r="AP52" i="16" s="1"/>
  <c r="AQ52" i="16" s="1"/>
  <c r="AR52" i="16" s="1"/>
  <c r="AL51" i="16"/>
  <c r="AM51" i="16" s="1"/>
  <c r="AN51" i="16" s="1"/>
  <c r="AO51" i="16" s="1"/>
  <c r="AP51" i="16" s="1"/>
  <c r="AQ51" i="16" s="1"/>
  <c r="AR51" i="16" s="1"/>
  <c r="AL50" i="16"/>
  <c r="AM50" i="16" s="1"/>
  <c r="AN50" i="16" s="1"/>
  <c r="AO50" i="16" s="1"/>
  <c r="AP50" i="16" s="1"/>
  <c r="AQ50" i="16" s="1"/>
  <c r="AR50" i="16" s="1"/>
  <c r="AL49" i="16"/>
  <c r="AM49" i="16" s="1"/>
  <c r="AN49" i="16" s="1"/>
  <c r="AO49" i="16" s="1"/>
  <c r="AP49" i="16" s="1"/>
  <c r="AQ49" i="16" s="1"/>
  <c r="AR49" i="16" s="1"/>
  <c r="AL48" i="16"/>
  <c r="AM48" i="16" s="1"/>
  <c r="AN48" i="16" s="1"/>
  <c r="AO48" i="16" s="1"/>
  <c r="AP48" i="16" s="1"/>
  <c r="AQ48" i="16" s="1"/>
  <c r="AR48" i="16" s="1"/>
  <c r="AL47" i="16"/>
  <c r="AM47" i="16" s="1"/>
  <c r="AN47" i="16" s="1"/>
  <c r="AO47" i="16" s="1"/>
  <c r="AP47" i="16" s="1"/>
  <c r="AQ47" i="16" s="1"/>
  <c r="AR47" i="16" s="1"/>
  <c r="AL46" i="16"/>
  <c r="AM46" i="16" s="1"/>
  <c r="AN46" i="16" s="1"/>
  <c r="AO46" i="16" s="1"/>
  <c r="AP46" i="16" s="1"/>
  <c r="AQ46" i="16" s="1"/>
  <c r="AR46" i="16" s="1"/>
  <c r="AL45" i="16"/>
  <c r="AM45" i="16" s="1"/>
  <c r="AN45" i="16" s="1"/>
  <c r="AO45" i="16" s="1"/>
  <c r="AP45" i="16" s="1"/>
  <c r="AQ45" i="16" s="1"/>
  <c r="AR45" i="16" s="1"/>
  <c r="AL44" i="16"/>
  <c r="AM44" i="16" s="1"/>
  <c r="AN44" i="16" s="1"/>
  <c r="AO44" i="16" s="1"/>
  <c r="AP44" i="16" s="1"/>
  <c r="AQ44" i="16" s="1"/>
  <c r="AR44" i="16" s="1"/>
  <c r="AL43" i="16"/>
  <c r="AM43" i="16" s="1"/>
  <c r="AN43" i="16" s="1"/>
  <c r="AO43" i="16" s="1"/>
  <c r="AP43" i="16" s="1"/>
  <c r="AQ43" i="16" s="1"/>
  <c r="AR43" i="16" s="1"/>
  <c r="AL42" i="16"/>
  <c r="AM42" i="16" s="1"/>
  <c r="AN42" i="16" s="1"/>
  <c r="AO42" i="16" s="1"/>
  <c r="AP42" i="16" s="1"/>
  <c r="AQ42" i="16" s="1"/>
  <c r="AR42" i="16" s="1"/>
  <c r="AL41" i="16"/>
  <c r="AM41" i="16" s="1"/>
  <c r="AN41" i="16" s="1"/>
  <c r="AO41" i="16" s="1"/>
  <c r="AP41" i="16" s="1"/>
  <c r="AQ41" i="16" s="1"/>
  <c r="AR41" i="16" s="1"/>
  <c r="AL40" i="16"/>
  <c r="AM40" i="16" s="1"/>
  <c r="AN40" i="16" s="1"/>
  <c r="AO40" i="16" s="1"/>
  <c r="AP40" i="16" s="1"/>
  <c r="AQ40" i="16" s="1"/>
  <c r="AR40" i="16" s="1"/>
  <c r="AL39" i="16"/>
  <c r="AM39" i="16" s="1"/>
  <c r="AN39" i="16" s="1"/>
  <c r="AO39" i="16" s="1"/>
  <c r="AP39" i="16" s="1"/>
  <c r="AQ39" i="16" s="1"/>
  <c r="AR39" i="16" s="1"/>
  <c r="AL38" i="16"/>
  <c r="AM38" i="16" s="1"/>
  <c r="AN38" i="16" s="1"/>
  <c r="AO38" i="16" s="1"/>
  <c r="AP38" i="16" s="1"/>
  <c r="AQ38" i="16" s="1"/>
  <c r="AR38" i="16" s="1"/>
  <c r="AL37" i="16"/>
  <c r="AM37" i="16" s="1"/>
  <c r="AN37" i="16" s="1"/>
  <c r="AO37" i="16" s="1"/>
  <c r="AP37" i="16" s="1"/>
  <c r="AQ37" i="16" s="1"/>
  <c r="AR37" i="16" s="1"/>
  <c r="AL36" i="16"/>
  <c r="AM36" i="16" s="1"/>
  <c r="AN36" i="16" s="1"/>
  <c r="AO36" i="16" s="1"/>
  <c r="AP36" i="16" s="1"/>
  <c r="AQ36" i="16" s="1"/>
  <c r="AR36" i="16" s="1"/>
  <c r="AL35" i="16"/>
  <c r="AM35" i="16" s="1"/>
  <c r="AN35" i="16" s="1"/>
  <c r="AO35" i="16" s="1"/>
  <c r="AP35" i="16" s="1"/>
  <c r="AQ35" i="16" s="1"/>
  <c r="AR35" i="16" s="1"/>
  <c r="AL34" i="16"/>
  <c r="AM34" i="16" s="1"/>
  <c r="AN34" i="16" s="1"/>
  <c r="AO34" i="16" s="1"/>
  <c r="AP34" i="16" s="1"/>
  <c r="AQ34" i="16" s="1"/>
  <c r="AR34" i="16" s="1"/>
  <c r="AL33" i="16"/>
  <c r="AM33" i="16" s="1"/>
  <c r="AN33" i="16" s="1"/>
  <c r="AO33" i="16" s="1"/>
  <c r="AP33" i="16" s="1"/>
  <c r="AQ33" i="16" s="1"/>
  <c r="AR33" i="16" s="1"/>
  <c r="AL32" i="16"/>
  <c r="AM32" i="16" s="1"/>
  <c r="AN32" i="16" s="1"/>
  <c r="AO32" i="16" s="1"/>
  <c r="AP32" i="16" s="1"/>
  <c r="AQ32" i="16" s="1"/>
  <c r="AR32" i="16" s="1"/>
  <c r="AL31" i="16"/>
  <c r="AM31" i="16" s="1"/>
  <c r="AN31" i="16" s="1"/>
  <c r="AO31" i="16" s="1"/>
  <c r="AP31" i="16" s="1"/>
  <c r="AQ31" i="16" s="1"/>
  <c r="AR31" i="16" s="1"/>
  <c r="AL30" i="16"/>
  <c r="AM30" i="16" s="1"/>
  <c r="AN30" i="16" s="1"/>
  <c r="AO30" i="16" s="1"/>
  <c r="AP30" i="16" s="1"/>
  <c r="AQ30" i="16" s="1"/>
  <c r="AR30" i="16" s="1"/>
  <c r="AL29" i="16"/>
  <c r="AM29" i="16" s="1"/>
  <c r="AN29" i="16" s="1"/>
  <c r="AO29" i="16" s="1"/>
  <c r="AP29" i="16" s="1"/>
  <c r="AQ29" i="16" s="1"/>
  <c r="AR29" i="16" s="1"/>
  <c r="AL28" i="16"/>
  <c r="AM28" i="16" s="1"/>
  <c r="AN28" i="16" s="1"/>
  <c r="AO28" i="16" s="1"/>
  <c r="AP28" i="16" s="1"/>
  <c r="AQ28" i="16" s="1"/>
  <c r="AR28" i="16" s="1"/>
  <c r="AL27" i="16"/>
  <c r="AM27" i="16" s="1"/>
  <c r="AN27" i="16" s="1"/>
  <c r="AO27" i="16" s="1"/>
  <c r="AP27" i="16" s="1"/>
  <c r="AQ27" i="16" s="1"/>
  <c r="AR27" i="16" s="1"/>
  <c r="AL26" i="16"/>
  <c r="AM26" i="16" s="1"/>
  <c r="AN26" i="16" s="1"/>
  <c r="AO26" i="16" s="1"/>
  <c r="AP26" i="16" s="1"/>
  <c r="AQ26" i="16" s="1"/>
  <c r="AR26" i="16" s="1"/>
  <c r="AL25" i="16"/>
  <c r="AM25" i="16" s="1"/>
  <c r="AN25" i="16" s="1"/>
  <c r="AO25" i="16" s="1"/>
  <c r="AP25" i="16" s="1"/>
  <c r="AQ25" i="16" s="1"/>
  <c r="AR25" i="16" s="1"/>
  <c r="AL24" i="16"/>
  <c r="AM24" i="16" s="1"/>
  <c r="AN24" i="16" s="1"/>
  <c r="AO24" i="16" s="1"/>
  <c r="AP24" i="16" s="1"/>
  <c r="AQ24" i="16" s="1"/>
  <c r="AR24" i="16" s="1"/>
  <c r="AL23" i="16"/>
  <c r="AM23" i="16" s="1"/>
  <c r="AN23" i="16" s="1"/>
  <c r="AO23" i="16" s="1"/>
  <c r="AP23" i="16" s="1"/>
  <c r="AQ23" i="16" s="1"/>
  <c r="AR23" i="16" s="1"/>
  <c r="AL22" i="16"/>
  <c r="AM22" i="16" s="1"/>
  <c r="AN22" i="16" s="1"/>
  <c r="AO22" i="16" s="1"/>
  <c r="AP22" i="16" s="1"/>
  <c r="AQ22" i="16" s="1"/>
  <c r="AR22" i="16" s="1"/>
  <c r="AL21" i="16"/>
  <c r="AM21" i="16" s="1"/>
  <c r="AN21" i="16" s="1"/>
  <c r="AO21" i="16" s="1"/>
  <c r="AP21" i="16" s="1"/>
  <c r="AQ21" i="16" s="1"/>
  <c r="AR21" i="16" s="1"/>
  <c r="AL20" i="16"/>
  <c r="AM20" i="16" s="1"/>
  <c r="AN20" i="16" s="1"/>
  <c r="AO20" i="16" s="1"/>
  <c r="AP20" i="16" s="1"/>
  <c r="AQ20" i="16" s="1"/>
  <c r="AR20" i="16" s="1"/>
  <c r="AL19" i="16"/>
  <c r="AM19" i="16" s="1"/>
  <c r="AN19" i="16" s="1"/>
  <c r="AO19" i="16" s="1"/>
  <c r="AP19" i="16" s="1"/>
  <c r="AQ19" i="16" s="1"/>
  <c r="AR19" i="16" s="1"/>
  <c r="AL18" i="16"/>
  <c r="AM18" i="16" s="1"/>
  <c r="AN18" i="16" s="1"/>
  <c r="AO18" i="16" s="1"/>
  <c r="AP18" i="16" s="1"/>
  <c r="AQ18" i="16" s="1"/>
  <c r="AR18" i="16" s="1"/>
  <c r="AL17" i="16"/>
  <c r="AM17" i="16" s="1"/>
  <c r="AN17" i="16" s="1"/>
  <c r="AO17" i="16" s="1"/>
  <c r="AP17" i="16" s="1"/>
  <c r="AQ17" i="16" s="1"/>
  <c r="AR17" i="16" s="1"/>
  <c r="AL16" i="16"/>
  <c r="AM16" i="16" s="1"/>
  <c r="AN16" i="16" s="1"/>
  <c r="AO16" i="16" s="1"/>
  <c r="AP16" i="16" s="1"/>
  <c r="AQ16" i="16" s="1"/>
  <c r="AR16" i="16" s="1"/>
  <c r="AL15" i="16"/>
  <c r="AM15" i="16" s="1"/>
  <c r="AN15" i="16" s="1"/>
  <c r="AO15" i="16" s="1"/>
  <c r="AP15" i="16" s="1"/>
  <c r="AQ15" i="16" s="1"/>
  <c r="AR15" i="16" s="1"/>
  <c r="AL14" i="16"/>
  <c r="AM14" i="16" s="1"/>
  <c r="AN14" i="16" s="1"/>
  <c r="AO14" i="16" s="1"/>
  <c r="AP14" i="16" s="1"/>
  <c r="AQ14" i="16" s="1"/>
  <c r="AR14" i="16" s="1"/>
  <c r="AL13" i="16"/>
  <c r="AM13" i="16" s="1"/>
  <c r="AN13" i="16" s="1"/>
  <c r="AO13" i="16" s="1"/>
  <c r="AP13" i="16" s="1"/>
  <c r="AQ13" i="16" s="1"/>
  <c r="AR13" i="16" s="1"/>
  <c r="AL12" i="16"/>
  <c r="AM12" i="16" s="1"/>
  <c r="AN12" i="16" s="1"/>
  <c r="AO12" i="16" s="1"/>
  <c r="AP12" i="16" s="1"/>
  <c r="AQ12" i="16" s="1"/>
  <c r="AR12" i="16" s="1"/>
  <c r="AL11" i="16"/>
  <c r="AM11" i="16" s="1"/>
  <c r="AN11" i="16" s="1"/>
  <c r="AO11" i="16" s="1"/>
  <c r="AP11" i="16" s="1"/>
  <c r="AQ11" i="16" s="1"/>
  <c r="AR11" i="16" s="1"/>
  <c r="AL10" i="16"/>
  <c r="AD73" i="16"/>
  <c r="AE73" i="16" s="1"/>
  <c r="AF73" i="16" s="1"/>
  <c r="AG73" i="16" s="1"/>
  <c r="AH73" i="16" s="1"/>
  <c r="AI73" i="16" s="1"/>
  <c r="AJ73" i="16" s="1"/>
  <c r="AD72" i="16"/>
  <c r="AE72" i="16" s="1"/>
  <c r="AF72" i="16" s="1"/>
  <c r="AG72" i="16" s="1"/>
  <c r="AH72" i="16" s="1"/>
  <c r="AI72" i="16" s="1"/>
  <c r="AJ72" i="16" s="1"/>
  <c r="AD71" i="16"/>
  <c r="AE71" i="16" s="1"/>
  <c r="AF71" i="16" s="1"/>
  <c r="AG71" i="16" s="1"/>
  <c r="AH71" i="16" s="1"/>
  <c r="AI71" i="16" s="1"/>
  <c r="AJ71" i="16" s="1"/>
  <c r="AD70" i="16"/>
  <c r="AE70" i="16" s="1"/>
  <c r="AF70" i="16" s="1"/>
  <c r="AG70" i="16" s="1"/>
  <c r="AH70" i="16" s="1"/>
  <c r="AI70" i="16" s="1"/>
  <c r="AJ70" i="16" s="1"/>
  <c r="AD69" i="16"/>
  <c r="AE69" i="16" s="1"/>
  <c r="AF69" i="16" s="1"/>
  <c r="AG69" i="16" s="1"/>
  <c r="AH69" i="16" s="1"/>
  <c r="AI69" i="16" s="1"/>
  <c r="AJ69" i="16" s="1"/>
  <c r="AD68" i="16"/>
  <c r="AE68" i="16" s="1"/>
  <c r="AF68" i="16" s="1"/>
  <c r="AG68" i="16" s="1"/>
  <c r="AH68" i="16" s="1"/>
  <c r="AI68" i="16" s="1"/>
  <c r="AJ68" i="16" s="1"/>
  <c r="AD67" i="16"/>
  <c r="AE67" i="16" s="1"/>
  <c r="AF67" i="16" s="1"/>
  <c r="AG67" i="16" s="1"/>
  <c r="AH67" i="16" s="1"/>
  <c r="AI67" i="16" s="1"/>
  <c r="AJ67" i="16" s="1"/>
  <c r="AD66" i="16"/>
  <c r="AE66" i="16" s="1"/>
  <c r="AF66" i="16" s="1"/>
  <c r="AG66" i="16" s="1"/>
  <c r="AH66" i="16" s="1"/>
  <c r="AI66" i="16" s="1"/>
  <c r="AJ66" i="16" s="1"/>
  <c r="AD65" i="16"/>
  <c r="AE65" i="16" s="1"/>
  <c r="AF65" i="16" s="1"/>
  <c r="AG65" i="16" s="1"/>
  <c r="AH65" i="16" s="1"/>
  <c r="AI65" i="16" s="1"/>
  <c r="AJ65" i="16" s="1"/>
  <c r="AD64" i="16"/>
  <c r="AE64" i="16" s="1"/>
  <c r="AF64" i="16" s="1"/>
  <c r="AG64" i="16" s="1"/>
  <c r="AH64" i="16" s="1"/>
  <c r="AI64" i="16" s="1"/>
  <c r="AJ64" i="16" s="1"/>
  <c r="AD63" i="16"/>
  <c r="AE63" i="16" s="1"/>
  <c r="AF63" i="16" s="1"/>
  <c r="AG63" i="16" s="1"/>
  <c r="AH63" i="16" s="1"/>
  <c r="AI63" i="16" s="1"/>
  <c r="AJ63" i="16" s="1"/>
  <c r="AD62" i="16"/>
  <c r="AE62" i="16" s="1"/>
  <c r="AF62" i="16" s="1"/>
  <c r="AG62" i="16" s="1"/>
  <c r="AH62" i="16" s="1"/>
  <c r="AI62" i="16" s="1"/>
  <c r="AJ62" i="16" s="1"/>
  <c r="AD61" i="16"/>
  <c r="AE61" i="16" s="1"/>
  <c r="AF61" i="16" s="1"/>
  <c r="AG61" i="16" s="1"/>
  <c r="AH61" i="16" s="1"/>
  <c r="AI61" i="16" s="1"/>
  <c r="AJ61" i="16" s="1"/>
  <c r="AD60" i="16"/>
  <c r="AE60" i="16" s="1"/>
  <c r="AF60" i="16" s="1"/>
  <c r="AG60" i="16" s="1"/>
  <c r="AH60" i="16" s="1"/>
  <c r="AI60" i="16" s="1"/>
  <c r="AJ60" i="16" s="1"/>
  <c r="AD59" i="16"/>
  <c r="AE59" i="16" s="1"/>
  <c r="AF59" i="16" s="1"/>
  <c r="AG59" i="16" s="1"/>
  <c r="AH59" i="16" s="1"/>
  <c r="AI59" i="16" s="1"/>
  <c r="AJ59" i="16" s="1"/>
  <c r="AD58" i="16"/>
  <c r="AE58" i="16" s="1"/>
  <c r="AF58" i="16" s="1"/>
  <c r="AG58" i="16" s="1"/>
  <c r="AH58" i="16" s="1"/>
  <c r="AI58" i="16" s="1"/>
  <c r="AJ58" i="16" s="1"/>
  <c r="AD57" i="16"/>
  <c r="AE57" i="16" s="1"/>
  <c r="AF57" i="16" s="1"/>
  <c r="AG57" i="16" s="1"/>
  <c r="AH57" i="16" s="1"/>
  <c r="AI57" i="16" s="1"/>
  <c r="AJ57" i="16" s="1"/>
  <c r="AD56" i="16"/>
  <c r="AE56" i="16" s="1"/>
  <c r="AF56" i="16" s="1"/>
  <c r="AG56" i="16" s="1"/>
  <c r="AH56" i="16" s="1"/>
  <c r="AI56" i="16" s="1"/>
  <c r="AJ56" i="16" s="1"/>
  <c r="AD55" i="16"/>
  <c r="AE55" i="16" s="1"/>
  <c r="AF55" i="16" s="1"/>
  <c r="AG55" i="16" s="1"/>
  <c r="AH55" i="16" s="1"/>
  <c r="AI55" i="16" s="1"/>
  <c r="AJ55" i="16" s="1"/>
  <c r="AD54" i="16"/>
  <c r="AE54" i="16" s="1"/>
  <c r="AF54" i="16" s="1"/>
  <c r="AG54" i="16" s="1"/>
  <c r="AH54" i="16" s="1"/>
  <c r="AI54" i="16" s="1"/>
  <c r="AJ54" i="16" s="1"/>
  <c r="AD53" i="16"/>
  <c r="AE53" i="16" s="1"/>
  <c r="AF53" i="16" s="1"/>
  <c r="AG53" i="16" s="1"/>
  <c r="AH53" i="16" s="1"/>
  <c r="AI53" i="16" s="1"/>
  <c r="AJ53" i="16" s="1"/>
  <c r="AD52" i="16"/>
  <c r="AE52" i="16" s="1"/>
  <c r="AF52" i="16" s="1"/>
  <c r="AG52" i="16" s="1"/>
  <c r="AH52" i="16" s="1"/>
  <c r="AI52" i="16" s="1"/>
  <c r="AJ52" i="16" s="1"/>
  <c r="AD51" i="16"/>
  <c r="AE51" i="16" s="1"/>
  <c r="AF51" i="16" s="1"/>
  <c r="AG51" i="16" s="1"/>
  <c r="AH51" i="16" s="1"/>
  <c r="AI51" i="16" s="1"/>
  <c r="AJ51" i="16" s="1"/>
  <c r="AD50" i="16"/>
  <c r="AE50" i="16" s="1"/>
  <c r="AF50" i="16" s="1"/>
  <c r="AG50" i="16" s="1"/>
  <c r="AH50" i="16" s="1"/>
  <c r="AI50" i="16" s="1"/>
  <c r="AJ50" i="16" s="1"/>
  <c r="AD49" i="16"/>
  <c r="AE49" i="16" s="1"/>
  <c r="AF49" i="16" s="1"/>
  <c r="AG49" i="16" s="1"/>
  <c r="AH49" i="16" s="1"/>
  <c r="AI49" i="16" s="1"/>
  <c r="AJ49" i="16" s="1"/>
  <c r="AD48" i="16"/>
  <c r="AE48" i="16" s="1"/>
  <c r="AF48" i="16" s="1"/>
  <c r="AG48" i="16" s="1"/>
  <c r="AH48" i="16" s="1"/>
  <c r="AI48" i="16" s="1"/>
  <c r="AJ48" i="16" s="1"/>
  <c r="AD47" i="16"/>
  <c r="AE47" i="16" s="1"/>
  <c r="AF47" i="16" s="1"/>
  <c r="AG47" i="16" s="1"/>
  <c r="AH47" i="16" s="1"/>
  <c r="AI47" i="16" s="1"/>
  <c r="AJ47" i="16" s="1"/>
  <c r="AD46" i="16"/>
  <c r="AE46" i="16" s="1"/>
  <c r="AF46" i="16" s="1"/>
  <c r="AG46" i="16" s="1"/>
  <c r="AH46" i="16" s="1"/>
  <c r="AI46" i="16" s="1"/>
  <c r="AJ46" i="16" s="1"/>
  <c r="AD45" i="16"/>
  <c r="AE45" i="16" s="1"/>
  <c r="AF45" i="16" s="1"/>
  <c r="AG45" i="16" s="1"/>
  <c r="AH45" i="16" s="1"/>
  <c r="AI45" i="16" s="1"/>
  <c r="AJ45" i="16" s="1"/>
  <c r="AD44" i="16"/>
  <c r="AE44" i="16" s="1"/>
  <c r="AF44" i="16" s="1"/>
  <c r="AG44" i="16" s="1"/>
  <c r="AH44" i="16" s="1"/>
  <c r="AI44" i="16" s="1"/>
  <c r="AJ44" i="16" s="1"/>
  <c r="AD43" i="16"/>
  <c r="AE43" i="16" s="1"/>
  <c r="AF43" i="16" s="1"/>
  <c r="AG43" i="16" s="1"/>
  <c r="AH43" i="16" s="1"/>
  <c r="AI43" i="16" s="1"/>
  <c r="AJ43" i="16" s="1"/>
  <c r="AD42" i="16"/>
  <c r="AE42" i="16" s="1"/>
  <c r="AF42" i="16" s="1"/>
  <c r="AG42" i="16" s="1"/>
  <c r="AH42" i="16" s="1"/>
  <c r="AI42" i="16" s="1"/>
  <c r="AJ42" i="16" s="1"/>
  <c r="AD41" i="16"/>
  <c r="AE41" i="16" s="1"/>
  <c r="AF41" i="16" s="1"/>
  <c r="AG41" i="16" s="1"/>
  <c r="AH41" i="16" s="1"/>
  <c r="AI41" i="16" s="1"/>
  <c r="AJ41" i="16" s="1"/>
  <c r="AD40" i="16"/>
  <c r="AE40" i="16" s="1"/>
  <c r="AF40" i="16" s="1"/>
  <c r="AG40" i="16" s="1"/>
  <c r="AH40" i="16" s="1"/>
  <c r="AI40" i="16" s="1"/>
  <c r="AJ40" i="16" s="1"/>
  <c r="AD39" i="16"/>
  <c r="AE39" i="16" s="1"/>
  <c r="AF39" i="16" s="1"/>
  <c r="AG39" i="16" s="1"/>
  <c r="AH39" i="16" s="1"/>
  <c r="AI39" i="16" s="1"/>
  <c r="AJ39" i="16" s="1"/>
  <c r="AD38" i="16"/>
  <c r="AE38" i="16" s="1"/>
  <c r="AF38" i="16" s="1"/>
  <c r="AG38" i="16" s="1"/>
  <c r="AH38" i="16" s="1"/>
  <c r="AI38" i="16" s="1"/>
  <c r="AJ38" i="16" s="1"/>
  <c r="AD37" i="16"/>
  <c r="AE37" i="16" s="1"/>
  <c r="AF37" i="16" s="1"/>
  <c r="AG37" i="16" s="1"/>
  <c r="AH37" i="16" s="1"/>
  <c r="AI37" i="16" s="1"/>
  <c r="AJ37" i="16" s="1"/>
  <c r="AD36" i="16"/>
  <c r="AE36" i="16" s="1"/>
  <c r="AF36" i="16" s="1"/>
  <c r="AG36" i="16" s="1"/>
  <c r="AH36" i="16" s="1"/>
  <c r="AI36" i="16" s="1"/>
  <c r="AJ36" i="16" s="1"/>
  <c r="AD35" i="16"/>
  <c r="AE35" i="16" s="1"/>
  <c r="AF35" i="16" s="1"/>
  <c r="AG35" i="16" s="1"/>
  <c r="AH35" i="16" s="1"/>
  <c r="AI35" i="16" s="1"/>
  <c r="AJ35" i="16" s="1"/>
  <c r="AD34" i="16"/>
  <c r="AE34" i="16" s="1"/>
  <c r="AF34" i="16" s="1"/>
  <c r="AG34" i="16" s="1"/>
  <c r="AH34" i="16" s="1"/>
  <c r="AI34" i="16" s="1"/>
  <c r="AJ34" i="16" s="1"/>
  <c r="AD33" i="16"/>
  <c r="AE33" i="16" s="1"/>
  <c r="AF33" i="16" s="1"/>
  <c r="AG33" i="16" s="1"/>
  <c r="AH33" i="16" s="1"/>
  <c r="AI33" i="16" s="1"/>
  <c r="AJ33" i="16" s="1"/>
  <c r="AD32" i="16"/>
  <c r="AE32" i="16" s="1"/>
  <c r="AF32" i="16" s="1"/>
  <c r="AG32" i="16" s="1"/>
  <c r="AH32" i="16" s="1"/>
  <c r="AI32" i="16" s="1"/>
  <c r="AJ32" i="16" s="1"/>
  <c r="AD31" i="16"/>
  <c r="AE31" i="16" s="1"/>
  <c r="AF31" i="16" s="1"/>
  <c r="AG31" i="16" s="1"/>
  <c r="AH31" i="16" s="1"/>
  <c r="AI31" i="16" s="1"/>
  <c r="AJ31" i="16" s="1"/>
  <c r="AD30" i="16"/>
  <c r="AE30" i="16" s="1"/>
  <c r="AF30" i="16" s="1"/>
  <c r="AG30" i="16" s="1"/>
  <c r="AH30" i="16" s="1"/>
  <c r="AI30" i="16" s="1"/>
  <c r="AJ30" i="16" s="1"/>
  <c r="AD29" i="16"/>
  <c r="AE29" i="16" s="1"/>
  <c r="AF29" i="16" s="1"/>
  <c r="AG29" i="16" s="1"/>
  <c r="AH29" i="16" s="1"/>
  <c r="AI29" i="16" s="1"/>
  <c r="AJ29" i="16" s="1"/>
  <c r="AD28" i="16"/>
  <c r="AE28" i="16" s="1"/>
  <c r="AF28" i="16" s="1"/>
  <c r="AG28" i="16" s="1"/>
  <c r="AH28" i="16" s="1"/>
  <c r="AI28" i="16" s="1"/>
  <c r="AJ28" i="16" s="1"/>
  <c r="AD27" i="16"/>
  <c r="AE27" i="16" s="1"/>
  <c r="AF27" i="16" s="1"/>
  <c r="AG27" i="16" s="1"/>
  <c r="AH27" i="16" s="1"/>
  <c r="AI27" i="16" s="1"/>
  <c r="AJ27" i="16" s="1"/>
  <c r="AD26" i="16"/>
  <c r="AE26" i="16" s="1"/>
  <c r="AF26" i="16" s="1"/>
  <c r="AG26" i="16" s="1"/>
  <c r="AH26" i="16" s="1"/>
  <c r="AI26" i="16" s="1"/>
  <c r="AJ26" i="16" s="1"/>
  <c r="AD25" i="16"/>
  <c r="AE25" i="16" s="1"/>
  <c r="AF25" i="16" s="1"/>
  <c r="AG25" i="16" s="1"/>
  <c r="AH25" i="16" s="1"/>
  <c r="AI25" i="16" s="1"/>
  <c r="AJ25" i="16" s="1"/>
  <c r="AD24" i="16"/>
  <c r="AE24" i="16" s="1"/>
  <c r="AF24" i="16" s="1"/>
  <c r="AG24" i="16" s="1"/>
  <c r="AH24" i="16" s="1"/>
  <c r="AI24" i="16" s="1"/>
  <c r="AJ24" i="16" s="1"/>
  <c r="AD23" i="16"/>
  <c r="AE23" i="16" s="1"/>
  <c r="AF23" i="16" s="1"/>
  <c r="AG23" i="16" s="1"/>
  <c r="AH23" i="16" s="1"/>
  <c r="AI23" i="16" s="1"/>
  <c r="AJ23" i="16" s="1"/>
  <c r="AD22" i="16"/>
  <c r="AE22" i="16" s="1"/>
  <c r="AF22" i="16" s="1"/>
  <c r="AG22" i="16" s="1"/>
  <c r="AH22" i="16" s="1"/>
  <c r="AI22" i="16" s="1"/>
  <c r="AJ22" i="16" s="1"/>
  <c r="AD21" i="16"/>
  <c r="AE21" i="16" s="1"/>
  <c r="AF21" i="16" s="1"/>
  <c r="AG21" i="16" s="1"/>
  <c r="AH21" i="16" s="1"/>
  <c r="AI21" i="16" s="1"/>
  <c r="AJ21" i="16" s="1"/>
  <c r="AD20" i="16"/>
  <c r="AE20" i="16" s="1"/>
  <c r="AF20" i="16" s="1"/>
  <c r="AG20" i="16" s="1"/>
  <c r="AH20" i="16" s="1"/>
  <c r="AI20" i="16" s="1"/>
  <c r="AJ20" i="16" s="1"/>
  <c r="AD19" i="16"/>
  <c r="AE19" i="16" s="1"/>
  <c r="AF19" i="16" s="1"/>
  <c r="AG19" i="16" s="1"/>
  <c r="AH19" i="16" s="1"/>
  <c r="AI19" i="16" s="1"/>
  <c r="AJ19" i="16" s="1"/>
  <c r="AD18" i="16"/>
  <c r="AE18" i="16" s="1"/>
  <c r="AF18" i="16" s="1"/>
  <c r="AG18" i="16" s="1"/>
  <c r="AH18" i="16" s="1"/>
  <c r="AI18" i="16" s="1"/>
  <c r="AJ18" i="16" s="1"/>
  <c r="AD17" i="16"/>
  <c r="AE17" i="16" s="1"/>
  <c r="AF17" i="16" s="1"/>
  <c r="AG17" i="16" s="1"/>
  <c r="AH17" i="16" s="1"/>
  <c r="AI17" i="16" s="1"/>
  <c r="AJ17" i="16" s="1"/>
  <c r="AD16" i="16"/>
  <c r="AE16" i="16" s="1"/>
  <c r="AF16" i="16" s="1"/>
  <c r="AG16" i="16" s="1"/>
  <c r="AH16" i="16" s="1"/>
  <c r="AI16" i="16" s="1"/>
  <c r="AJ16" i="16" s="1"/>
  <c r="AD15" i="16"/>
  <c r="AE15" i="16" s="1"/>
  <c r="AF15" i="16" s="1"/>
  <c r="AG15" i="16" s="1"/>
  <c r="AH15" i="16" s="1"/>
  <c r="AI15" i="16" s="1"/>
  <c r="AJ15" i="16" s="1"/>
  <c r="AD14" i="16"/>
  <c r="AE14" i="16" s="1"/>
  <c r="AF14" i="16" s="1"/>
  <c r="AG14" i="16" s="1"/>
  <c r="AH14" i="16" s="1"/>
  <c r="AI14" i="16" s="1"/>
  <c r="AJ14" i="16" s="1"/>
  <c r="AD13" i="16"/>
  <c r="AE13" i="16" s="1"/>
  <c r="AF13" i="16" s="1"/>
  <c r="AG13" i="16" s="1"/>
  <c r="AH13" i="16" s="1"/>
  <c r="AI13" i="16" s="1"/>
  <c r="AJ13" i="16" s="1"/>
  <c r="AD12" i="16"/>
  <c r="AE12" i="16" s="1"/>
  <c r="AF12" i="16" s="1"/>
  <c r="AG12" i="16" s="1"/>
  <c r="AH12" i="16" s="1"/>
  <c r="AI12" i="16" s="1"/>
  <c r="AJ12" i="16" s="1"/>
  <c r="AD11" i="16"/>
  <c r="AE11" i="16" s="1"/>
  <c r="AF11" i="16" s="1"/>
  <c r="AG11" i="16" s="1"/>
  <c r="AH11" i="16" s="1"/>
  <c r="AI11" i="16" s="1"/>
  <c r="AJ11" i="16" s="1"/>
  <c r="AD10" i="16"/>
  <c r="V73" i="16"/>
  <c r="W73" i="16" s="1"/>
  <c r="X73" i="16" s="1"/>
  <c r="Y73" i="16" s="1"/>
  <c r="Z73" i="16" s="1"/>
  <c r="AA73" i="16" s="1"/>
  <c r="AB73" i="16" s="1"/>
  <c r="V72" i="16"/>
  <c r="W72" i="16" s="1"/>
  <c r="X72" i="16" s="1"/>
  <c r="Y72" i="16" s="1"/>
  <c r="Z72" i="16" s="1"/>
  <c r="AA72" i="16" s="1"/>
  <c r="AB72" i="16" s="1"/>
  <c r="V71" i="16"/>
  <c r="W71" i="16" s="1"/>
  <c r="X71" i="16" s="1"/>
  <c r="Y71" i="16" s="1"/>
  <c r="Z71" i="16" s="1"/>
  <c r="AA71" i="16" s="1"/>
  <c r="AB71" i="16" s="1"/>
  <c r="V70" i="16"/>
  <c r="W70" i="16" s="1"/>
  <c r="X70" i="16" s="1"/>
  <c r="Y70" i="16" s="1"/>
  <c r="Z70" i="16" s="1"/>
  <c r="AA70" i="16" s="1"/>
  <c r="AB70" i="16" s="1"/>
  <c r="V69" i="16"/>
  <c r="W69" i="16" s="1"/>
  <c r="X69" i="16" s="1"/>
  <c r="Y69" i="16" s="1"/>
  <c r="Z69" i="16" s="1"/>
  <c r="AA69" i="16" s="1"/>
  <c r="AB69" i="16" s="1"/>
  <c r="V68" i="16"/>
  <c r="W68" i="16" s="1"/>
  <c r="X68" i="16" s="1"/>
  <c r="Y68" i="16" s="1"/>
  <c r="Z68" i="16" s="1"/>
  <c r="AA68" i="16" s="1"/>
  <c r="AB68" i="16" s="1"/>
  <c r="V67" i="16"/>
  <c r="W67" i="16" s="1"/>
  <c r="X67" i="16" s="1"/>
  <c r="Y67" i="16" s="1"/>
  <c r="Z67" i="16" s="1"/>
  <c r="AA67" i="16" s="1"/>
  <c r="AB67" i="16" s="1"/>
  <c r="V66" i="16"/>
  <c r="W66" i="16" s="1"/>
  <c r="X66" i="16" s="1"/>
  <c r="Y66" i="16" s="1"/>
  <c r="Z66" i="16" s="1"/>
  <c r="AA66" i="16" s="1"/>
  <c r="AB66" i="16" s="1"/>
  <c r="V65" i="16"/>
  <c r="W65" i="16" s="1"/>
  <c r="X65" i="16" s="1"/>
  <c r="Y65" i="16" s="1"/>
  <c r="Z65" i="16" s="1"/>
  <c r="AA65" i="16" s="1"/>
  <c r="AB65" i="16" s="1"/>
  <c r="V64" i="16"/>
  <c r="W64" i="16" s="1"/>
  <c r="X64" i="16" s="1"/>
  <c r="Y64" i="16" s="1"/>
  <c r="Z64" i="16" s="1"/>
  <c r="AA64" i="16" s="1"/>
  <c r="AB64" i="16" s="1"/>
  <c r="V63" i="16"/>
  <c r="W63" i="16" s="1"/>
  <c r="X63" i="16" s="1"/>
  <c r="Y63" i="16" s="1"/>
  <c r="Z63" i="16" s="1"/>
  <c r="AA63" i="16" s="1"/>
  <c r="AB63" i="16" s="1"/>
  <c r="V62" i="16"/>
  <c r="W62" i="16" s="1"/>
  <c r="X62" i="16" s="1"/>
  <c r="Y62" i="16" s="1"/>
  <c r="Z62" i="16" s="1"/>
  <c r="AA62" i="16" s="1"/>
  <c r="AB62" i="16" s="1"/>
  <c r="V61" i="16"/>
  <c r="W61" i="16" s="1"/>
  <c r="X61" i="16" s="1"/>
  <c r="Y61" i="16" s="1"/>
  <c r="Z61" i="16" s="1"/>
  <c r="AA61" i="16" s="1"/>
  <c r="AB61" i="16" s="1"/>
  <c r="V60" i="16"/>
  <c r="W60" i="16" s="1"/>
  <c r="X60" i="16" s="1"/>
  <c r="Y60" i="16" s="1"/>
  <c r="Z60" i="16" s="1"/>
  <c r="AA60" i="16" s="1"/>
  <c r="AB60" i="16" s="1"/>
  <c r="V59" i="16"/>
  <c r="W59" i="16" s="1"/>
  <c r="X59" i="16" s="1"/>
  <c r="Y59" i="16" s="1"/>
  <c r="Z59" i="16" s="1"/>
  <c r="AA59" i="16" s="1"/>
  <c r="AB59" i="16" s="1"/>
  <c r="V58" i="16"/>
  <c r="W58" i="16" s="1"/>
  <c r="X58" i="16" s="1"/>
  <c r="Y58" i="16" s="1"/>
  <c r="Z58" i="16" s="1"/>
  <c r="AA58" i="16" s="1"/>
  <c r="AB58" i="16" s="1"/>
  <c r="V57" i="16"/>
  <c r="W57" i="16" s="1"/>
  <c r="X57" i="16" s="1"/>
  <c r="Y57" i="16" s="1"/>
  <c r="Z57" i="16" s="1"/>
  <c r="AA57" i="16" s="1"/>
  <c r="AB57" i="16" s="1"/>
  <c r="V56" i="16"/>
  <c r="W56" i="16" s="1"/>
  <c r="X56" i="16" s="1"/>
  <c r="Y56" i="16" s="1"/>
  <c r="Z56" i="16" s="1"/>
  <c r="AA56" i="16" s="1"/>
  <c r="AB56" i="16" s="1"/>
  <c r="V55" i="16"/>
  <c r="W55" i="16" s="1"/>
  <c r="X55" i="16" s="1"/>
  <c r="Y55" i="16" s="1"/>
  <c r="Z55" i="16" s="1"/>
  <c r="AA55" i="16" s="1"/>
  <c r="AB55" i="16" s="1"/>
  <c r="V54" i="16"/>
  <c r="W54" i="16" s="1"/>
  <c r="X54" i="16" s="1"/>
  <c r="Y54" i="16" s="1"/>
  <c r="Z54" i="16" s="1"/>
  <c r="AA54" i="16" s="1"/>
  <c r="AB54" i="16" s="1"/>
  <c r="V53" i="16"/>
  <c r="W53" i="16" s="1"/>
  <c r="X53" i="16" s="1"/>
  <c r="Y53" i="16" s="1"/>
  <c r="Z53" i="16" s="1"/>
  <c r="AA53" i="16" s="1"/>
  <c r="AB53" i="16" s="1"/>
  <c r="V52" i="16"/>
  <c r="W52" i="16" s="1"/>
  <c r="X52" i="16" s="1"/>
  <c r="Y52" i="16" s="1"/>
  <c r="Z52" i="16" s="1"/>
  <c r="AA52" i="16" s="1"/>
  <c r="AB52" i="16" s="1"/>
  <c r="V51" i="16"/>
  <c r="W51" i="16" s="1"/>
  <c r="X51" i="16" s="1"/>
  <c r="Y51" i="16" s="1"/>
  <c r="Z51" i="16" s="1"/>
  <c r="AA51" i="16" s="1"/>
  <c r="AB51" i="16" s="1"/>
  <c r="V50" i="16"/>
  <c r="W50" i="16" s="1"/>
  <c r="X50" i="16" s="1"/>
  <c r="Y50" i="16" s="1"/>
  <c r="Z50" i="16" s="1"/>
  <c r="AA50" i="16" s="1"/>
  <c r="AB50" i="16" s="1"/>
  <c r="V49" i="16"/>
  <c r="W49" i="16" s="1"/>
  <c r="X49" i="16" s="1"/>
  <c r="Y49" i="16" s="1"/>
  <c r="Z49" i="16" s="1"/>
  <c r="AA49" i="16" s="1"/>
  <c r="AB49" i="16" s="1"/>
  <c r="V48" i="16"/>
  <c r="W48" i="16" s="1"/>
  <c r="X48" i="16" s="1"/>
  <c r="Y48" i="16" s="1"/>
  <c r="Z48" i="16" s="1"/>
  <c r="AA48" i="16" s="1"/>
  <c r="AB48" i="16" s="1"/>
  <c r="V47" i="16"/>
  <c r="W47" i="16" s="1"/>
  <c r="X47" i="16" s="1"/>
  <c r="Y47" i="16" s="1"/>
  <c r="Z47" i="16" s="1"/>
  <c r="AA47" i="16" s="1"/>
  <c r="AB47" i="16" s="1"/>
  <c r="V46" i="16"/>
  <c r="W46" i="16" s="1"/>
  <c r="X46" i="16" s="1"/>
  <c r="Y46" i="16" s="1"/>
  <c r="Z46" i="16" s="1"/>
  <c r="AA46" i="16" s="1"/>
  <c r="AB46" i="16" s="1"/>
  <c r="V45" i="16"/>
  <c r="W45" i="16" s="1"/>
  <c r="X45" i="16" s="1"/>
  <c r="Y45" i="16" s="1"/>
  <c r="Z45" i="16" s="1"/>
  <c r="AA45" i="16" s="1"/>
  <c r="AB45" i="16" s="1"/>
  <c r="V44" i="16"/>
  <c r="W44" i="16" s="1"/>
  <c r="X44" i="16" s="1"/>
  <c r="Y44" i="16" s="1"/>
  <c r="Z44" i="16" s="1"/>
  <c r="AA44" i="16" s="1"/>
  <c r="AB44" i="16" s="1"/>
  <c r="V43" i="16"/>
  <c r="W43" i="16" s="1"/>
  <c r="X43" i="16" s="1"/>
  <c r="Y43" i="16" s="1"/>
  <c r="Z43" i="16" s="1"/>
  <c r="AA43" i="16" s="1"/>
  <c r="AB43" i="16" s="1"/>
  <c r="V42" i="16"/>
  <c r="W42" i="16" s="1"/>
  <c r="X42" i="16" s="1"/>
  <c r="Y42" i="16" s="1"/>
  <c r="Z42" i="16" s="1"/>
  <c r="AA42" i="16" s="1"/>
  <c r="AB42" i="16" s="1"/>
  <c r="V41" i="16"/>
  <c r="W41" i="16" s="1"/>
  <c r="X41" i="16" s="1"/>
  <c r="Y41" i="16" s="1"/>
  <c r="Z41" i="16" s="1"/>
  <c r="AA41" i="16" s="1"/>
  <c r="AB41" i="16" s="1"/>
  <c r="V40" i="16"/>
  <c r="W40" i="16" s="1"/>
  <c r="X40" i="16" s="1"/>
  <c r="Y40" i="16" s="1"/>
  <c r="Z40" i="16" s="1"/>
  <c r="AA40" i="16" s="1"/>
  <c r="AB40" i="16" s="1"/>
  <c r="V39" i="16"/>
  <c r="W39" i="16" s="1"/>
  <c r="X39" i="16" s="1"/>
  <c r="Y39" i="16" s="1"/>
  <c r="Z39" i="16" s="1"/>
  <c r="AA39" i="16" s="1"/>
  <c r="AB39" i="16" s="1"/>
  <c r="V38" i="16"/>
  <c r="W38" i="16" s="1"/>
  <c r="X38" i="16" s="1"/>
  <c r="Y38" i="16" s="1"/>
  <c r="Z38" i="16" s="1"/>
  <c r="AA38" i="16" s="1"/>
  <c r="AB38" i="16" s="1"/>
  <c r="V37" i="16"/>
  <c r="W37" i="16" s="1"/>
  <c r="X37" i="16" s="1"/>
  <c r="Y37" i="16" s="1"/>
  <c r="Z37" i="16" s="1"/>
  <c r="AA37" i="16" s="1"/>
  <c r="AB37" i="16" s="1"/>
  <c r="V36" i="16"/>
  <c r="W36" i="16" s="1"/>
  <c r="X36" i="16" s="1"/>
  <c r="Y36" i="16" s="1"/>
  <c r="Z36" i="16" s="1"/>
  <c r="AA36" i="16" s="1"/>
  <c r="AB36" i="16" s="1"/>
  <c r="V35" i="16"/>
  <c r="W35" i="16" s="1"/>
  <c r="X35" i="16" s="1"/>
  <c r="Y35" i="16" s="1"/>
  <c r="Z35" i="16" s="1"/>
  <c r="AA35" i="16" s="1"/>
  <c r="AB35" i="16" s="1"/>
  <c r="V34" i="16"/>
  <c r="W34" i="16" s="1"/>
  <c r="X34" i="16" s="1"/>
  <c r="Y34" i="16" s="1"/>
  <c r="Z34" i="16" s="1"/>
  <c r="AA34" i="16" s="1"/>
  <c r="AB34" i="16" s="1"/>
  <c r="V33" i="16"/>
  <c r="W33" i="16" s="1"/>
  <c r="X33" i="16" s="1"/>
  <c r="Y33" i="16" s="1"/>
  <c r="Z33" i="16" s="1"/>
  <c r="AA33" i="16" s="1"/>
  <c r="AB33" i="16" s="1"/>
  <c r="V32" i="16"/>
  <c r="W32" i="16" s="1"/>
  <c r="X32" i="16" s="1"/>
  <c r="Y32" i="16" s="1"/>
  <c r="Z32" i="16" s="1"/>
  <c r="AA32" i="16" s="1"/>
  <c r="AB32" i="16" s="1"/>
  <c r="V31" i="16"/>
  <c r="W31" i="16" s="1"/>
  <c r="X31" i="16" s="1"/>
  <c r="Y31" i="16" s="1"/>
  <c r="Z31" i="16" s="1"/>
  <c r="AA31" i="16" s="1"/>
  <c r="AB31" i="16" s="1"/>
  <c r="V30" i="16"/>
  <c r="W30" i="16" s="1"/>
  <c r="X30" i="16" s="1"/>
  <c r="Y30" i="16" s="1"/>
  <c r="Z30" i="16" s="1"/>
  <c r="AA30" i="16" s="1"/>
  <c r="AB30" i="16" s="1"/>
  <c r="V29" i="16"/>
  <c r="W29" i="16" s="1"/>
  <c r="X29" i="16" s="1"/>
  <c r="Y29" i="16" s="1"/>
  <c r="Z29" i="16" s="1"/>
  <c r="AA29" i="16" s="1"/>
  <c r="AB29" i="16" s="1"/>
  <c r="V28" i="16"/>
  <c r="W28" i="16" s="1"/>
  <c r="X28" i="16" s="1"/>
  <c r="Y28" i="16" s="1"/>
  <c r="Z28" i="16" s="1"/>
  <c r="AA28" i="16" s="1"/>
  <c r="AB28" i="16" s="1"/>
  <c r="V27" i="16"/>
  <c r="W27" i="16" s="1"/>
  <c r="X27" i="16" s="1"/>
  <c r="Y27" i="16" s="1"/>
  <c r="Z27" i="16" s="1"/>
  <c r="AA27" i="16" s="1"/>
  <c r="AB27" i="16" s="1"/>
  <c r="V26" i="16"/>
  <c r="W26" i="16" s="1"/>
  <c r="X26" i="16" s="1"/>
  <c r="Y26" i="16" s="1"/>
  <c r="Z26" i="16" s="1"/>
  <c r="AA26" i="16" s="1"/>
  <c r="AB26" i="16" s="1"/>
  <c r="V25" i="16"/>
  <c r="W25" i="16" s="1"/>
  <c r="X25" i="16" s="1"/>
  <c r="Y25" i="16" s="1"/>
  <c r="Z25" i="16" s="1"/>
  <c r="AA25" i="16" s="1"/>
  <c r="AB25" i="16" s="1"/>
  <c r="V24" i="16"/>
  <c r="W24" i="16" s="1"/>
  <c r="X24" i="16" s="1"/>
  <c r="Y24" i="16" s="1"/>
  <c r="Z24" i="16" s="1"/>
  <c r="AA24" i="16" s="1"/>
  <c r="AB24" i="16" s="1"/>
  <c r="V23" i="16"/>
  <c r="W23" i="16" s="1"/>
  <c r="X23" i="16" s="1"/>
  <c r="Y23" i="16" s="1"/>
  <c r="Z23" i="16" s="1"/>
  <c r="AA23" i="16" s="1"/>
  <c r="AB23" i="16" s="1"/>
  <c r="V22" i="16"/>
  <c r="W22" i="16" s="1"/>
  <c r="X22" i="16" s="1"/>
  <c r="Y22" i="16" s="1"/>
  <c r="Z22" i="16" s="1"/>
  <c r="AA22" i="16" s="1"/>
  <c r="AB22" i="16" s="1"/>
  <c r="V21" i="16"/>
  <c r="W21" i="16" s="1"/>
  <c r="X21" i="16" s="1"/>
  <c r="Y21" i="16" s="1"/>
  <c r="Z21" i="16" s="1"/>
  <c r="AA21" i="16" s="1"/>
  <c r="AB21" i="16" s="1"/>
  <c r="V20" i="16"/>
  <c r="W20" i="16" s="1"/>
  <c r="X20" i="16" s="1"/>
  <c r="Y20" i="16" s="1"/>
  <c r="Z20" i="16" s="1"/>
  <c r="AA20" i="16" s="1"/>
  <c r="AB20" i="16" s="1"/>
  <c r="V19" i="16"/>
  <c r="W19" i="16" s="1"/>
  <c r="X19" i="16" s="1"/>
  <c r="Y19" i="16" s="1"/>
  <c r="Z19" i="16" s="1"/>
  <c r="AA19" i="16" s="1"/>
  <c r="AB19" i="16" s="1"/>
  <c r="V18" i="16"/>
  <c r="W18" i="16" s="1"/>
  <c r="X18" i="16" s="1"/>
  <c r="Y18" i="16" s="1"/>
  <c r="Z18" i="16" s="1"/>
  <c r="AA18" i="16" s="1"/>
  <c r="AB18" i="16" s="1"/>
  <c r="V17" i="16"/>
  <c r="W17" i="16" s="1"/>
  <c r="X17" i="16" s="1"/>
  <c r="Y17" i="16" s="1"/>
  <c r="Z17" i="16" s="1"/>
  <c r="AA17" i="16" s="1"/>
  <c r="AB17" i="16" s="1"/>
  <c r="V16" i="16"/>
  <c r="W16" i="16" s="1"/>
  <c r="X16" i="16" s="1"/>
  <c r="Y16" i="16" s="1"/>
  <c r="Z16" i="16" s="1"/>
  <c r="AA16" i="16" s="1"/>
  <c r="AB16" i="16" s="1"/>
  <c r="V15" i="16"/>
  <c r="W15" i="16" s="1"/>
  <c r="X15" i="16" s="1"/>
  <c r="Y15" i="16" s="1"/>
  <c r="Z15" i="16" s="1"/>
  <c r="AA15" i="16" s="1"/>
  <c r="AB15" i="16" s="1"/>
  <c r="V14" i="16"/>
  <c r="W14" i="16" s="1"/>
  <c r="X14" i="16" s="1"/>
  <c r="Y14" i="16" s="1"/>
  <c r="Z14" i="16" s="1"/>
  <c r="AA14" i="16" s="1"/>
  <c r="AB14" i="16" s="1"/>
  <c r="V13" i="16"/>
  <c r="W13" i="16" s="1"/>
  <c r="X13" i="16" s="1"/>
  <c r="Y13" i="16" s="1"/>
  <c r="Z13" i="16" s="1"/>
  <c r="AA13" i="16" s="1"/>
  <c r="AB13" i="16" s="1"/>
  <c r="V12" i="16"/>
  <c r="W12" i="16" s="1"/>
  <c r="X12" i="16" s="1"/>
  <c r="Y12" i="16" s="1"/>
  <c r="Z12" i="16" s="1"/>
  <c r="AA12" i="16" s="1"/>
  <c r="AB12" i="16" s="1"/>
  <c r="V11" i="16"/>
  <c r="W11" i="16" s="1"/>
  <c r="X11" i="16" s="1"/>
  <c r="Y11" i="16" s="1"/>
  <c r="Z11" i="16" s="1"/>
  <c r="AA11" i="16" s="1"/>
  <c r="AB11" i="16" s="1"/>
  <c r="V10" i="16"/>
  <c r="N73" i="16"/>
  <c r="O73" i="16" s="1"/>
  <c r="P73" i="16" s="1"/>
  <c r="N72" i="16"/>
  <c r="O72" i="16" s="1"/>
  <c r="P72" i="16" s="1"/>
  <c r="N71" i="16"/>
  <c r="O71" i="16" s="1"/>
  <c r="P71" i="16" s="1"/>
  <c r="N70" i="16"/>
  <c r="O70" i="16" s="1"/>
  <c r="P70" i="16" s="1"/>
  <c r="N69" i="16"/>
  <c r="O69" i="16" s="1"/>
  <c r="P69" i="16" s="1"/>
  <c r="N68" i="16"/>
  <c r="O68" i="16" s="1"/>
  <c r="P68" i="16" s="1"/>
  <c r="N67" i="16"/>
  <c r="O67" i="16" s="1"/>
  <c r="P67" i="16" s="1"/>
  <c r="N66" i="16"/>
  <c r="O66" i="16" s="1"/>
  <c r="P66" i="16" s="1"/>
  <c r="N65" i="16"/>
  <c r="O65" i="16" s="1"/>
  <c r="P65" i="16" s="1"/>
  <c r="N64" i="16"/>
  <c r="O64" i="16" s="1"/>
  <c r="P64" i="16" s="1"/>
  <c r="N63" i="16"/>
  <c r="O63" i="16" s="1"/>
  <c r="P63" i="16" s="1"/>
  <c r="N62" i="16"/>
  <c r="O62" i="16" s="1"/>
  <c r="P62" i="16" s="1"/>
  <c r="N61" i="16"/>
  <c r="O61" i="16" s="1"/>
  <c r="P61" i="16" s="1"/>
  <c r="N60" i="16"/>
  <c r="O60" i="16" s="1"/>
  <c r="P60" i="16" s="1"/>
  <c r="N59" i="16"/>
  <c r="O59" i="16" s="1"/>
  <c r="P59" i="16" s="1"/>
  <c r="N58" i="16"/>
  <c r="O58" i="16" s="1"/>
  <c r="P58" i="16" s="1"/>
  <c r="N57" i="16"/>
  <c r="O57" i="16" s="1"/>
  <c r="P57" i="16" s="1"/>
  <c r="N56" i="16"/>
  <c r="O56" i="16" s="1"/>
  <c r="P56" i="16" s="1"/>
  <c r="N55" i="16"/>
  <c r="O55" i="16" s="1"/>
  <c r="P55" i="16" s="1"/>
  <c r="N54" i="16"/>
  <c r="O54" i="16" s="1"/>
  <c r="P54" i="16" s="1"/>
  <c r="N53" i="16"/>
  <c r="O53" i="16" s="1"/>
  <c r="P53" i="16" s="1"/>
  <c r="N52" i="16"/>
  <c r="O52" i="16" s="1"/>
  <c r="P52" i="16" s="1"/>
  <c r="N51" i="16"/>
  <c r="O51" i="16" s="1"/>
  <c r="P51" i="16" s="1"/>
  <c r="N50" i="16"/>
  <c r="O50" i="16" s="1"/>
  <c r="P50" i="16" s="1"/>
  <c r="N49" i="16"/>
  <c r="O49" i="16" s="1"/>
  <c r="P49" i="16" s="1"/>
  <c r="N48" i="16"/>
  <c r="O48" i="16" s="1"/>
  <c r="P48" i="16" s="1"/>
  <c r="N47" i="16"/>
  <c r="O47" i="16" s="1"/>
  <c r="P47" i="16" s="1"/>
  <c r="N46" i="16"/>
  <c r="O46" i="16" s="1"/>
  <c r="P46" i="16" s="1"/>
  <c r="N45" i="16"/>
  <c r="O45" i="16" s="1"/>
  <c r="P45" i="16" s="1"/>
  <c r="N44" i="16"/>
  <c r="O44" i="16" s="1"/>
  <c r="P44" i="16" s="1"/>
  <c r="N43" i="16"/>
  <c r="O43" i="16" s="1"/>
  <c r="P43" i="16" s="1"/>
  <c r="N42" i="16"/>
  <c r="O42" i="16" s="1"/>
  <c r="P42" i="16" s="1"/>
  <c r="N41" i="16"/>
  <c r="O41" i="16" s="1"/>
  <c r="P41" i="16" s="1"/>
  <c r="N40" i="16"/>
  <c r="O40" i="16" s="1"/>
  <c r="P40" i="16" s="1"/>
  <c r="N39" i="16"/>
  <c r="O39" i="16" s="1"/>
  <c r="P39" i="16" s="1"/>
  <c r="N38" i="16"/>
  <c r="O38" i="16" s="1"/>
  <c r="P38" i="16" s="1"/>
  <c r="N37" i="16"/>
  <c r="O37" i="16" s="1"/>
  <c r="P37" i="16" s="1"/>
  <c r="N36" i="16"/>
  <c r="O36" i="16" s="1"/>
  <c r="P36" i="16" s="1"/>
  <c r="N35" i="16"/>
  <c r="O35" i="16" s="1"/>
  <c r="P35" i="16" s="1"/>
  <c r="N34" i="16"/>
  <c r="O34" i="16" s="1"/>
  <c r="P34" i="16" s="1"/>
  <c r="N33" i="16"/>
  <c r="O33" i="16" s="1"/>
  <c r="P33" i="16" s="1"/>
  <c r="N32" i="16"/>
  <c r="O32" i="16" s="1"/>
  <c r="P32" i="16" s="1"/>
  <c r="N31" i="16"/>
  <c r="O31" i="16" s="1"/>
  <c r="P31" i="16" s="1"/>
  <c r="N30" i="16"/>
  <c r="O30" i="16" s="1"/>
  <c r="P30" i="16" s="1"/>
  <c r="N29" i="16"/>
  <c r="O29" i="16" s="1"/>
  <c r="P29" i="16" s="1"/>
  <c r="N28" i="16"/>
  <c r="O28" i="16" s="1"/>
  <c r="P28" i="16" s="1"/>
  <c r="N27" i="16"/>
  <c r="O27" i="16" s="1"/>
  <c r="P27" i="16" s="1"/>
  <c r="N26" i="16"/>
  <c r="O26" i="16" s="1"/>
  <c r="P26" i="16" s="1"/>
  <c r="N25" i="16"/>
  <c r="O25" i="16" s="1"/>
  <c r="P25" i="16" s="1"/>
  <c r="N24" i="16"/>
  <c r="O24" i="16" s="1"/>
  <c r="P24" i="16" s="1"/>
  <c r="N23" i="16"/>
  <c r="O23" i="16" s="1"/>
  <c r="P23" i="16" s="1"/>
  <c r="N22" i="16"/>
  <c r="O22" i="16" s="1"/>
  <c r="P22" i="16" s="1"/>
  <c r="N21" i="16"/>
  <c r="O21" i="16" s="1"/>
  <c r="P21" i="16" s="1"/>
  <c r="N20" i="16"/>
  <c r="O20" i="16" s="1"/>
  <c r="P20" i="16" s="1"/>
  <c r="N19" i="16"/>
  <c r="O19" i="16" s="1"/>
  <c r="P19" i="16" s="1"/>
  <c r="N18" i="16"/>
  <c r="O18" i="16" s="1"/>
  <c r="P18" i="16" s="1"/>
  <c r="N17" i="16"/>
  <c r="O17" i="16" s="1"/>
  <c r="P17" i="16" s="1"/>
  <c r="N16" i="16"/>
  <c r="O16" i="16" s="1"/>
  <c r="P16" i="16" s="1"/>
  <c r="N15" i="16"/>
  <c r="O15" i="16" s="1"/>
  <c r="P15" i="16" s="1"/>
  <c r="N14" i="16"/>
  <c r="O14" i="16" s="1"/>
  <c r="P14" i="16" s="1"/>
  <c r="N13" i="16"/>
  <c r="O13" i="16" s="1"/>
  <c r="P13" i="16" s="1"/>
  <c r="N12" i="16"/>
  <c r="O12" i="16" s="1"/>
  <c r="P12" i="16" s="1"/>
  <c r="N11" i="16"/>
  <c r="O11" i="16" s="1"/>
  <c r="P11" i="16" s="1"/>
  <c r="Q11" i="16" s="1"/>
  <c r="R11" i="16" s="1"/>
  <c r="S11" i="16" s="1"/>
  <c r="T11" i="16" s="1"/>
  <c r="N10" i="16"/>
  <c r="F73" i="16"/>
  <c r="G73" i="16" s="1"/>
  <c r="H73" i="16" s="1"/>
  <c r="I73" i="16" s="1"/>
  <c r="J73" i="16" s="1"/>
  <c r="K73" i="16" s="1"/>
  <c r="L73" i="16" s="1"/>
  <c r="F72" i="16"/>
  <c r="G72" i="16" s="1"/>
  <c r="H72" i="16" s="1"/>
  <c r="I72" i="16" s="1"/>
  <c r="J72" i="16" s="1"/>
  <c r="K72" i="16" s="1"/>
  <c r="L72" i="16" s="1"/>
  <c r="F71" i="16"/>
  <c r="G71" i="16" s="1"/>
  <c r="H71" i="16" s="1"/>
  <c r="I71" i="16" s="1"/>
  <c r="J71" i="16" s="1"/>
  <c r="K71" i="16" s="1"/>
  <c r="L71" i="16" s="1"/>
  <c r="F70" i="16"/>
  <c r="F69" i="16"/>
  <c r="G69" i="16" s="1"/>
  <c r="H69" i="16" s="1"/>
  <c r="I69" i="16" s="1"/>
  <c r="J69" i="16" s="1"/>
  <c r="K69" i="16" s="1"/>
  <c r="L69" i="16" s="1"/>
  <c r="F68" i="16"/>
  <c r="G68" i="16" s="1"/>
  <c r="H68" i="16" s="1"/>
  <c r="I68" i="16" s="1"/>
  <c r="J68" i="16" s="1"/>
  <c r="K68" i="16" s="1"/>
  <c r="L68" i="16" s="1"/>
  <c r="F67" i="16"/>
  <c r="G67" i="16" s="1"/>
  <c r="H67" i="16" s="1"/>
  <c r="I67" i="16" s="1"/>
  <c r="J67" i="16" s="1"/>
  <c r="K67" i="16" s="1"/>
  <c r="L67" i="16" s="1"/>
  <c r="F66" i="16"/>
  <c r="G66" i="16" s="1"/>
  <c r="H66" i="16" s="1"/>
  <c r="I66" i="16" s="1"/>
  <c r="J66" i="16" s="1"/>
  <c r="K66" i="16" s="1"/>
  <c r="L66" i="16" s="1"/>
  <c r="F65" i="16"/>
  <c r="G65" i="16" s="1"/>
  <c r="H65" i="16" s="1"/>
  <c r="I65" i="16" s="1"/>
  <c r="J65" i="16" s="1"/>
  <c r="K65" i="16" s="1"/>
  <c r="L65" i="16" s="1"/>
  <c r="F64" i="16"/>
  <c r="G64" i="16" s="1"/>
  <c r="H64" i="16" s="1"/>
  <c r="I64" i="16" s="1"/>
  <c r="J64" i="16" s="1"/>
  <c r="K64" i="16" s="1"/>
  <c r="L64" i="16" s="1"/>
  <c r="F63" i="16"/>
  <c r="G63" i="16" s="1"/>
  <c r="H63" i="16" s="1"/>
  <c r="I63" i="16" s="1"/>
  <c r="J63" i="16" s="1"/>
  <c r="K63" i="16" s="1"/>
  <c r="L63" i="16" s="1"/>
  <c r="F62" i="16"/>
  <c r="G62" i="16" s="1"/>
  <c r="H62" i="16" s="1"/>
  <c r="I62" i="16" s="1"/>
  <c r="J62" i="16" s="1"/>
  <c r="K62" i="16" s="1"/>
  <c r="L62" i="16" s="1"/>
  <c r="F61" i="16"/>
  <c r="G61" i="16" s="1"/>
  <c r="H61" i="16" s="1"/>
  <c r="I61" i="16" s="1"/>
  <c r="J61" i="16" s="1"/>
  <c r="K61" i="16" s="1"/>
  <c r="L61" i="16" s="1"/>
  <c r="F60" i="16"/>
  <c r="G60" i="16" s="1"/>
  <c r="H60" i="16" s="1"/>
  <c r="I60" i="16" s="1"/>
  <c r="J60" i="16" s="1"/>
  <c r="K60" i="16" s="1"/>
  <c r="L60" i="16" s="1"/>
  <c r="F59" i="16"/>
  <c r="G59" i="16" s="1"/>
  <c r="H59" i="16" s="1"/>
  <c r="I59" i="16" s="1"/>
  <c r="J59" i="16" s="1"/>
  <c r="K59" i="16" s="1"/>
  <c r="L59" i="16" s="1"/>
  <c r="F58" i="16"/>
  <c r="G58" i="16" s="1"/>
  <c r="H58" i="16" s="1"/>
  <c r="I58" i="16" s="1"/>
  <c r="J58" i="16" s="1"/>
  <c r="K58" i="16" s="1"/>
  <c r="L58" i="16" s="1"/>
  <c r="F57" i="16"/>
  <c r="G57" i="16" s="1"/>
  <c r="H57" i="16" s="1"/>
  <c r="I57" i="16" s="1"/>
  <c r="J57" i="16" s="1"/>
  <c r="K57" i="16" s="1"/>
  <c r="L57" i="16" s="1"/>
  <c r="F56" i="16"/>
  <c r="G56" i="16" s="1"/>
  <c r="H56" i="16" s="1"/>
  <c r="I56" i="16" s="1"/>
  <c r="J56" i="16" s="1"/>
  <c r="K56" i="16" s="1"/>
  <c r="L56" i="16" s="1"/>
  <c r="F55" i="16"/>
  <c r="G55" i="16" s="1"/>
  <c r="H55" i="16" s="1"/>
  <c r="I55" i="16" s="1"/>
  <c r="J55" i="16" s="1"/>
  <c r="K55" i="16" s="1"/>
  <c r="L55" i="16" s="1"/>
  <c r="F54" i="16"/>
  <c r="G54" i="16" s="1"/>
  <c r="H54" i="16" s="1"/>
  <c r="I54" i="16" s="1"/>
  <c r="J54" i="16" s="1"/>
  <c r="K54" i="16" s="1"/>
  <c r="L54" i="16" s="1"/>
  <c r="F53" i="16"/>
  <c r="G53" i="16" s="1"/>
  <c r="H53" i="16" s="1"/>
  <c r="I53" i="16" s="1"/>
  <c r="J53" i="16" s="1"/>
  <c r="K53" i="16" s="1"/>
  <c r="L53" i="16" s="1"/>
  <c r="F52" i="16"/>
  <c r="G52" i="16" s="1"/>
  <c r="H52" i="16" s="1"/>
  <c r="I52" i="16" s="1"/>
  <c r="J52" i="16" s="1"/>
  <c r="K52" i="16" s="1"/>
  <c r="L52" i="16" s="1"/>
  <c r="F51" i="16"/>
  <c r="G51" i="16" s="1"/>
  <c r="H51" i="16" s="1"/>
  <c r="I51" i="16" s="1"/>
  <c r="J51" i="16" s="1"/>
  <c r="K51" i="16" s="1"/>
  <c r="L51" i="16" s="1"/>
  <c r="F50" i="16"/>
  <c r="G50" i="16" s="1"/>
  <c r="H50" i="16" s="1"/>
  <c r="I50" i="16" s="1"/>
  <c r="J50" i="16" s="1"/>
  <c r="K50" i="16" s="1"/>
  <c r="L50" i="16" s="1"/>
  <c r="F49" i="16"/>
  <c r="G49" i="16" s="1"/>
  <c r="H49" i="16" s="1"/>
  <c r="I49" i="16" s="1"/>
  <c r="J49" i="16" s="1"/>
  <c r="K49" i="16" s="1"/>
  <c r="L49" i="16" s="1"/>
  <c r="F48" i="16"/>
  <c r="G48" i="16" s="1"/>
  <c r="H48" i="16" s="1"/>
  <c r="I48" i="16" s="1"/>
  <c r="J48" i="16" s="1"/>
  <c r="K48" i="16" s="1"/>
  <c r="L48" i="16" s="1"/>
  <c r="F47" i="16"/>
  <c r="G47" i="16" s="1"/>
  <c r="H47" i="16" s="1"/>
  <c r="I47" i="16" s="1"/>
  <c r="J47" i="16" s="1"/>
  <c r="K47" i="16" s="1"/>
  <c r="L47" i="16" s="1"/>
  <c r="F46" i="16"/>
  <c r="G46" i="16" s="1"/>
  <c r="H46" i="16" s="1"/>
  <c r="I46" i="16" s="1"/>
  <c r="J46" i="16" s="1"/>
  <c r="K46" i="16" s="1"/>
  <c r="L46" i="16" s="1"/>
  <c r="F45" i="16"/>
  <c r="G45" i="16" s="1"/>
  <c r="H45" i="16" s="1"/>
  <c r="I45" i="16" s="1"/>
  <c r="J45" i="16" s="1"/>
  <c r="K45" i="16" s="1"/>
  <c r="L45" i="16" s="1"/>
  <c r="F44" i="16"/>
  <c r="G44" i="16" s="1"/>
  <c r="H44" i="16" s="1"/>
  <c r="I44" i="16" s="1"/>
  <c r="J44" i="16" s="1"/>
  <c r="K44" i="16" s="1"/>
  <c r="L44" i="16" s="1"/>
  <c r="F43" i="16"/>
  <c r="G43" i="16" s="1"/>
  <c r="H43" i="16" s="1"/>
  <c r="I43" i="16" s="1"/>
  <c r="J43" i="16" s="1"/>
  <c r="K43" i="16" s="1"/>
  <c r="L43" i="16" s="1"/>
  <c r="F42" i="16"/>
  <c r="G42" i="16" s="1"/>
  <c r="H42" i="16" s="1"/>
  <c r="I42" i="16" s="1"/>
  <c r="J42" i="16" s="1"/>
  <c r="K42" i="16" s="1"/>
  <c r="L42" i="16" s="1"/>
  <c r="F41" i="16"/>
  <c r="G41" i="16" s="1"/>
  <c r="H41" i="16" s="1"/>
  <c r="I41" i="16" s="1"/>
  <c r="J41" i="16" s="1"/>
  <c r="K41" i="16" s="1"/>
  <c r="L41" i="16" s="1"/>
  <c r="F40" i="16"/>
  <c r="G40" i="16" s="1"/>
  <c r="H40" i="16" s="1"/>
  <c r="I40" i="16" s="1"/>
  <c r="J40" i="16" s="1"/>
  <c r="K40" i="16" s="1"/>
  <c r="L40" i="16" s="1"/>
  <c r="F39" i="16"/>
  <c r="G39" i="16" s="1"/>
  <c r="H39" i="16" s="1"/>
  <c r="I39" i="16" s="1"/>
  <c r="J39" i="16" s="1"/>
  <c r="K39" i="16" s="1"/>
  <c r="L39" i="16" s="1"/>
  <c r="F38" i="16"/>
  <c r="G38" i="16" s="1"/>
  <c r="H38" i="16" s="1"/>
  <c r="I38" i="16" s="1"/>
  <c r="J38" i="16" s="1"/>
  <c r="K38" i="16" s="1"/>
  <c r="L38" i="16" s="1"/>
  <c r="F37" i="16"/>
  <c r="G37" i="16" s="1"/>
  <c r="H37" i="16" s="1"/>
  <c r="I37" i="16" s="1"/>
  <c r="J37" i="16" s="1"/>
  <c r="K37" i="16" s="1"/>
  <c r="L37" i="16" s="1"/>
  <c r="F36" i="16"/>
  <c r="G36" i="16" s="1"/>
  <c r="H36" i="16" s="1"/>
  <c r="I36" i="16" s="1"/>
  <c r="J36" i="16" s="1"/>
  <c r="K36" i="16" s="1"/>
  <c r="L36" i="16" s="1"/>
  <c r="F35" i="16"/>
  <c r="G35" i="16" s="1"/>
  <c r="H35" i="16" s="1"/>
  <c r="I35" i="16" s="1"/>
  <c r="J35" i="16" s="1"/>
  <c r="K35" i="16" s="1"/>
  <c r="L35" i="16" s="1"/>
  <c r="F34" i="16"/>
  <c r="G34" i="16" s="1"/>
  <c r="H34" i="16" s="1"/>
  <c r="I34" i="16" s="1"/>
  <c r="J34" i="16" s="1"/>
  <c r="K34" i="16" s="1"/>
  <c r="L34" i="16" s="1"/>
  <c r="F33" i="16"/>
  <c r="G33" i="16" s="1"/>
  <c r="H33" i="16" s="1"/>
  <c r="I33" i="16" s="1"/>
  <c r="J33" i="16" s="1"/>
  <c r="K33" i="16" s="1"/>
  <c r="L33" i="16" s="1"/>
  <c r="F32" i="16"/>
  <c r="G32" i="16" s="1"/>
  <c r="H32" i="16" s="1"/>
  <c r="I32" i="16" s="1"/>
  <c r="J32" i="16" s="1"/>
  <c r="K32" i="16" s="1"/>
  <c r="L32" i="16" s="1"/>
  <c r="F31" i="16"/>
  <c r="G31" i="16" s="1"/>
  <c r="H31" i="16" s="1"/>
  <c r="I31" i="16" s="1"/>
  <c r="J31" i="16" s="1"/>
  <c r="K31" i="16" s="1"/>
  <c r="L31" i="16" s="1"/>
  <c r="F30" i="16"/>
  <c r="G30" i="16" s="1"/>
  <c r="H30" i="16" s="1"/>
  <c r="I30" i="16" s="1"/>
  <c r="J30" i="16" s="1"/>
  <c r="K30" i="16" s="1"/>
  <c r="L30" i="16" s="1"/>
  <c r="F29" i="16"/>
  <c r="G29" i="16" s="1"/>
  <c r="H29" i="16" s="1"/>
  <c r="I29" i="16" s="1"/>
  <c r="J29" i="16" s="1"/>
  <c r="K29" i="16" s="1"/>
  <c r="L29" i="16" s="1"/>
  <c r="F28" i="16"/>
  <c r="G28" i="16" s="1"/>
  <c r="H28" i="16" s="1"/>
  <c r="I28" i="16" s="1"/>
  <c r="J28" i="16" s="1"/>
  <c r="K28" i="16" s="1"/>
  <c r="L28" i="16" s="1"/>
  <c r="F27" i="16"/>
  <c r="G27" i="16" s="1"/>
  <c r="H27" i="16" s="1"/>
  <c r="I27" i="16" s="1"/>
  <c r="J27" i="16" s="1"/>
  <c r="K27" i="16" s="1"/>
  <c r="L27" i="16" s="1"/>
  <c r="F26" i="16"/>
  <c r="G26" i="16" s="1"/>
  <c r="H26" i="16" s="1"/>
  <c r="I26" i="16" s="1"/>
  <c r="J26" i="16" s="1"/>
  <c r="K26" i="16" s="1"/>
  <c r="L26" i="16" s="1"/>
  <c r="F25" i="16"/>
  <c r="G25" i="16" s="1"/>
  <c r="H25" i="16" s="1"/>
  <c r="I25" i="16" s="1"/>
  <c r="J25" i="16" s="1"/>
  <c r="K25" i="16" s="1"/>
  <c r="L25" i="16" s="1"/>
  <c r="F24" i="16"/>
  <c r="G24" i="16" s="1"/>
  <c r="H24" i="16" s="1"/>
  <c r="I24" i="16" s="1"/>
  <c r="J24" i="16" s="1"/>
  <c r="K24" i="16" s="1"/>
  <c r="L24" i="16" s="1"/>
  <c r="F23" i="16"/>
  <c r="G23" i="16" s="1"/>
  <c r="H23" i="16" s="1"/>
  <c r="I23" i="16" s="1"/>
  <c r="J23" i="16" s="1"/>
  <c r="K23" i="16" s="1"/>
  <c r="L23" i="16" s="1"/>
  <c r="F22" i="16"/>
  <c r="G22" i="16" s="1"/>
  <c r="H22" i="16" s="1"/>
  <c r="I22" i="16" s="1"/>
  <c r="J22" i="16" s="1"/>
  <c r="K22" i="16" s="1"/>
  <c r="L22" i="16" s="1"/>
  <c r="F21" i="16"/>
  <c r="G21" i="16" s="1"/>
  <c r="H21" i="16" s="1"/>
  <c r="I21" i="16" s="1"/>
  <c r="J21" i="16" s="1"/>
  <c r="K21" i="16" s="1"/>
  <c r="L21" i="16" s="1"/>
  <c r="F20" i="16"/>
  <c r="G20" i="16" s="1"/>
  <c r="H20" i="16" s="1"/>
  <c r="I20" i="16" s="1"/>
  <c r="J20" i="16" s="1"/>
  <c r="K20" i="16" s="1"/>
  <c r="L20" i="16" s="1"/>
  <c r="F19" i="16"/>
  <c r="G19" i="16" s="1"/>
  <c r="H19" i="16" s="1"/>
  <c r="I19" i="16" s="1"/>
  <c r="J19" i="16" s="1"/>
  <c r="K19" i="16" s="1"/>
  <c r="L19" i="16" s="1"/>
  <c r="F18" i="16"/>
  <c r="G18" i="16" s="1"/>
  <c r="H18" i="16" s="1"/>
  <c r="I18" i="16" s="1"/>
  <c r="J18" i="16" s="1"/>
  <c r="K18" i="16" s="1"/>
  <c r="L18" i="16" s="1"/>
  <c r="F17" i="16"/>
  <c r="G17" i="16" s="1"/>
  <c r="H17" i="16" s="1"/>
  <c r="I17" i="16" s="1"/>
  <c r="J17" i="16" s="1"/>
  <c r="K17" i="16" s="1"/>
  <c r="L17" i="16" s="1"/>
  <c r="F16" i="16"/>
  <c r="G16" i="16" s="1"/>
  <c r="H16" i="16" s="1"/>
  <c r="I16" i="16" s="1"/>
  <c r="J16" i="16" s="1"/>
  <c r="K16" i="16" s="1"/>
  <c r="L16" i="16" s="1"/>
  <c r="F15" i="16"/>
  <c r="G15" i="16" s="1"/>
  <c r="H15" i="16" s="1"/>
  <c r="I15" i="16" s="1"/>
  <c r="J15" i="16" s="1"/>
  <c r="K15" i="16" s="1"/>
  <c r="L15" i="16" s="1"/>
  <c r="F14" i="16"/>
  <c r="G14" i="16" s="1"/>
  <c r="H14" i="16" s="1"/>
  <c r="I14" i="16" s="1"/>
  <c r="J14" i="16" s="1"/>
  <c r="K14" i="16" s="1"/>
  <c r="L14" i="16" s="1"/>
  <c r="F13" i="16"/>
  <c r="G13" i="16" s="1"/>
  <c r="H13" i="16" s="1"/>
  <c r="I13" i="16" s="1"/>
  <c r="J13" i="16" s="1"/>
  <c r="K13" i="16" s="1"/>
  <c r="L13" i="16" s="1"/>
  <c r="F12" i="16"/>
  <c r="G12" i="16" s="1"/>
  <c r="H12" i="16" s="1"/>
  <c r="I12" i="16" s="1"/>
  <c r="J12" i="16" s="1"/>
  <c r="K12" i="16" s="1"/>
  <c r="L12" i="16" s="1"/>
  <c r="F11" i="16"/>
  <c r="G11" i="16" s="1"/>
  <c r="H11" i="16" s="1"/>
  <c r="F10" i="16"/>
  <c r="G10" i="16" s="1"/>
  <c r="H10" i="16" s="1"/>
  <c r="I10" i="16" s="1"/>
  <c r="J10" i="16" s="1"/>
  <c r="K10" i="16" s="1"/>
  <c r="L10" i="16" s="1"/>
  <c r="M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AR74" i="18"/>
  <c r="E74" i="18"/>
  <c r="Q74" i="18"/>
  <c r="P74" i="18"/>
  <c r="O74" i="18"/>
  <c r="N74" i="18"/>
  <c r="Q73" i="18"/>
  <c r="R73" i="18" s="1"/>
  <c r="S73" i="18" s="1"/>
  <c r="T73" i="18" s="1"/>
  <c r="U73" i="18" s="1"/>
  <c r="V73" i="18" s="1"/>
  <c r="W73" i="18" s="1"/>
  <c r="F73" i="18"/>
  <c r="G73" i="18" s="1"/>
  <c r="H73" i="18" s="1"/>
  <c r="I73" i="18" s="1"/>
  <c r="J73" i="18" s="1"/>
  <c r="K73" i="18" s="1"/>
  <c r="L73" i="18" s="1"/>
  <c r="F72" i="18"/>
  <c r="G72" i="18" s="1"/>
  <c r="H72" i="18" s="1"/>
  <c r="I72" i="18" s="1"/>
  <c r="J72" i="18" s="1"/>
  <c r="K72" i="18" s="1"/>
  <c r="L72" i="18" s="1"/>
  <c r="F71" i="18"/>
  <c r="G71" i="18" s="1"/>
  <c r="H71" i="18" s="1"/>
  <c r="I71" i="18" s="1"/>
  <c r="J71" i="18" s="1"/>
  <c r="K71" i="18" s="1"/>
  <c r="L71" i="18" s="1"/>
  <c r="F70" i="18"/>
  <c r="H70" i="18" s="1"/>
  <c r="I70" i="18" s="1"/>
  <c r="J70" i="18" s="1"/>
  <c r="K70" i="18" s="1"/>
  <c r="L70" i="18" s="1"/>
  <c r="F69" i="18"/>
  <c r="H69" i="18" s="1"/>
  <c r="I69" i="18" s="1"/>
  <c r="J69" i="18" s="1"/>
  <c r="K69" i="18" s="1"/>
  <c r="L69" i="18" s="1"/>
  <c r="F68" i="18"/>
  <c r="G68" i="18" s="1"/>
  <c r="H68" i="18" s="1"/>
  <c r="I68" i="18" s="1"/>
  <c r="J68" i="18" s="1"/>
  <c r="K68" i="18" s="1"/>
  <c r="L68" i="18" s="1"/>
  <c r="F67" i="18"/>
  <c r="G67" i="18" s="1"/>
  <c r="H67" i="18" s="1"/>
  <c r="I67" i="18" s="1"/>
  <c r="J67" i="18" s="1"/>
  <c r="K67" i="18" s="1"/>
  <c r="L67" i="18" s="1"/>
  <c r="F66" i="18"/>
  <c r="G66" i="18" s="1"/>
  <c r="H66" i="18" s="1"/>
  <c r="I66" i="18" s="1"/>
  <c r="J66" i="18" s="1"/>
  <c r="K66" i="18" s="1"/>
  <c r="L66" i="18" s="1"/>
  <c r="F65" i="18"/>
  <c r="G65" i="18" s="1"/>
  <c r="H65" i="18" s="1"/>
  <c r="I65" i="18" s="1"/>
  <c r="J65" i="18" s="1"/>
  <c r="K65" i="18" s="1"/>
  <c r="L65" i="18" s="1"/>
  <c r="F64" i="18"/>
  <c r="H64" i="18" s="1"/>
  <c r="I64" i="18" s="1"/>
  <c r="J64" i="18" s="1"/>
  <c r="K64" i="18" s="1"/>
  <c r="L64" i="18" s="1"/>
  <c r="F63" i="18"/>
  <c r="H63" i="18" s="1"/>
  <c r="I63" i="18" s="1"/>
  <c r="J63" i="18" s="1"/>
  <c r="K63" i="18" s="1"/>
  <c r="L63" i="18" s="1"/>
  <c r="F62" i="18"/>
  <c r="G62" i="18" s="1"/>
  <c r="H62" i="18" s="1"/>
  <c r="I62" i="18" s="1"/>
  <c r="J62" i="18" s="1"/>
  <c r="K62" i="18" s="1"/>
  <c r="L62" i="18" s="1"/>
  <c r="F61" i="18"/>
  <c r="G61" i="18" s="1"/>
  <c r="H61" i="18" s="1"/>
  <c r="I61" i="18" s="1"/>
  <c r="J61" i="18" s="1"/>
  <c r="K61" i="18" s="1"/>
  <c r="L61" i="18" s="1"/>
  <c r="F60" i="18"/>
  <c r="H60" i="18" s="1"/>
  <c r="I60" i="18" s="1"/>
  <c r="J60" i="18" s="1"/>
  <c r="K60" i="18" s="1"/>
  <c r="L60" i="18" s="1"/>
  <c r="F59" i="18"/>
  <c r="G59" i="18" s="1"/>
  <c r="H59" i="18" s="1"/>
  <c r="I59" i="18" s="1"/>
  <c r="J59" i="18" s="1"/>
  <c r="K59" i="18" s="1"/>
  <c r="L59" i="18" s="1"/>
  <c r="F58" i="18"/>
  <c r="G58" i="18" s="1"/>
  <c r="H58" i="18" s="1"/>
  <c r="I58" i="18" s="1"/>
  <c r="J58" i="18" s="1"/>
  <c r="K58" i="18" s="1"/>
  <c r="L58" i="18" s="1"/>
  <c r="F57" i="18"/>
  <c r="G57" i="18" s="1"/>
  <c r="H57" i="18" s="1"/>
  <c r="I57" i="18" s="1"/>
  <c r="J57" i="18" s="1"/>
  <c r="K57" i="18" s="1"/>
  <c r="L57" i="18" s="1"/>
  <c r="F56" i="18"/>
  <c r="G56" i="18" s="1"/>
  <c r="H56" i="18" s="1"/>
  <c r="I56" i="18" s="1"/>
  <c r="J56" i="18" s="1"/>
  <c r="K56" i="18" s="1"/>
  <c r="L56" i="18" s="1"/>
  <c r="F55" i="18"/>
  <c r="G55" i="18" s="1"/>
  <c r="H55" i="18" s="1"/>
  <c r="I55" i="18" s="1"/>
  <c r="J55" i="18" s="1"/>
  <c r="K55" i="18" s="1"/>
  <c r="L55" i="18" s="1"/>
  <c r="F54" i="18"/>
  <c r="G54" i="18" s="1"/>
  <c r="H54" i="18" s="1"/>
  <c r="I54" i="18" s="1"/>
  <c r="J54" i="18" s="1"/>
  <c r="K54" i="18" s="1"/>
  <c r="L54" i="18" s="1"/>
  <c r="F53" i="18"/>
  <c r="G53" i="18" s="1"/>
  <c r="H53" i="18" s="1"/>
  <c r="I53" i="18" s="1"/>
  <c r="J53" i="18" s="1"/>
  <c r="K53" i="18" s="1"/>
  <c r="L53" i="18" s="1"/>
  <c r="F52" i="18"/>
  <c r="G52" i="18" s="1"/>
  <c r="H52" i="18" s="1"/>
  <c r="I52" i="18" s="1"/>
  <c r="J52" i="18" s="1"/>
  <c r="K52" i="18" s="1"/>
  <c r="L52" i="18" s="1"/>
  <c r="F51" i="18"/>
  <c r="G51" i="18" s="1"/>
  <c r="H51" i="18" s="1"/>
  <c r="I51" i="18" s="1"/>
  <c r="J51" i="18" s="1"/>
  <c r="K51" i="18" s="1"/>
  <c r="L51" i="18" s="1"/>
  <c r="F50" i="18"/>
  <c r="G50" i="18" s="1"/>
  <c r="H50" i="18" s="1"/>
  <c r="I50" i="18" s="1"/>
  <c r="J50" i="18" s="1"/>
  <c r="K50" i="18" s="1"/>
  <c r="L50" i="18" s="1"/>
  <c r="F49" i="18"/>
  <c r="G49" i="18" s="1"/>
  <c r="H49" i="18" s="1"/>
  <c r="I49" i="18" s="1"/>
  <c r="J49" i="18" s="1"/>
  <c r="K49" i="18" s="1"/>
  <c r="L49" i="18" s="1"/>
  <c r="F48" i="18"/>
  <c r="H48" i="18" s="1"/>
  <c r="I48" i="18" s="1"/>
  <c r="J48" i="18" s="1"/>
  <c r="K48" i="18" s="1"/>
  <c r="L48" i="18" s="1"/>
  <c r="F47" i="18"/>
  <c r="G47" i="18" s="1"/>
  <c r="H47" i="18" s="1"/>
  <c r="I47" i="18" s="1"/>
  <c r="J47" i="18" s="1"/>
  <c r="K47" i="18" s="1"/>
  <c r="L47" i="18" s="1"/>
  <c r="F46" i="18"/>
  <c r="G46" i="18" s="1"/>
  <c r="H46" i="18" s="1"/>
  <c r="I46" i="18" s="1"/>
  <c r="J46" i="18" s="1"/>
  <c r="K46" i="18" s="1"/>
  <c r="L46" i="18" s="1"/>
  <c r="F45" i="18"/>
  <c r="G45" i="18" s="1"/>
  <c r="H45" i="18" s="1"/>
  <c r="I45" i="18" s="1"/>
  <c r="J45" i="18" s="1"/>
  <c r="K45" i="18" s="1"/>
  <c r="L45" i="18" s="1"/>
  <c r="F44" i="18"/>
  <c r="G44" i="18" s="1"/>
  <c r="H44" i="18" s="1"/>
  <c r="I44" i="18" s="1"/>
  <c r="J44" i="18" s="1"/>
  <c r="K44" i="18" s="1"/>
  <c r="L44" i="18" s="1"/>
  <c r="F43" i="18"/>
  <c r="G43" i="18" s="1"/>
  <c r="H43" i="18" s="1"/>
  <c r="I43" i="18" s="1"/>
  <c r="J43" i="18" s="1"/>
  <c r="K43" i="18" s="1"/>
  <c r="L43" i="18" s="1"/>
  <c r="F42" i="18"/>
  <c r="G42" i="18" s="1"/>
  <c r="H42" i="18" s="1"/>
  <c r="I42" i="18" s="1"/>
  <c r="J42" i="18" s="1"/>
  <c r="K42" i="18" s="1"/>
  <c r="L42" i="18" s="1"/>
  <c r="F41" i="18"/>
  <c r="G41" i="18" s="1"/>
  <c r="H41" i="18" s="1"/>
  <c r="I41" i="18" s="1"/>
  <c r="J41" i="18" s="1"/>
  <c r="K41" i="18" s="1"/>
  <c r="L41" i="18" s="1"/>
  <c r="F40" i="18"/>
  <c r="G40" i="18" s="1"/>
  <c r="H40" i="18" s="1"/>
  <c r="I40" i="18" s="1"/>
  <c r="J40" i="18" s="1"/>
  <c r="K40" i="18" s="1"/>
  <c r="L40" i="18" s="1"/>
  <c r="F39" i="18"/>
  <c r="G39" i="18" s="1"/>
  <c r="H39" i="18" s="1"/>
  <c r="I39" i="18" s="1"/>
  <c r="J39" i="18" s="1"/>
  <c r="K39" i="18" s="1"/>
  <c r="L39" i="18" s="1"/>
  <c r="H38" i="18"/>
  <c r="I38" i="18" s="1"/>
  <c r="J38" i="18" s="1"/>
  <c r="K38" i="18" s="1"/>
  <c r="L38" i="18" s="1"/>
  <c r="F37" i="18"/>
  <c r="G37" i="18" s="1"/>
  <c r="H37" i="18" s="1"/>
  <c r="I37" i="18" s="1"/>
  <c r="J37" i="18" s="1"/>
  <c r="K37" i="18" s="1"/>
  <c r="L37" i="18" s="1"/>
  <c r="F36" i="18"/>
  <c r="F35" i="18"/>
  <c r="G35" i="18" s="1"/>
  <c r="H35" i="18" s="1"/>
  <c r="I35" i="18" s="1"/>
  <c r="J35" i="18" s="1"/>
  <c r="K35" i="18" s="1"/>
  <c r="L35" i="18" s="1"/>
  <c r="F34" i="18"/>
  <c r="G34" i="18" s="1"/>
  <c r="H34" i="18" s="1"/>
  <c r="I34" i="18" s="1"/>
  <c r="J34" i="18" s="1"/>
  <c r="K34" i="18" s="1"/>
  <c r="L34" i="18" s="1"/>
  <c r="F33" i="18"/>
  <c r="G33" i="18" s="1"/>
  <c r="H33" i="18" s="1"/>
  <c r="I33" i="18" s="1"/>
  <c r="J33" i="18" s="1"/>
  <c r="K33" i="18" s="1"/>
  <c r="L33" i="18" s="1"/>
  <c r="F32" i="18"/>
  <c r="G32" i="18" s="1"/>
  <c r="H32" i="18" s="1"/>
  <c r="I32" i="18" s="1"/>
  <c r="J32" i="18" s="1"/>
  <c r="K32" i="18" s="1"/>
  <c r="L32" i="18" s="1"/>
  <c r="F31" i="18"/>
  <c r="G31" i="18" s="1"/>
  <c r="H31" i="18" s="1"/>
  <c r="I31" i="18" s="1"/>
  <c r="J31" i="18" s="1"/>
  <c r="K31" i="18" s="1"/>
  <c r="L31" i="18" s="1"/>
  <c r="F30" i="18"/>
  <c r="G30" i="18" s="1"/>
  <c r="H30" i="18" s="1"/>
  <c r="I30" i="18" s="1"/>
  <c r="J30" i="18" s="1"/>
  <c r="K30" i="18" s="1"/>
  <c r="L30" i="18" s="1"/>
  <c r="F29" i="18"/>
  <c r="G29" i="18" s="1"/>
  <c r="H29" i="18" s="1"/>
  <c r="I29" i="18" s="1"/>
  <c r="J29" i="18" s="1"/>
  <c r="K29" i="18" s="1"/>
  <c r="L29" i="18" s="1"/>
  <c r="F28" i="18"/>
  <c r="G28" i="18" s="1"/>
  <c r="H28" i="18" s="1"/>
  <c r="I28" i="18" s="1"/>
  <c r="J28" i="18" s="1"/>
  <c r="K28" i="18" s="1"/>
  <c r="L28" i="18" s="1"/>
  <c r="F27" i="18"/>
  <c r="G27" i="18" s="1"/>
  <c r="H27" i="18" s="1"/>
  <c r="I27" i="18" s="1"/>
  <c r="J27" i="18" s="1"/>
  <c r="K27" i="18" s="1"/>
  <c r="L27" i="18" s="1"/>
  <c r="F26" i="18"/>
  <c r="G26" i="18" s="1"/>
  <c r="H26" i="18" s="1"/>
  <c r="I26" i="18" s="1"/>
  <c r="J26" i="18" s="1"/>
  <c r="K26" i="18" s="1"/>
  <c r="L26" i="18" s="1"/>
  <c r="F25" i="18"/>
  <c r="G25" i="18" s="1"/>
  <c r="H25" i="18" s="1"/>
  <c r="I25" i="18" s="1"/>
  <c r="J25" i="18" s="1"/>
  <c r="K25" i="18" s="1"/>
  <c r="L25" i="18" s="1"/>
  <c r="F24" i="18"/>
  <c r="G24" i="18" s="1"/>
  <c r="H24" i="18" s="1"/>
  <c r="I24" i="18" s="1"/>
  <c r="J24" i="18" s="1"/>
  <c r="K24" i="18" s="1"/>
  <c r="L24" i="18" s="1"/>
  <c r="F23" i="18"/>
  <c r="G23" i="18" s="1"/>
  <c r="H23" i="18" s="1"/>
  <c r="I23" i="18" s="1"/>
  <c r="J23" i="18" s="1"/>
  <c r="K23" i="18" s="1"/>
  <c r="L23" i="18" s="1"/>
  <c r="F22" i="18"/>
  <c r="G22" i="18" s="1"/>
  <c r="H22" i="18" s="1"/>
  <c r="I22" i="18" s="1"/>
  <c r="J22" i="18" s="1"/>
  <c r="K22" i="18" s="1"/>
  <c r="L22" i="18" s="1"/>
  <c r="F21" i="18"/>
  <c r="G21" i="18" s="1"/>
  <c r="H21" i="18" s="1"/>
  <c r="I21" i="18" s="1"/>
  <c r="J21" i="18" s="1"/>
  <c r="K21" i="18" s="1"/>
  <c r="L21" i="18" s="1"/>
  <c r="F20" i="18"/>
  <c r="G20" i="18" s="1"/>
  <c r="H20" i="18" s="1"/>
  <c r="I20" i="18" s="1"/>
  <c r="J20" i="18" s="1"/>
  <c r="K20" i="18" s="1"/>
  <c r="L20" i="18" s="1"/>
  <c r="F19" i="18"/>
  <c r="G19" i="18" s="1"/>
  <c r="H19" i="18" s="1"/>
  <c r="I19" i="18" s="1"/>
  <c r="J19" i="18" s="1"/>
  <c r="K19" i="18" s="1"/>
  <c r="L19" i="18" s="1"/>
  <c r="F18" i="18"/>
  <c r="G18" i="18" s="1"/>
  <c r="H18" i="18" s="1"/>
  <c r="I18" i="18" s="1"/>
  <c r="J18" i="18" s="1"/>
  <c r="K18" i="18" s="1"/>
  <c r="L18" i="18" s="1"/>
  <c r="F17" i="18"/>
  <c r="G17" i="18" s="1"/>
  <c r="H17" i="18" s="1"/>
  <c r="I17" i="18" s="1"/>
  <c r="J17" i="18" s="1"/>
  <c r="K17" i="18" s="1"/>
  <c r="L17" i="18" s="1"/>
  <c r="F16" i="18"/>
  <c r="G16" i="18" s="1"/>
  <c r="H16" i="18" s="1"/>
  <c r="I16" i="18" s="1"/>
  <c r="J16" i="18" s="1"/>
  <c r="K16" i="18" s="1"/>
  <c r="L16" i="18" s="1"/>
  <c r="F15" i="18"/>
  <c r="G15" i="18" s="1"/>
  <c r="H15" i="18" s="1"/>
  <c r="I15" i="18" s="1"/>
  <c r="J15" i="18" s="1"/>
  <c r="K15" i="18" s="1"/>
  <c r="L15" i="18" s="1"/>
  <c r="F14" i="18"/>
  <c r="G14" i="18" s="1"/>
  <c r="H14" i="18" s="1"/>
  <c r="I14" i="18" s="1"/>
  <c r="J14" i="18" s="1"/>
  <c r="K14" i="18" s="1"/>
  <c r="L14" i="18" s="1"/>
  <c r="F13" i="18"/>
  <c r="G13" i="18" s="1"/>
  <c r="H13" i="18" s="1"/>
  <c r="I13" i="18" s="1"/>
  <c r="J13" i="18" s="1"/>
  <c r="K13" i="18" s="1"/>
  <c r="L13" i="18" s="1"/>
  <c r="F12" i="18"/>
  <c r="G12" i="18" s="1"/>
  <c r="H12" i="18" s="1"/>
  <c r="I12" i="18" s="1"/>
  <c r="J12" i="18" s="1"/>
  <c r="K12" i="18" s="1"/>
  <c r="L12" i="18" s="1"/>
  <c r="F11" i="18"/>
  <c r="G11" i="18" s="1"/>
  <c r="H11" i="18" s="1"/>
  <c r="I11" i="18" s="1"/>
  <c r="J11" i="18" s="1"/>
  <c r="K11" i="18" s="1"/>
  <c r="L11" i="18" s="1"/>
  <c r="F10" i="18"/>
  <c r="AZ74" i="18"/>
  <c r="AY74" i="18"/>
  <c r="AX74" i="18"/>
  <c r="AW74" i="18"/>
  <c r="AU74" i="18"/>
  <c r="AT74" i="18"/>
  <c r="AS74" i="18"/>
  <c r="BA73" i="18"/>
  <c r="BB73" i="18" s="1"/>
  <c r="BC73" i="18" s="1"/>
  <c r="BA72" i="18"/>
  <c r="BB72" i="18" s="1"/>
  <c r="BC72" i="18" s="1"/>
  <c r="BA71" i="18"/>
  <c r="BB71" i="18" s="1"/>
  <c r="BC71" i="18" s="1"/>
  <c r="BA70" i="18"/>
  <c r="BB70" i="18" s="1"/>
  <c r="BC70" i="18" s="1"/>
  <c r="BA69" i="18"/>
  <c r="BB69" i="18" s="1"/>
  <c r="BC69" i="18" s="1"/>
  <c r="BA68" i="18"/>
  <c r="BB68" i="18" s="1"/>
  <c r="BC68" i="18" s="1"/>
  <c r="BA67" i="18"/>
  <c r="BB67" i="18" s="1"/>
  <c r="BC67" i="18" s="1"/>
  <c r="BA66" i="18"/>
  <c r="BB66" i="18" s="1"/>
  <c r="BC66" i="18" s="1"/>
  <c r="BA65" i="18"/>
  <c r="BB65" i="18" s="1"/>
  <c r="BC65" i="18" s="1"/>
  <c r="BA64" i="18"/>
  <c r="BB64" i="18" s="1"/>
  <c r="BC64" i="18" s="1"/>
  <c r="BA63" i="18"/>
  <c r="BB63" i="18" s="1"/>
  <c r="BC63" i="18" s="1"/>
  <c r="BA62" i="18"/>
  <c r="BB62" i="18" s="1"/>
  <c r="BC62" i="18" s="1"/>
  <c r="BA61" i="18"/>
  <c r="BB61" i="18" s="1"/>
  <c r="BC61" i="18" s="1"/>
  <c r="BA60" i="18"/>
  <c r="BB60" i="18" s="1"/>
  <c r="BC60" i="18" s="1"/>
  <c r="BA59" i="18"/>
  <c r="BB59" i="18" s="1"/>
  <c r="BC59" i="18" s="1"/>
  <c r="BA58" i="18"/>
  <c r="BB58" i="18" s="1"/>
  <c r="BC58" i="18" s="1"/>
  <c r="BA57" i="18"/>
  <c r="BB57" i="18" s="1"/>
  <c r="BC57" i="18" s="1"/>
  <c r="BA56" i="18"/>
  <c r="BB56" i="18" s="1"/>
  <c r="BC56" i="18" s="1"/>
  <c r="BA55" i="18"/>
  <c r="BB55" i="18" s="1"/>
  <c r="BC55" i="18" s="1"/>
  <c r="BA54" i="18"/>
  <c r="BB54" i="18" s="1"/>
  <c r="BC54" i="18" s="1"/>
  <c r="BA53" i="18"/>
  <c r="BB53" i="18" s="1"/>
  <c r="BC53" i="18" s="1"/>
  <c r="BA52" i="18"/>
  <c r="BB52" i="18" s="1"/>
  <c r="BC52" i="18" s="1"/>
  <c r="BA51" i="18"/>
  <c r="BB51" i="18" s="1"/>
  <c r="BC51" i="18" s="1"/>
  <c r="BA50" i="18"/>
  <c r="BB50" i="18" s="1"/>
  <c r="BC50" i="18" s="1"/>
  <c r="BA49" i="18"/>
  <c r="BB49" i="18" s="1"/>
  <c r="BC49" i="18" s="1"/>
  <c r="BA48" i="18"/>
  <c r="BB48" i="18" s="1"/>
  <c r="BC48" i="18" s="1"/>
  <c r="BA47" i="18"/>
  <c r="BB47" i="18" s="1"/>
  <c r="BC47" i="18" s="1"/>
  <c r="BA46" i="18"/>
  <c r="BB46" i="18" s="1"/>
  <c r="BC46" i="18" s="1"/>
  <c r="BA45" i="18"/>
  <c r="BB45" i="18" s="1"/>
  <c r="BC45" i="18" s="1"/>
  <c r="BA44" i="18"/>
  <c r="BB44" i="18" s="1"/>
  <c r="BC44" i="18" s="1"/>
  <c r="BA43" i="18"/>
  <c r="BB43" i="18" s="1"/>
  <c r="BC43" i="18" s="1"/>
  <c r="BA42" i="18"/>
  <c r="BB42" i="18" s="1"/>
  <c r="BC42" i="18" s="1"/>
  <c r="BA41" i="18"/>
  <c r="BB41" i="18" s="1"/>
  <c r="BC41" i="18" s="1"/>
  <c r="BA40" i="18"/>
  <c r="BB40" i="18" s="1"/>
  <c r="BC40" i="18" s="1"/>
  <c r="BA39" i="18"/>
  <c r="BB39" i="18" s="1"/>
  <c r="BC39" i="18" s="1"/>
  <c r="BA38" i="18"/>
  <c r="BB38" i="18" s="1"/>
  <c r="BC38" i="18" s="1"/>
  <c r="BA37" i="18"/>
  <c r="BB37" i="18" s="1"/>
  <c r="BC37" i="18" s="1"/>
  <c r="BA35" i="18"/>
  <c r="BB35" i="18" s="1"/>
  <c r="BC35" i="18" s="1"/>
  <c r="BA34" i="18"/>
  <c r="BB34" i="18" s="1"/>
  <c r="BC34" i="18" s="1"/>
  <c r="BA33" i="18"/>
  <c r="BB33" i="18" s="1"/>
  <c r="BC33" i="18" s="1"/>
  <c r="BA32" i="18"/>
  <c r="BB32" i="18" s="1"/>
  <c r="BC32" i="18" s="1"/>
  <c r="BA31" i="18"/>
  <c r="BB31" i="18" s="1"/>
  <c r="BC31" i="18" s="1"/>
  <c r="BA30" i="18"/>
  <c r="BB30" i="18" s="1"/>
  <c r="BC30" i="18" s="1"/>
  <c r="BA29" i="18"/>
  <c r="BB29" i="18" s="1"/>
  <c r="BC29" i="18" s="1"/>
  <c r="BA28" i="18"/>
  <c r="BB28" i="18" s="1"/>
  <c r="BC28" i="18" s="1"/>
  <c r="BA27" i="18"/>
  <c r="BB27" i="18" s="1"/>
  <c r="BC27" i="18" s="1"/>
  <c r="BA26" i="18"/>
  <c r="BB26" i="18" s="1"/>
  <c r="BC26" i="18" s="1"/>
  <c r="BA25" i="18"/>
  <c r="BB25" i="18" s="1"/>
  <c r="BC25" i="18" s="1"/>
  <c r="BA24" i="18"/>
  <c r="BB24" i="18" s="1"/>
  <c r="BC24" i="18" s="1"/>
  <c r="BA23" i="18"/>
  <c r="BB23" i="18" s="1"/>
  <c r="BC23" i="18" s="1"/>
  <c r="BA22" i="18"/>
  <c r="BB22" i="18" s="1"/>
  <c r="BC22" i="18" s="1"/>
  <c r="BA21" i="18"/>
  <c r="BB21" i="18" s="1"/>
  <c r="BC21" i="18" s="1"/>
  <c r="BA20" i="18"/>
  <c r="BB20" i="18" s="1"/>
  <c r="BC20" i="18" s="1"/>
  <c r="BA19" i="18"/>
  <c r="BB19" i="18" s="1"/>
  <c r="BC19" i="18" s="1"/>
  <c r="BA18" i="18"/>
  <c r="BB18" i="18" s="1"/>
  <c r="BC18" i="18" s="1"/>
  <c r="BA17" i="18"/>
  <c r="BB17" i="18" s="1"/>
  <c r="BC17" i="18" s="1"/>
  <c r="BA16" i="18"/>
  <c r="BB16" i="18" s="1"/>
  <c r="BC16" i="18" s="1"/>
  <c r="BA15" i="18"/>
  <c r="BB15" i="18" s="1"/>
  <c r="BC15" i="18" s="1"/>
  <c r="BA14" i="18"/>
  <c r="BB14" i="18" s="1"/>
  <c r="BC14" i="18" s="1"/>
  <c r="BA13" i="18"/>
  <c r="BB13" i="18" s="1"/>
  <c r="BC13" i="18" s="1"/>
  <c r="BA12" i="18"/>
  <c r="BB12" i="18" s="1"/>
  <c r="BC12" i="18" s="1"/>
  <c r="BA11" i="18"/>
  <c r="BB11" i="18" s="1"/>
  <c r="BC11" i="18" s="1"/>
  <c r="BA72" i="34" l="1"/>
  <c r="BB72" i="34" s="1"/>
  <c r="BC72" i="34" s="1"/>
  <c r="BA39" i="34"/>
  <c r="BB39" i="34" s="1"/>
  <c r="BC39" i="34" s="1"/>
  <c r="N74" i="34"/>
  <c r="BA25" i="34"/>
  <c r="BB25" i="34" s="1"/>
  <c r="BC25" i="34" s="1"/>
  <c r="BA13" i="34"/>
  <c r="BB13" i="34" s="1"/>
  <c r="BC13" i="34" s="1"/>
  <c r="W74" i="34"/>
  <c r="BA16" i="34"/>
  <c r="BB16" i="34" s="1"/>
  <c r="BC16" i="34" s="1"/>
  <c r="BA17" i="34"/>
  <c r="BB17" i="34" s="1"/>
  <c r="BC17" i="34" s="1"/>
  <c r="G32" i="34"/>
  <c r="H32" i="34" s="1"/>
  <c r="V74" i="34"/>
  <c r="F74" i="34"/>
  <c r="O10" i="34"/>
  <c r="X10" i="34"/>
  <c r="AL74" i="34"/>
  <c r="BA15" i="34"/>
  <c r="BB15" i="34" s="1"/>
  <c r="BC15" i="34" s="1"/>
  <c r="BA18" i="34"/>
  <c r="BB18" i="34" s="1"/>
  <c r="BC18" i="34" s="1"/>
  <c r="H22" i="34"/>
  <c r="G49" i="34"/>
  <c r="H49" i="34" s="1"/>
  <c r="BA49" i="34"/>
  <c r="BB49" i="34" s="1"/>
  <c r="BC49" i="34" s="1"/>
  <c r="BC50" i="34"/>
  <c r="BA28" i="34"/>
  <c r="BB28" i="34" s="1"/>
  <c r="BC28" i="34" s="1"/>
  <c r="G10" i="34"/>
  <c r="AD74" i="34"/>
  <c r="G14" i="34"/>
  <c r="H14" i="34" s="1"/>
  <c r="G15" i="34"/>
  <c r="H15" i="34" s="1"/>
  <c r="BA23" i="34"/>
  <c r="BB23" i="34" s="1"/>
  <c r="BC23" i="34" s="1"/>
  <c r="G23" i="34"/>
  <c r="H23" i="34" s="1"/>
  <c r="H26" i="34"/>
  <c r="BA31" i="34"/>
  <c r="BB31" i="34" s="1"/>
  <c r="BC31" i="34" s="1"/>
  <c r="BA35" i="34"/>
  <c r="BB35" i="34" s="1"/>
  <c r="BC35" i="34" s="1"/>
  <c r="G37" i="34"/>
  <c r="H37" i="34" s="1"/>
  <c r="BA38" i="34"/>
  <c r="BB38" i="34" s="1"/>
  <c r="BC38" i="34" s="1"/>
  <c r="BA40" i="34"/>
  <c r="BB40" i="34" s="1"/>
  <c r="BC40" i="34" s="1"/>
  <c r="AE10" i="34"/>
  <c r="G11" i="34"/>
  <c r="H11" i="34" s="1"/>
  <c r="BA12" i="34"/>
  <c r="BB12" i="34" s="1"/>
  <c r="BC12" i="34" s="1"/>
  <c r="G19" i="34"/>
  <c r="H19" i="34" s="1"/>
  <c r="BA21" i="34"/>
  <c r="BB21" i="34" s="1"/>
  <c r="BC21" i="34" s="1"/>
  <c r="G27" i="34"/>
  <c r="H27" i="34" s="1"/>
  <c r="G33" i="34"/>
  <c r="H33" i="34" s="1"/>
  <c r="BA44" i="34"/>
  <c r="BB44" i="34" s="1"/>
  <c r="BC44" i="34" s="1"/>
  <c r="G20" i="34"/>
  <c r="H20" i="34" s="1"/>
  <c r="G24" i="34"/>
  <c r="H24" i="34" s="1"/>
  <c r="G28" i="34"/>
  <c r="H28" i="34" s="1"/>
  <c r="BA29" i="34"/>
  <c r="BB29" i="34" s="1"/>
  <c r="BC29" i="34" s="1"/>
  <c r="BA30" i="34"/>
  <c r="BB30" i="34" s="1"/>
  <c r="BC30" i="34" s="1"/>
  <c r="G36" i="34"/>
  <c r="H36" i="34" s="1"/>
  <c r="G41" i="34"/>
  <c r="H41" i="34" s="1"/>
  <c r="BA34" i="34"/>
  <c r="BB34" i="34" s="1"/>
  <c r="BC34" i="34" s="1"/>
  <c r="BA42" i="34"/>
  <c r="BB42" i="34" s="1"/>
  <c r="BC42" i="34" s="1"/>
  <c r="H42" i="34"/>
  <c r="G45" i="34"/>
  <c r="H45" i="34" s="1"/>
  <c r="BA59" i="34"/>
  <c r="BB59" i="34" s="1"/>
  <c r="BC59" i="34" s="1"/>
  <c r="G59" i="34"/>
  <c r="H59" i="34" s="1"/>
  <c r="H53" i="34"/>
  <c r="BA46" i="34"/>
  <c r="BB46" i="34" s="1"/>
  <c r="BC46" i="34" s="1"/>
  <c r="BA47" i="34"/>
  <c r="BB47" i="34" s="1"/>
  <c r="BC47" i="34" s="1"/>
  <c r="G60" i="34"/>
  <c r="H60" i="34" s="1"/>
  <c r="BA48" i="34"/>
  <c r="BB48" i="34" s="1"/>
  <c r="BC48" i="34" s="1"/>
  <c r="BA51" i="34"/>
  <c r="BB51" i="34" s="1"/>
  <c r="BC51" i="34" s="1"/>
  <c r="BA61" i="34"/>
  <c r="BB61" i="34" s="1"/>
  <c r="BC61" i="34" s="1"/>
  <c r="H69" i="34"/>
  <c r="BA54" i="34"/>
  <c r="BB54" i="34" s="1"/>
  <c r="BC54" i="34" s="1"/>
  <c r="BA57" i="34"/>
  <c r="BB57" i="34" s="1"/>
  <c r="BC57" i="34" s="1"/>
  <c r="G58" i="34"/>
  <c r="H58" i="34" s="1"/>
  <c r="BA62" i="34"/>
  <c r="BB62" i="34" s="1"/>
  <c r="BC62" i="34" s="1"/>
  <c r="BA64" i="34"/>
  <c r="BB64" i="34" s="1"/>
  <c r="BC64" i="34" s="1"/>
  <c r="G64" i="34"/>
  <c r="H64" i="34" s="1"/>
  <c r="BA73" i="34"/>
  <c r="BB73" i="34" s="1"/>
  <c r="BC73" i="34" s="1"/>
  <c r="G52" i="34"/>
  <c r="H52" i="34" s="1"/>
  <c r="H54" i="34"/>
  <c r="BA55" i="34"/>
  <c r="BB55" i="34" s="1"/>
  <c r="BC55" i="34" s="1"/>
  <c r="BA68" i="34"/>
  <c r="BB68" i="34" s="1"/>
  <c r="BC68" i="34" s="1"/>
  <c r="BA63" i="34"/>
  <c r="BB63" i="34" s="1"/>
  <c r="BC63" i="34" s="1"/>
  <c r="BA56" i="34"/>
  <c r="BB56" i="34" s="1"/>
  <c r="BC56" i="34" s="1"/>
  <c r="G63" i="34"/>
  <c r="H63" i="34" s="1"/>
  <c r="G70" i="34"/>
  <c r="H70" i="34" s="1"/>
  <c r="BA66" i="34"/>
  <c r="BB66" i="34" s="1"/>
  <c r="BC66" i="34" s="1"/>
  <c r="G67" i="34"/>
  <c r="H67" i="34" s="1"/>
  <c r="BA71" i="34"/>
  <c r="BB71" i="34" s="1"/>
  <c r="BC71" i="34" s="1"/>
  <c r="G71" i="34"/>
  <c r="H71" i="34" s="1"/>
  <c r="BA62" i="33"/>
  <c r="BB62" i="33" s="1"/>
  <c r="BA42" i="33"/>
  <c r="BB42" i="33" s="1"/>
  <c r="BC42" i="33" s="1"/>
  <c r="BA11" i="33"/>
  <c r="BB11" i="33" s="1"/>
  <c r="BC11" i="33" s="1"/>
  <c r="BA15" i="33"/>
  <c r="BB15" i="33" s="1"/>
  <c r="BC15" i="33" s="1"/>
  <c r="V74" i="33"/>
  <c r="G13" i="33"/>
  <c r="H13" i="33" s="1"/>
  <c r="I13" i="33" s="1"/>
  <c r="J13" i="33" s="1"/>
  <c r="K13" i="33" s="1"/>
  <c r="L13" i="33" s="1"/>
  <c r="G17" i="33"/>
  <c r="H17" i="33" s="1"/>
  <c r="I17" i="33" s="1"/>
  <c r="J17" i="33" s="1"/>
  <c r="K17" i="33" s="1"/>
  <c r="L17" i="33" s="1"/>
  <c r="H12" i="33"/>
  <c r="I12" i="33" s="1"/>
  <c r="J12" i="33" s="1"/>
  <c r="K12" i="33" s="1"/>
  <c r="L12" i="33" s="1"/>
  <c r="BA16" i="33"/>
  <c r="BB16" i="33" s="1"/>
  <c r="BC16" i="33" s="1"/>
  <c r="H16" i="33"/>
  <c r="I16" i="33" s="1"/>
  <c r="J16" i="33" s="1"/>
  <c r="K16" i="33" s="1"/>
  <c r="L16" i="33" s="1"/>
  <c r="BA30" i="33"/>
  <c r="BB30" i="33" s="1"/>
  <c r="BC30" i="33" s="1"/>
  <c r="BA19" i="33"/>
  <c r="BB19" i="33" s="1"/>
  <c r="BC19" i="33" s="1"/>
  <c r="BA23" i="33"/>
  <c r="BB23" i="33" s="1"/>
  <c r="BC23" i="33" s="1"/>
  <c r="BA33" i="33"/>
  <c r="BB33" i="33" s="1"/>
  <c r="BC33" i="33" s="1"/>
  <c r="G39" i="33"/>
  <c r="H39" i="33" s="1"/>
  <c r="I39" i="33" s="1"/>
  <c r="J39" i="33" s="1"/>
  <c r="K39" i="33" s="1"/>
  <c r="L39" i="33" s="1"/>
  <c r="N74" i="33"/>
  <c r="H20" i="33"/>
  <c r="I20" i="33" s="1"/>
  <c r="J20" i="33" s="1"/>
  <c r="K20" i="33" s="1"/>
  <c r="L20" i="33" s="1"/>
  <c r="G21" i="33"/>
  <c r="H21" i="33" s="1"/>
  <c r="I21" i="33" s="1"/>
  <c r="J21" i="33" s="1"/>
  <c r="K21" i="33" s="1"/>
  <c r="L21" i="33" s="1"/>
  <c r="H24" i="33"/>
  <c r="I24" i="33" s="1"/>
  <c r="J24" i="33" s="1"/>
  <c r="K24" i="33" s="1"/>
  <c r="L24" i="33" s="1"/>
  <c r="G25" i="33"/>
  <c r="H25" i="33" s="1"/>
  <c r="I25" i="33" s="1"/>
  <c r="J25" i="33" s="1"/>
  <c r="K25" i="33" s="1"/>
  <c r="L25" i="33" s="1"/>
  <c r="G27" i="33"/>
  <c r="H27" i="33" s="1"/>
  <c r="I27" i="33" s="1"/>
  <c r="J27" i="33" s="1"/>
  <c r="K27" i="33" s="1"/>
  <c r="L27" i="33" s="1"/>
  <c r="G28" i="33"/>
  <c r="H28" i="33" s="1"/>
  <c r="I28" i="33" s="1"/>
  <c r="J28" i="33" s="1"/>
  <c r="K28" i="33" s="1"/>
  <c r="L28" i="33" s="1"/>
  <c r="H29" i="33"/>
  <c r="I29" i="33" s="1"/>
  <c r="J29" i="33" s="1"/>
  <c r="K29" i="33" s="1"/>
  <c r="L29" i="33" s="1"/>
  <c r="G32" i="33"/>
  <c r="H32" i="33" s="1"/>
  <c r="I32" i="33" s="1"/>
  <c r="J32" i="33" s="1"/>
  <c r="K32" i="33" s="1"/>
  <c r="L32" i="33" s="1"/>
  <c r="BA35" i="33"/>
  <c r="BB35" i="33" s="1"/>
  <c r="BC35" i="33" s="1"/>
  <c r="G35" i="33"/>
  <c r="H35" i="33" s="1"/>
  <c r="I35" i="33" s="1"/>
  <c r="J35" i="33" s="1"/>
  <c r="K35" i="33" s="1"/>
  <c r="L35" i="33" s="1"/>
  <c r="H37" i="33"/>
  <c r="I37" i="33" s="1"/>
  <c r="J37" i="33" s="1"/>
  <c r="K37" i="33" s="1"/>
  <c r="L37" i="33" s="1"/>
  <c r="H38" i="33"/>
  <c r="I38" i="33" s="1"/>
  <c r="J38" i="33" s="1"/>
  <c r="K38" i="33" s="1"/>
  <c r="L38" i="33" s="1"/>
  <c r="BA46" i="33"/>
  <c r="BB46" i="33" s="1"/>
  <c r="BC46" i="33" s="1"/>
  <c r="F74" i="33"/>
  <c r="G14" i="33"/>
  <c r="H14" i="33" s="1"/>
  <c r="I14" i="33" s="1"/>
  <c r="J14" i="33" s="1"/>
  <c r="K14" i="33" s="1"/>
  <c r="L14" i="33" s="1"/>
  <c r="G18" i="33"/>
  <c r="H18" i="33" s="1"/>
  <c r="I18" i="33" s="1"/>
  <c r="J18" i="33" s="1"/>
  <c r="K18" i="33" s="1"/>
  <c r="L18" i="33" s="1"/>
  <c r="G22" i="33"/>
  <c r="H22" i="33" s="1"/>
  <c r="I22" i="33" s="1"/>
  <c r="J22" i="33" s="1"/>
  <c r="K22" i="33" s="1"/>
  <c r="L22" i="33" s="1"/>
  <c r="G26" i="33"/>
  <c r="H26" i="33" s="1"/>
  <c r="I26" i="33" s="1"/>
  <c r="J26" i="33" s="1"/>
  <c r="K26" i="33" s="1"/>
  <c r="L26" i="33" s="1"/>
  <c r="H34" i="33"/>
  <c r="I34" i="33" s="1"/>
  <c r="J34" i="33" s="1"/>
  <c r="K34" i="33" s="1"/>
  <c r="L34" i="33" s="1"/>
  <c r="H50" i="33"/>
  <c r="I50" i="33" s="1"/>
  <c r="J50" i="33" s="1"/>
  <c r="K50" i="33" s="1"/>
  <c r="L50" i="33" s="1"/>
  <c r="BA53" i="33"/>
  <c r="BB53" i="33" s="1"/>
  <c r="BC53" i="33" s="1"/>
  <c r="G56" i="33"/>
  <c r="H56" i="33" s="1"/>
  <c r="I56" i="33" s="1"/>
  <c r="J56" i="33" s="1"/>
  <c r="K56" i="33" s="1"/>
  <c r="L56" i="33" s="1"/>
  <c r="H63" i="33"/>
  <c r="I63" i="33" s="1"/>
  <c r="J63" i="33" s="1"/>
  <c r="K63" i="33" s="1"/>
  <c r="L63" i="33" s="1"/>
  <c r="G10" i="33"/>
  <c r="BA31" i="33"/>
  <c r="BB31" i="33" s="1"/>
  <c r="BC31" i="33" s="1"/>
  <c r="G44" i="33"/>
  <c r="H44" i="33" s="1"/>
  <c r="I44" i="33" s="1"/>
  <c r="J44" i="33" s="1"/>
  <c r="K44" i="33" s="1"/>
  <c r="L44" i="33" s="1"/>
  <c r="BA47" i="33"/>
  <c r="BB47" i="33" s="1"/>
  <c r="BC47" i="33" s="1"/>
  <c r="BA57" i="33"/>
  <c r="BB57" i="33" s="1"/>
  <c r="BC57" i="33" s="1"/>
  <c r="BC62" i="33"/>
  <c r="BA73" i="33"/>
  <c r="BB73" i="33" s="1"/>
  <c r="BC73" i="33" s="1"/>
  <c r="G36" i="33"/>
  <c r="H36" i="33" s="1"/>
  <c r="I36" i="33" s="1"/>
  <c r="J36" i="33" s="1"/>
  <c r="K36" i="33" s="1"/>
  <c r="L36" i="33" s="1"/>
  <c r="G40" i="33"/>
  <c r="H40" i="33" s="1"/>
  <c r="I40" i="33" s="1"/>
  <c r="J40" i="33" s="1"/>
  <c r="K40" i="33" s="1"/>
  <c r="L40" i="33" s="1"/>
  <c r="BA43" i="33"/>
  <c r="BB43" i="33" s="1"/>
  <c r="BC43" i="33" s="1"/>
  <c r="BA45" i="33"/>
  <c r="BB45" i="33" s="1"/>
  <c r="BC45" i="33" s="1"/>
  <c r="BA48" i="33"/>
  <c r="BB48" i="33" s="1"/>
  <c r="BC48" i="33" s="1"/>
  <c r="G48" i="33"/>
  <c r="H48" i="33" s="1"/>
  <c r="I48" i="33" s="1"/>
  <c r="J48" i="33" s="1"/>
  <c r="K48" i="33" s="1"/>
  <c r="L48" i="33" s="1"/>
  <c r="BA51" i="33"/>
  <c r="BB51" i="33" s="1"/>
  <c r="BC51" i="33" s="1"/>
  <c r="H54" i="33"/>
  <c r="I54" i="33" s="1"/>
  <c r="J54" i="33" s="1"/>
  <c r="K54" i="33" s="1"/>
  <c r="L54" i="33" s="1"/>
  <c r="BA71" i="33"/>
  <c r="BB71" i="33" s="1"/>
  <c r="BC71" i="33" s="1"/>
  <c r="G71" i="33"/>
  <c r="H71" i="33" s="1"/>
  <c r="I71" i="33" s="1"/>
  <c r="J71" i="33" s="1"/>
  <c r="K71" i="33" s="1"/>
  <c r="L71" i="33" s="1"/>
  <c r="G41" i="33"/>
  <c r="H41" i="33" s="1"/>
  <c r="I41" i="33" s="1"/>
  <c r="J41" i="33" s="1"/>
  <c r="K41" i="33" s="1"/>
  <c r="L41" i="33" s="1"/>
  <c r="BA49" i="33"/>
  <c r="BB49" i="33" s="1"/>
  <c r="BC49" i="33" s="1"/>
  <c r="BA52" i="33"/>
  <c r="BB52" i="33" s="1"/>
  <c r="BC52" i="33" s="1"/>
  <c r="G52" i="33"/>
  <c r="H52" i="33" s="1"/>
  <c r="I52" i="33" s="1"/>
  <c r="J52" i="33" s="1"/>
  <c r="K52" i="33" s="1"/>
  <c r="L52" i="33" s="1"/>
  <c r="BA55" i="33"/>
  <c r="BB55" i="33" s="1"/>
  <c r="BC55" i="33" s="1"/>
  <c r="G59" i="33"/>
  <c r="H59" i="33" s="1"/>
  <c r="I59" i="33" s="1"/>
  <c r="J59" i="33" s="1"/>
  <c r="K59" i="33" s="1"/>
  <c r="L59" i="33" s="1"/>
  <c r="BA58" i="33"/>
  <c r="BB58" i="33" s="1"/>
  <c r="BC58" i="33" s="1"/>
  <c r="BA64" i="33"/>
  <c r="BB64" i="33" s="1"/>
  <c r="BC64" i="33" s="1"/>
  <c r="BA72" i="33"/>
  <c r="BB72" i="33" s="1"/>
  <c r="BC72" i="33" s="1"/>
  <c r="G70" i="33"/>
  <c r="H70" i="33" s="1"/>
  <c r="I70" i="33" s="1"/>
  <c r="J70" i="33" s="1"/>
  <c r="K70" i="33" s="1"/>
  <c r="L70" i="33" s="1"/>
  <c r="BA66" i="33"/>
  <c r="BB66" i="33" s="1"/>
  <c r="BC66" i="33" s="1"/>
  <c r="G66" i="33"/>
  <c r="H66" i="33" s="1"/>
  <c r="I66" i="33" s="1"/>
  <c r="J66" i="33" s="1"/>
  <c r="K66" i="33" s="1"/>
  <c r="L66" i="33" s="1"/>
  <c r="BA68" i="33"/>
  <c r="BB68" i="33" s="1"/>
  <c r="BC68" i="33" s="1"/>
  <c r="G60" i="33"/>
  <c r="H60" i="33" s="1"/>
  <c r="I60" i="33" s="1"/>
  <c r="J60" i="33" s="1"/>
  <c r="K60" i="33" s="1"/>
  <c r="L60" i="33" s="1"/>
  <c r="BA61" i="33"/>
  <c r="BB61" i="33" s="1"/>
  <c r="BC61" i="33" s="1"/>
  <c r="BA65" i="33"/>
  <c r="BB65" i="33" s="1"/>
  <c r="BC65" i="33" s="1"/>
  <c r="H73" i="33"/>
  <c r="I73" i="33" s="1"/>
  <c r="J73" i="33" s="1"/>
  <c r="K73" i="33" s="1"/>
  <c r="L73" i="33" s="1"/>
  <c r="G67" i="33"/>
  <c r="H67" i="33" s="1"/>
  <c r="I67" i="33" s="1"/>
  <c r="J67" i="33" s="1"/>
  <c r="K67" i="33" s="1"/>
  <c r="L67" i="33" s="1"/>
  <c r="BA69" i="33"/>
  <c r="BB69" i="33" s="1"/>
  <c r="BC69" i="33" s="1"/>
  <c r="BC65" i="32"/>
  <c r="AE72" i="32"/>
  <c r="AF72" i="32" s="1"/>
  <c r="AG72" i="32" s="1"/>
  <c r="AH72" i="32" s="1"/>
  <c r="AI72" i="32" s="1"/>
  <c r="AJ72" i="32" s="1"/>
  <c r="AL74" i="32"/>
  <c r="F74" i="32"/>
  <c r="BA12" i="32"/>
  <c r="BB12" i="32" s="1"/>
  <c r="BC12" i="32" s="1"/>
  <c r="BA27" i="32"/>
  <c r="BB27" i="32" s="1"/>
  <c r="BC27" i="32" s="1"/>
  <c r="BA30" i="32"/>
  <c r="BB30" i="32" s="1"/>
  <c r="BC30" i="32" s="1"/>
  <c r="G10" i="32"/>
  <c r="AD74" i="32"/>
  <c r="AM10" i="32"/>
  <c r="BA16" i="32"/>
  <c r="BB16" i="32" s="1"/>
  <c r="BC16" i="32" s="1"/>
  <c r="BA21" i="32"/>
  <c r="BB21" i="32" s="1"/>
  <c r="BC21" i="32" s="1"/>
  <c r="BA25" i="32"/>
  <c r="BB25" i="32" s="1"/>
  <c r="BC25" i="32" s="1"/>
  <c r="G28" i="32"/>
  <c r="H28" i="32" s="1"/>
  <c r="I28" i="32" s="1"/>
  <c r="J28" i="32" s="1"/>
  <c r="K28" i="32" s="1"/>
  <c r="L28" i="32" s="1"/>
  <c r="BA31" i="32"/>
  <c r="BB31" i="32" s="1"/>
  <c r="BC31" i="32" s="1"/>
  <c r="H34" i="32"/>
  <c r="I34" i="32" s="1"/>
  <c r="J34" i="32" s="1"/>
  <c r="K34" i="32" s="1"/>
  <c r="L34" i="32" s="1"/>
  <c r="H39" i="32"/>
  <c r="I39" i="32" s="1"/>
  <c r="J39" i="32" s="1"/>
  <c r="K39" i="32" s="1"/>
  <c r="L39" i="32" s="1"/>
  <c r="V74" i="32"/>
  <c r="AE74" i="32"/>
  <c r="BA11" i="32"/>
  <c r="BB11" i="32" s="1"/>
  <c r="BC11" i="32" s="1"/>
  <c r="BA14" i="32"/>
  <c r="BB14" i="32" s="1"/>
  <c r="BC14" i="32" s="1"/>
  <c r="BA19" i="32"/>
  <c r="BB19" i="32" s="1"/>
  <c r="BC19" i="32" s="1"/>
  <c r="BA22" i="32"/>
  <c r="BB22" i="32" s="1"/>
  <c r="BC22" i="32" s="1"/>
  <c r="BA29" i="32"/>
  <c r="BB29" i="32" s="1"/>
  <c r="BC29" i="32" s="1"/>
  <c r="BA32" i="32"/>
  <c r="BB32" i="32" s="1"/>
  <c r="BC32" i="32" s="1"/>
  <c r="G32" i="32"/>
  <c r="H32" i="32" s="1"/>
  <c r="I32" i="32" s="1"/>
  <c r="J32" i="32" s="1"/>
  <c r="K32" i="32" s="1"/>
  <c r="L32" i="32" s="1"/>
  <c r="BA35" i="32"/>
  <c r="BB35" i="32" s="1"/>
  <c r="BC35" i="32" s="1"/>
  <c r="BA55" i="32"/>
  <c r="BB55" i="32" s="1"/>
  <c r="BC55" i="32" s="1"/>
  <c r="BA15" i="32"/>
  <c r="BB15" i="32" s="1"/>
  <c r="BC15" i="32" s="1"/>
  <c r="BA18" i="32"/>
  <c r="BB18" i="32" s="1"/>
  <c r="BC18" i="32" s="1"/>
  <c r="H23" i="32"/>
  <c r="I23" i="32" s="1"/>
  <c r="J23" i="32" s="1"/>
  <c r="K23" i="32" s="1"/>
  <c r="L23" i="32" s="1"/>
  <c r="BA24" i="32"/>
  <c r="BB24" i="32" s="1"/>
  <c r="BC24" i="32" s="1"/>
  <c r="G24" i="32"/>
  <c r="H24" i="32" s="1"/>
  <c r="I24" i="32" s="1"/>
  <c r="J24" i="32" s="1"/>
  <c r="K24" i="32" s="1"/>
  <c r="L24" i="32" s="1"/>
  <c r="BA42" i="32"/>
  <c r="BB42" i="32" s="1"/>
  <c r="BC42" i="32" s="1"/>
  <c r="G45" i="32"/>
  <c r="H45" i="32" s="1"/>
  <c r="I45" i="32" s="1"/>
  <c r="J45" i="32" s="1"/>
  <c r="K45" i="32" s="1"/>
  <c r="L45" i="32" s="1"/>
  <c r="W10" i="32"/>
  <c r="AF10" i="32"/>
  <c r="G13" i="32"/>
  <c r="H13" i="32" s="1"/>
  <c r="I13" i="32" s="1"/>
  <c r="J13" i="32" s="1"/>
  <c r="K13" i="32" s="1"/>
  <c r="L13" i="32" s="1"/>
  <c r="BA17" i="32"/>
  <c r="BB17" i="32" s="1"/>
  <c r="BC17" i="32" s="1"/>
  <c r="BA20" i="32"/>
  <c r="BB20" i="32" s="1"/>
  <c r="BC20" i="32" s="1"/>
  <c r="H26" i="32"/>
  <c r="I26" i="32" s="1"/>
  <c r="J26" i="32" s="1"/>
  <c r="K26" i="32" s="1"/>
  <c r="L26" i="32" s="1"/>
  <c r="BA33" i="32"/>
  <c r="BB33" i="32" s="1"/>
  <c r="BC33" i="32" s="1"/>
  <c r="BA38" i="32"/>
  <c r="BB38" i="32" s="1"/>
  <c r="BC38" i="32" s="1"/>
  <c r="H43" i="32"/>
  <c r="I43" i="32" s="1"/>
  <c r="J43" i="32" s="1"/>
  <c r="K43" i="32" s="1"/>
  <c r="L43" i="32" s="1"/>
  <c r="BA36" i="32"/>
  <c r="BB36" i="32" s="1"/>
  <c r="BC36" i="32" s="1"/>
  <c r="BA41" i="32"/>
  <c r="BB41" i="32" s="1"/>
  <c r="BC41" i="32" s="1"/>
  <c r="H46" i="32"/>
  <c r="I46" i="32" s="1"/>
  <c r="J46" i="32" s="1"/>
  <c r="K46" i="32" s="1"/>
  <c r="L46" i="32" s="1"/>
  <c r="G47" i="32"/>
  <c r="H47" i="32" s="1"/>
  <c r="I47" i="32" s="1"/>
  <c r="J47" i="32" s="1"/>
  <c r="K47" i="32" s="1"/>
  <c r="L47" i="32" s="1"/>
  <c r="H62" i="32"/>
  <c r="I62" i="32" s="1"/>
  <c r="J62" i="32" s="1"/>
  <c r="K62" i="32" s="1"/>
  <c r="L62" i="32" s="1"/>
  <c r="BA62" i="32"/>
  <c r="BB62" i="32" s="1"/>
  <c r="BC62" i="32" s="1"/>
  <c r="BA52" i="32"/>
  <c r="BB52" i="32" s="1"/>
  <c r="BC52" i="32" s="1"/>
  <c r="G40" i="32"/>
  <c r="H40" i="32" s="1"/>
  <c r="I40" i="32" s="1"/>
  <c r="J40" i="32" s="1"/>
  <c r="K40" i="32" s="1"/>
  <c r="L40" i="32" s="1"/>
  <c r="BA44" i="32"/>
  <c r="BB44" i="32" s="1"/>
  <c r="BC44" i="32" s="1"/>
  <c r="BA60" i="32"/>
  <c r="BB60" i="32" s="1"/>
  <c r="BC60" i="32" s="1"/>
  <c r="BA48" i="32"/>
  <c r="BB48" i="32" s="1"/>
  <c r="BC48" i="32" s="1"/>
  <c r="BA50" i="32"/>
  <c r="BB50" i="32" s="1"/>
  <c r="BC50" i="32" s="1"/>
  <c r="BA53" i="32"/>
  <c r="BB53" i="32" s="1"/>
  <c r="BC53" i="32" s="1"/>
  <c r="BA58" i="32"/>
  <c r="BB58" i="32" s="1"/>
  <c r="BC58" i="32" s="1"/>
  <c r="BA61" i="32"/>
  <c r="BB61" i="32" s="1"/>
  <c r="BC61" i="32" s="1"/>
  <c r="BA51" i="32"/>
  <c r="BB51" i="32" s="1"/>
  <c r="BC51" i="32" s="1"/>
  <c r="BA56" i="32"/>
  <c r="BB56" i="32" s="1"/>
  <c r="BC56" i="32" s="1"/>
  <c r="BA59" i="32"/>
  <c r="BB59" i="32" s="1"/>
  <c r="BC59" i="32" s="1"/>
  <c r="G63" i="32"/>
  <c r="H63" i="32" s="1"/>
  <c r="I63" i="32" s="1"/>
  <c r="J63" i="32" s="1"/>
  <c r="K63" i="32" s="1"/>
  <c r="L63" i="32" s="1"/>
  <c r="BA49" i="32"/>
  <c r="BB49" i="32" s="1"/>
  <c r="BC49" i="32" s="1"/>
  <c r="BA54" i="32"/>
  <c r="BB54" i="32" s="1"/>
  <c r="BC54" i="32" s="1"/>
  <c r="BA57" i="32"/>
  <c r="BB57" i="32" s="1"/>
  <c r="BC57" i="32" s="1"/>
  <c r="BA64" i="32"/>
  <c r="BB64" i="32" s="1"/>
  <c r="BC64" i="32" s="1"/>
  <c r="G64" i="32"/>
  <c r="H64" i="32" s="1"/>
  <c r="I64" i="32" s="1"/>
  <c r="J64" i="32" s="1"/>
  <c r="K64" i="32" s="1"/>
  <c r="L64" i="32" s="1"/>
  <c r="BA71" i="32"/>
  <c r="BB71" i="32" s="1"/>
  <c r="BC71" i="32" s="1"/>
  <c r="BA66" i="32"/>
  <c r="BB66" i="32" s="1"/>
  <c r="BC66" i="32" s="1"/>
  <c r="BA67" i="32"/>
  <c r="BB67" i="32" s="1"/>
  <c r="BC67" i="32" s="1"/>
  <c r="BA70" i="32"/>
  <c r="BB70" i="32" s="1"/>
  <c r="BC70" i="32" s="1"/>
  <c r="BA68" i="32"/>
  <c r="BB68" i="32" s="1"/>
  <c r="BC68" i="32" s="1"/>
  <c r="BA69" i="32"/>
  <c r="BB69" i="32" s="1"/>
  <c r="BC69" i="32" s="1"/>
  <c r="BA73" i="32"/>
  <c r="BB73" i="32" s="1"/>
  <c r="BC73" i="32" s="1"/>
  <c r="H73" i="32"/>
  <c r="I73" i="32" s="1"/>
  <c r="J73" i="32" s="1"/>
  <c r="K73" i="32" s="1"/>
  <c r="L73" i="32" s="1"/>
  <c r="BA17" i="31"/>
  <c r="BB17" i="31" s="1"/>
  <c r="BC17" i="31" s="1"/>
  <c r="BA34" i="31"/>
  <c r="BB34" i="31" s="1"/>
  <c r="BC34" i="31" s="1"/>
  <c r="BA22" i="31"/>
  <c r="BB22" i="31" s="1"/>
  <c r="BC22" i="31" s="1"/>
  <c r="BA26" i="31"/>
  <c r="BB26" i="31" s="1"/>
  <c r="BC26" i="31" s="1"/>
  <c r="H10" i="31"/>
  <c r="BA13" i="31"/>
  <c r="BB13" i="31" s="1"/>
  <c r="BC13" i="31" s="1"/>
  <c r="BA21" i="31"/>
  <c r="BB21" i="31" s="1"/>
  <c r="BC21" i="31" s="1"/>
  <c r="G11" i="31"/>
  <c r="H11" i="31" s="1"/>
  <c r="BA30" i="31"/>
  <c r="BB30" i="31" s="1"/>
  <c r="BC30" i="31" s="1"/>
  <c r="AV74" i="31"/>
  <c r="AW10" i="31"/>
  <c r="H14" i="31"/>
  <c r="I14" i="31" s="1"/>
  <c r="J14" i="31" s="1"/>
  <c r="K14" i="31" s="1"/>
  <c r="L14" i="31" s="1"/>
  <c r="H22" i="31"/>
  <c r="I22" i="31" s="1"/>
  <c r="J22" i="31" s="1"/>
  <c r="K22" i="31" s="1"/>
  <c r="L22" i="31" s="1"/>
  <c r="H33" i="31"/>
  <c r="I33" i="31" s="1"/>
  <c r="J33" i="31" s="1"/>
  <c r="K33" i="31" s="1"/>
  <c r="L33" i="31" s="1"/>
  <c r="BA37" i="31"/>
  <c r="BB37" i="31" s="1"/>
  <c r="BC37" i="31" s="1"/>
  <c r="O74" i="31"/>
  <c r="AL74" i="31"/>
  <c r="G12" i="31"/>
  <c r="H12" i="31" s="1"/>
  <c r="I12" i="31" s="1"/>
  <c r="J12" i="31" s="1"/>
  <c r="K12" i="31" s="1"/>
  <c r="L12" i="31" s="1"/>
  <c r="BA16" i="31"/>
  <c r="BB16" i="31" s="1"/>
  <c r="BC16" i="31" s="1"/>
  <c r="G16" i="31"/>
  <c r="H16" i="31" s="1"/>
  <c r="I16" i="31" s="1"/>
  <c r="J16" i="31" s="1"/>
  <c r="K16" i="31" s="1"/>
  <c r="L16" i="31" s="1"/>
  <c r="BA18" i="31"/>
  <c r="BB18" i="31" s="1"/>
  <c r="BC18" i="31" s="1"/>
  <c r="BA20" i="31"/>
  <c r="BB20" i="31" s="1"/>
  <c r="BC20" i="31" s="1"/>
  <c r="G20" i="31"/>
  <c r="H20" i="31" s="1"/>
  <c r="I20" i="31" s="1"/>
  <c r="J20" i="31" s="1"/>
  <c r="K20" i="31" s="1"/>
  <c r="L20" i="31" s="1"/>
  <c r="G24" i="31"/>
  <c r="H24" i="31" s="1"/>
  <c r="I24" i="31" s="1"/>
  <c r="J24" i="31" s="1"/>
  <c r="K24" i="31" s="1"/>
  <c r="L24" i="31" s="1"/>
  <c r="G31" i="31"/>
  <c r="H31" i="31" s="1"/>
  <c r="I31" i="31" s="1"/>
  <c r="J31" i="31" s="1"/>
  <c r="K31" i="31" s="1"/>
  <c r="L31" i="31" s="1"/>
  <c r="BA67" i="31"/>
  <c r="BB67" i="31" s="1"/>
  <c r="BC67" i="31" s="1"/>
  <c r="I67" i="31"/>
  <c r="J67" i="31" s="1"/>
  <c r="K67" i="31" s="1"/>
  <c r="L67" i="31" s="1"/>
  <c r="X74" i="31"/>
  <c r="BA38" i="31"/>
  <c r="BB38" i="31" s="1"/>
  <c r="BC38" i="31" s="1"/>
  <c r="F74" i="31"/>
  <c r="Y10" i="31"/>
  <c r="H25" i="31"/>
  <c r="I25" i="31" s="1"/>
  <c r="J25" i="31" s="1"/>
  <c r="K25" i="31" s="1"/>
  <c r="L25" i="31" s="1"/>
  <c r="BA28" i="31"/>
  <c r="BB28" i="31" s="1"/>
  <c r="BC28" i="31" s="1"/>
  <c r="G28" i="31"/>
  <c r="H28" i="31" s="1"/>
  <c r="I28" i="31" s="1"/>
  <c r="J28" i="31" s="1"/>
  <c r="K28" i="31" s="1"/>
  <c r="L28" i="31" s="1"/>
  <c r="BA29" i="31"/>
  <c r="BB29" i="31" s="1"/>
  <c r="BC29" i="31" s="1"/>
  <c r="BA36" i="31"/>
  <c r="BB36" i="31" s="1"/>
  <c r="BC36" i="31" s="1"/>
  <c r="G36" i="31"/>
  <c r="H36" i="31" s="1"/>
  <c r="I36" i="31" s="1"/>
  <c r="J36" i="31" s="1"/>
  <c r="K36" i="31" s="1"/>
  <c r="L36" i="31" s="1"/>
  <c r="BA39" i="31"/>
  <c r="BB39" i="31" s="1"/>
  <c r="BC39" i="31" s="1"/>
  <c r="H42" i="31"/>
  <c r="I42" i="31" s="1"/>
  <c r="J42" i="31" s="1"/>
  <c r="K42" i="31" s="1"/>
  <c r="L42" i="31" s="1"/>
  <c r="BA69" i="31"/>
  <c r="BB69" i="31" s="1"/>
  <c r="BC69" i="31" s="1"/>
  <c r="G69" i="31"/>
  <c r="H69" i="31" s="1"/>
  <c r="I69" i="31" s="1"/>
  <c r="J69" i="31" s="1"/>
  <c r="K69" i="31" s="1"/>
  <c r="L69" i="31" s="1"/>
  <c r="P74" i="31"/>
  <c r="Q10" i="31"/>
  <c r="AD74" i="31"/>
  <c r="AE10" i="31"/>
  <c r="AM74" i="31"/>
  <c r="AN10" i="31"/>
  <c r="AU74" i="31"/>
  <c r="BA15" i="31"/>
  <c r="BB15" i="31" s="1"/>
  <c r="BC15" i="31" s="1"/>
  <c r="BA19" i="31"/>
  <c r="BB19" i="31" s="1"/>
  <c r="BC19" i="31" s="1"/>
  <c r="BA23" i="31"/>
  <c r="BB23" i="31" s="1"/>
  <c r="BC23" i="31" s="1"/>
  <c r="BA27" i="31"/>
  <c r="BB27" i="31" s="1"/>
  <c r="BC27" i="31" s="1"/>
  <c r="BA32" i="31"/>
  <c r="BB32" i="31" s="1"/>
  <c r="BC32" i="31" s="1"/>
  <c r="G32" i="31"/>
  <c r="H32" i="31" s="1"/>
  <c r="I32" i="31" s="1"/>
  <c r="J32" i="31" s="1"/>
  <c r="K32" i="31" s="1"/>
  <c r="L32" i="31" s="1"/>
  <c r="BA35" i="31"/>
  <c r="BB35" i="31" s="1"/>
  <c r="BC35" i="31" s="1"/>
  <c r="BA40" i="31"/>
  <c r="BB40" i="31" s="1"/>
  <c r="BC40" i="31" s="1"/>
  <c r="G40" i="31"/>
  <c r="H40" i="31" s="1"/>
  <c r="I40" i="31" s="1"/>
  <c r="J40" i="31" s="1"/>
  <c r="K40" i="31" s="1"/>
  <c r="L40" i="31" s="1"/>
  <c r="G45" i="31"/>
  <c r="H45" i="31" s="1"/>
  <c r="I45" i="31" s="1"/>
  <c r="J45" i="31" s="1"/>
  <c r="K45" i="31" s="1"/>
  <c r="L45" i="31" s="1"/>
  <c r="BA45" i="31"/>
  <c r="BB45" i="31" s="1"/>
  <c r="BC45" i="31" s="1"/>
  <c r="BA53" i="31"/>
  <c r="BB53" i="31" s="1"/>
  <c r="BC53" i="31" s="1"/>
  <c r="V74" i="31"/>
  <c r="BA43" i="31"/>
  <c r="BB43" i="31" s="1"/>
  <c r="BC43" i="31" s="1"/>
  <c r="BA48" i="31"/>
  <c r="BB48" i="31" s="1"/>
  <c r="BC48" i="31" s="1"/>
  <c r="BA65" i="31"/>
  <c r="BB65" i="31" s="1"/>
  <c r="BC65" i="31" s="1"/>
  <c r="L65" i="31"/>
  <c r="BA52" i="31"/>
  <c r="BB52" i="31" s="1"/>
  <c r="BC52" i="31" s="1"/>
  <c r="N74" i="31"/>
  <c r="W74" i="31"/>
  <c r="AT74" i="31"/>
  <c r="G41" i="31"/>
  <c r="H41" i="31" s="1"/>
  <c r="I41" i="31" s="1"/>
  <c r="J41" i="31" s="1"/>
  <c r="K41" i="31" s="1"/>
  <c r="L41" i="31" s="1"/>
  <c r="BA44" i="31"/>
  <c r="BB44" i="31" s="1"/>
  <c r="BC44" i="31" s="1"/>
  <c r="BA51" i="31"/>
  <c r="BB51" i="31" s="1"/>
  <c r="BC51" i="31" s="1"/>
  <c r="BA49" i="31"/>
  <c r="BB49" i="31" s="1"/>
  <c r="BC49" i="31" s="1"/>
  <c r="BA55" i="31"/>
  <c r="BB55" i="31" s="1"/>
  <c r="BC55" i="31" s="1"/>
  <c r="BA57" i="31"/>
  <c r="BB57" i="31" s="1"/>
  <c r="BC57" i="31" s="1"/>
  <c r="BA72" i="31"/>
  <c r="BB72" i="31" s="1"/>
  <c r="BC72" i="31" s="1"/>
  <c r="G47" i="31"/>
  <c r="H47" i="31" s="1"/>
  <c r="I47" i="31" s="1"/>
  <c r="J47" i="31" s="1"/>
  <c r="K47" i="31" s="1"/>
  <c r="L47" i="31" s="1"/>
  <c r="BA50" i="31"/>
  <c r="BB50" i="31" s="1"/>
  <c r="BC50" i="31" s="1"/>
  <c r="H53" i="31"/>
  <c r="I53" i="31" s="1"/>
  <c r="J53" i="31" s="1"/>
  <c r="K53" i="31" s="1"/>
  <c r="L53" i="31" s="1"/>
  <c r="G61" i="31"/>
  <c r="H61" i="31" s="1"/>
  <c r="I61" i="31" s="1"/>
  <c r="J61" i="31" s="1"/>
  <c r="K61" i="31" s="1"/>
  <c r="L61" i="31" s="1"/>
  <c r="BA63" i="31"/>
  <c r="BB63" i="31" s="1"/>
  <c r="BC63" i="31" s="1"/>
  <c r="G63" i="31"/>
  <c r="H63" i="31" s="1"/>
  <c r="I63" i="31" s="1"/>
  <c r="J63" i="31" s="1"/>
  <c r="K63" i="31" s="1"/>
  <c r="L63" i="31" s="1"/>
  <c r="BA68" i="31"/>
  <c r="BB68" i="31" s="1"/>
  <c r="BC68" i="31" s="1"/>
  <c r="BA71" i="31"/>
  <c r="BB71" i="31" s="1"/>
  <c r="BC71" i="31" s="1"/>
  <c r="H71" i="31"/>
  <c r="I71" i="31" s="1"/>
  <c r="J71" i="31" s="1"/>
  <c r="K71" i="31" s="1"/>
  <c r="L71" i="31" s="1"/>
  <c r="BA46" i="31"/>
  <c r="BB46" i="31" s="1"/>
  <c r="BC46" i="31" s="1"/>
  <c r="BA56" i="31"/>
  <c r="BB56" i="31" s="1"/>
  <c r="BC56" i="31" s="1"/>
  <c r="G62" i="31"/>
  <c r="H62" i="31" s="1"/>
  <c r="I62" i="31" s="1"/>
  <c r="J62" i="31" s="1"/>
  <c r="K62" i="31" s="1"/>
  <c r="L62" i="31" s="1"/>
  <c r="G64" i="31"/>
  <c r="H64" i="31" s="1"/>
  <c r="I64" i="31" s="1"/>
  <c r="J64" i="31" s="1"/>
  <c r="K64" i="31" s="1"/>
  <c r="L64" i="31" s="1"/>
  <c r="BA59" i="31"/>
  <c r="BB59" i="31" s="1"/>
  <c r="BC59" i="31" s="1"/>
  <c r="BA60" i="31"/>
  <c r="BB60" i="31" s="1"/>
  <c r="BC60" i="31" s="1"/>
  <c r="G54" i="31"/>
  <c r="H54" i="31" s="1"/>
  <c r="I54" i="31" s="1"/>
  <c r="J54" i="31" s="1"/>
  <c r="K54" i="31" s="1"/>
  <c r="L54" i="31" s="1"/>
  <c r="BA58" i="31"/>
  <c r="BB58" i="31" s="1"/>
  <c r="BC58" i="31" s="1"/>
  <c r="H68" i="31"/>
  <c r="I68" i="31" s="1"/>
  <c r="J68" i="31" s="1"/>
  <c r="K68" i="31" s="1"/>
  <c r="L68" i="31" s="1"/>
  <c r="G73" i="31"/>
  <c r="H73" i="31" s="1"/>
  <c r="I73" i="31" s="1"/>
  <c r="J73" i="31" s="1"/>
  <c r="K73" i="31" s="1"/>
  <c r="L73" i="31" s="1"/>
  <c r="BA66" i="31"/>
  <c r="BB66" i="31" s="1"/>
  <c r="BC66" i="31" s="1"/>
  <c r="BA70" i="31"/>
  <c r="BB70" i="31" s="1"/>
  <c r="BC70" i="31" s="1"/>
  <c r="G70" i="31"/>
  <c r="H70" i="31" s="1"/>
  <c r="I70" i="31" s="1"/>
  <c r="J70" i="31" s="1"/>
  <c r="K70" i="31" s="1"/>
  <c r="L70" i="31" s="1"/>
  <c r="AD74" i="30"/>
  <c r="F74" i="30"/>
  <c r="BA56" i="30"/>
  <c r="BB56" i="30" s="1"/>
  <c r="BA52" i="30"/>
  <c r="BB52" i="30" s="1"/>
  <c r="BA69" i="30"/>
  <c r="BB69" i="30" s="1"/>
  <c r="BC69" i="30" s="1"/>
  <c r="BA12" i="30"/>
  <c r="BB12" i="30" s="1"/>
  <c r="BC12" i="30" s="1"/>
  <c r="BA16" i="30"/>
  <c r="BB16" i="30" s="1"/>
  <c r="BC16" i="30" s="1"/>
  <c r="BA20" i="30"/>
  <c r="BB20" i="30" s="1"/>
  <c r="BC20" i="30" s="1"/>
  <c r="BA14" i="30"/>
  <c r="BB14" i="30" s="1"/>
  <c r="BC14" i="30" s="1"/>
  <c r="BA18" i="30"/>
  <c r="BB18" i="30" s="1"/>
  <c r="BC18" i="30" s="1"/>
  <c r="X74" i="30"/>
  <c r="AG74" i="30"/>
  <c r="BA13" i="30"/>
  <c r="BB13" i="30" s="1"/>
  <c r="BC13" i="30" s="1"/>
  <c r="BA17" i="30"/>
  <c r="BB17" i="30" s="1"/>
  <c r="BC17" i="30" s="1"/>
  <c r="BA22" i="30"/>
  <c r="BB22" i="30" s="1"/>
  <c r="BC22" i="30" s="1"/>
  <c r="BA27" i="30"/>
  <c r="BB27" i="30" s="1"/>
  <c r="BC27" i="30" s="1"/>
  <c r="G30" i="30"/>
  <c r="H30" i="30" s="1"/>
  <c r="I30" i="30" s="1"/>
  <c r="J30" i="30" s="1"/>
  <c r="K30" i="30" s="1"/>
  <c r="L30" i="30" s="1"/>
  <c r="H32" i="30"/>
  <c r="I32" i="30" s="1"/>
  <c r="J32" i="30" s="1"/>
  <c r="K32" i="30" s="1"/>
  <c r="L32" i="30" s="1"/>
  <c r="G10" i="30"/>
  <c r="Y10" i="30"/>
  <c r="AH10" i="30"/>
  <c r="G15" i="30"/>
  <c r="H15" i="30" s="1"/>
  <c r="I15" i="30" s="1"/>
  <c r="J15" i="30" s="1"/>
  <c r="K15" i="30" s="1"/>
  <c r="L15" i="30" s="1"/>
  <c r="G19" i="30"/>
  <c r="H19" i="30" s="1"/>
  <c r="I19" i="30" s="1"/>
  <c r="J19" i="30" s="1"/>
  <c r="K19" i="30" s="1"/>
  <c r="L19" i="30" s="1"/>
  <c r="BA25" i="30"/>
  <c r="BB25" i="30" s="1"/>
  <c r="BC25" i="30" s="1"/>
  <c r="BA28" i="30"/>
  <c r="BB28" i="30" s="1"/>
  <c r="BC28" i="30" s="1"/>
  <c r="BA33" i="30"/>
  <c r="BB33" i="30" s="1"/>
  <c r="BC33" i="30" s="1"/>
  <c r="H40" i="30"/>
  <c r="I40" i="30" s="1"/>
  <c r="J40" i="30" s="1"/>
  <c r="K40" i="30" s="1"/>
  <c r="L40" i="30" s="1"/>
  <c r="AE74" i="30"/>
  <c r="BA11" i="30"/>
  <c r="BB11" i="30" s="1"/>
  <c r="BC11" i="30" s="1"/>
  <c r="BA23" i="30"/>
  <c r="BB23" i="30" s="1"/>
  <c r="BC23" i="30" s="1"/>
  <c r="BA26" i="30"/>
  <c r="BB26" i="30" s="1"/>
  <c r="BC26" i="30" s="1"/>
  <c r="BA31" i="30"/>
  <c r="BB31" i="30" s="1"/>
  <c r="BC31" i="30" s="1"/>
  <c r="G34" i="30"/>
  <c r="H34" i="30" s="1"/>
  <c r="I34" i="30" s="1"/>
  <c r="J34" i="30" s="1"/>
  <c r="K34" i="30" s="1"/>
  <c r="L34" i="30" s="1"/>
  <c r="BC52" i="30"/>
  <c r="W74" i="30"/>
  <c r="AF74" i="30"/>
  <c r="G21" i="30"/>
  <c r="H21" i="30" s="1"/>
  <c r="I21" i="30" s="1"/>
  <c r="J21" i="30" s="1"/>
  <c r="K21" i="30" s="1"/>
  <c r="L21" i="30" s="1"/>
  <c r="BA24" i="30"/>
  <c r="BB24" i="30" s="1"/>
  <c r="BC24" i="30" s="1"/>
  <c r="BA29" i="30"/>
  <c r="BB29" i="30" s="1"/>
  <c r="BC29" i="30" s="1"/>
  <c r="BA36" i="30"/>
  <c r="BB36" i="30" s="1"/>
  <c r="BC36" i="30" s="1"/>
  <c r="BC56" i="30"/>
  <c r="BA43" i="30"/>
  <c r="BB43" i="30" s="1"/>
  <c r="BC43" i="30" s="1"/>
  <c r="BA46" i="30"/>
  <c r="BB46" i="30" s="1"/>
  <c r="BC46" i="30" s="1"/>
  <c r="G46" i="30"/>
  <c r="H46" i="30" s="1"/>
  <c r="I46" i="30" s="1"/>
  <c r="J46" i="30" s="1"/>
  <c r="K46" i="30" s="1"/>
  <c r="L46" i="30" s="1"/>
  <c r="BA49" i="30"/>
  <c r="BB49" i="30" s="1"/>
  <c r="BC49" i="30" s="1"/>
  <c r="BA35" i="30"/>
  <c r="BB35" i="30" s="1"/>
  <c r="BC35" i="30" s="1"/>
  <c r="BA37" i="30"/>
  <c r="BB37" i="30" s="1"/>
  <c r="BC37" i="30" s="1"/>
  <c r="I60" i="30"/>
  <c r="J60" i="30" s="1"/>
  <c r="K60" i="30" s="1"/>
  <c r="L60" i="30" s="1"/>
  <c r="BA60" i="30"/>
  <c r="BB60" i="30" s="1"/>
  <c r="BC60" i="30" s="1"/>
  <c r="G38" i="30"/>
  <c r="H38" i="30" s="1"/>
  <c r="I38" i="30" s="1"/>
  <c r="J38" i="30" s="1"/>
  <c r="K38" i="30" s="1"/>
  <c r="L38" i="30" s="1"/>
  <c r="BA41" i="30"/>
  <c r="BB41" i="30" s="1"/>
  <c r="BC41" i="30" s="1"/>
  <c r="BA44" i="30"/>
  <c r="BB44" i="30" s="1"/>
  <c r="BC44" i="30" s="1"/>
  <c r="BA51" i="30"/>
  <c r="BB51" i="30" s="1"/>
  <c r="BC51" i="30" s="1"/>
  <c r="G51" i="30"/>
  <c r="H51" i="30" s="1"/>
  <c r="I51" i="30" s="1"/>
  <c r="J51" i="30" s="1"/>
  <c r="K51" i="30" s="1"/>
  <c r="L51" i="30" s="1"/>
  <c r="BA42" i="30"/>
  <c r="BB42" i="30" s="1"/>
  <c r="BC42" i="30" s="1"/>
  <c r="G42" i="30"/>
  <c r="H42" i="30" s="1"/>
  <c r="I42" i="30" s="1"/>
  <c r="J42" i="30" s="1"/>
  <c r="K42" i="30" s="1"/>
  <c r="L42" i="30" s="1"/>
  <c r="BA45" i="30"/>
  <c r="BB45" i="30" s="1"/>
  <c r="BC45" i="30" s="1"/>
  <c r="H67" i="30"/>
  <c r="I67" i="30" s="1"/>
  <c r="J67" i="30" s="1"/>
  <c r="K67" i="30" s="1"/>
  <c r="L67" i="30" s="1"/>
  <c r="BA70" i="30"/>
  <c r="BB70" i="30" s="1"/>
  <c r="BC70" i="30" s="1"/>
  <c r="G54" i="30"/>
  <c r="H54" i="30" s="1"/>
  <c r="I54" i="30" s="1"/>
  <c r="J54" i="30" s="1"/>
  <c r="K54" i="30" s="1"/>
  <c r="L54" i="30" s="1"/>
  <c r="BA58" i="30"/>
  <c r="BB58" i="30" s="1"/>
  <c r="BC58" i="30" s="1"/>
  <c r="G58" i="30"/>
  <c r="H58" i="30" s="1"/>
  <c r="I58" i="30" s="1"/>
  <c r="J58" i="30" s="1"/>
  <c r="K58" i="30" s="1"/>
  <c r="L58" i="30" s="1"/>
  <c r="G62" i="30"/>
  <c r="H62" i="30" s="1"/>
  <c r="I62" i="30" s="1"/>
  <c r="J62" i="30" s="1"/>
  <c r="K62" i="30" s="1"/>
  <c r="L62" i="30" s="1"/>
  <c r="BA48" i="30"/>
  <c r="BB48" i="30" s="1"/>
  <c r="BC48" i="30" s="1"/>
  <c r="BA53" i="30"/>
  <c r="BB53" i="30" s="1"/>
  <c r="BC53" i="30" s="1"/>
  <c r="H53" i="30"/>
  <c r="I53" i="30" s="1"/>
  <c r="J53" i="30" s="1"/>
  <c r="K53" i="30" s="1"/>
  <c r="L53" i="30" s="1"/>
  <c r="BA57" i="30"/>
  <c r="BB57" i="30" s="1"/>
  <c r="BC57" i="30" s="1"/>
  <c r="H57" i="30"/>
  <c r="I57" i="30" s="1"/>
  <c r="J57" i="30" s="1"/>
  <c r="K57" i="30" s="1"/>
  <c r="L57" i="30" s="1"/>
  <c r="BA61" i="30"/>
  <c r="BB61" i="30" s="1"/>
  <c r="BC61" i="30" s="1"/>
  <c r="H61" i="30"/>
  <c r="I61" i="30" s="1"/>
  <c r="J61" i="30" s="1"/>
  <c r="K61" i="30" s="1"/>
  <c r="L61" i="30" s="1"/>
  <c r="H39" i="30"/>
  <c r="I39" i="30" s="1"/>
  <c r="J39" i="30" s="1"/>
  <c r="K39" i="30" s="1"/>
  <c r="L39" i="30" s="1"/>
  <c r="H47" i="30"/>
  <c r="I47" i="30" s="1"/>
  <c r="J47" i="30" s="1"/>
  <c r="K47" i="30" s="1"/>
  <c r="L47" i="30" s="1"/>
  <c r="G50" i="30"/>
  <c r="H50" i="30" s="1"/>
  <c r="I50" i="30" s="1"/>
  <c r="J50" i="30" s="1"/>
  <c r="K50" i="30" s="1"/>
  <c r="L50" i="30" s="1"/>
  <c r="BA65" i="30"/>
  <c r="BB65" i="30" s="1"/>
  <c r="BC65" i="30" s="1"/>
  <c r="G55" i="30"/>
  <c r="H55" i="30" s="1"/>
  <c r="I55" i="30" s="1"/>
  <c r="J55" i="30" s="1"/>
  <c r="K55" i="30" s="1"/>
  <c r="L55" i="30" s="1"/>
  <c r="G59" i="30"/>
  <c r="H59" i="30" s="1"/>
  <c r="I59" i="30" s="1"/>
  <c r="J59" i="30" s="1"/>
  <c r="K59" i="30" s="1"/>
  <c r="L59" i="30" s="1"/>
  <c r="G63" i="30"/>
  <c r="H63" i="30" s="1"/>
  <c r="I63" i="30" s="1"/>
  <c r="J63" i="30" s="1"/>
  <c r="K63" i="30" s="1"/>
  <c r="L63" i="30" s="1"/>
  <c r="G64" i="30"/>
  <c r="H64" i="30" s="1"/>
  <c r="I64" i="30" s="1"/>
  <c r="J64" i="30" s="1"/>
  <c r="K64" i="30" s="1"/>
  <c r="L64" i="30" s="1"/>
  <c r="BA66" i="30"/>
  <c r="BB66" i="30" s="1"/>
  <c r="BC66" i="30" s="1"/>
  <c r="BA71" i="30"/>
  <c r="BB71" i="30" s="1"/>
  <c r="BC71" i="30" s="1"/>
  <c r="H71" i="30"/>
  <c r="I71" i="30" s="1"/>
  <c r="J71" i="30" s="1"/>
  <c r="K71" i="30" s="1"/>
  <c r="L71" i="30" s="1"/>
  <c r="BA73" i="30"/>
  <c r="BB73" i="30" s="1"/>
  <c r="BC73" i="30" s="1"/>
  <c r="BA68" i="30"/>
  <c r="BB68" i="30" s="1"/>
  <c r="BC68" i="30" s="1"/>
  <c r="BA72" i="30"/>
  <c r="BB72" i="30" s="1"/>
  <c r="BC72" i="30" s="1"/>
  <c r="G70" i="30"/>
  <c r="H70" i="30" s="1"/>
  <c r="I70" i="30" s="1"/>
  <c r="J70" i="30" s="1"/>
  <c r="K70" i="30" s="1"/>
  <c r="L70" i="30" s="1"/>
  <c r="BC32" i="29"/>
  <c r="BA55" i="29"/>
  <c r="BB55" i="29" s="1"/>
  <c r="V74" i="29"/>
  <c r="BA68" i="29"/>
  <c r="BB68" i="29" s="1"/>
  <c r="BC68" i="29" s="1"/>
  <c r="I26" i="29"/>
  <c r="J26" i="29" s="1"/>
  <c r="K26" i="29" s="1"/>
  <c r="L26" i="29" s="1"/>
  <c r="H15" i="29"/>
  <c r="I15" i="29" s="1"/>
  <c r="J15" i="29" s="1"/>
  <c r="K15" i="29" s="1"/>
  <c r="L15" i="29" s="1"/>
  <c r="H18" i="29"/>
  <c r="I18" i="29" s="1"/>
  <c r="J18" i="29" s="1"/>
  <c r="K18" i="29" s="1"/>
  <c r="L18" i="29" s="1"/>
  <c r="BA18" i="29"/>
  <c r="BB18" i="29" s="1"/>
  <c r="BC18" i="29" s="1"/>
  <c r="BA13" i="29"/>
  <c r="BB13" i="29" s="1"/>
  <c r="BC13" i="29" s="1"/>
  <c r="AE74" i="29"/>
  <c r="BA11" i="29"/>
  <c r="BB11" i="29" s="1"/>
  <c r="BC11" i="29" s="1"/>
  <c r="BA19" i="29"/>
  <c r="BB19" i="29" s="1"/>
  <c r="BC19" i="29" s="1"/>
  <c r="BA59" i="29"/>
  <c r="BB59" i="29" s="1"/>
  <c r="BC59" i="29" s="1"/>
  <c r="N74" i="29"/>
  <c r="W10" i="29"/>
  <c r="AF10" i="29"/>
  <c r="H12" i="29"/>
  <c r="I12" i="29" s="1"/>
  <c r="J12" i="29" s="1"/>
  <c r="K12" i="29" s="1"/>
  <c r="L12" i="29" s="1"/>
  <c r="G13" i="29"/>
  <c r="H13" i="29" s="1"/>
  <c r="I13" i="29" s="1"/>
  <c r="J13" i="29" s="1"/>
  <c r="K13" i="29" s="1"/>
  <c r="L13" i="29" s="1"/>
  <c r="H16" i="29"/>
  <c r="I16" i="29" s="1"/>
  <c r="J16" i="29" s="1"/>
  <c r="K16" i="29" s="1"/>
  <c r="L16" i="29" s="1"/>
  <c r="G25" i="29"/>
  <c r="H25" i="29" s="1"/>
  <c r="I25" i="29" s="1"/>
  <c r="J25" i="29" s="1"/>
  <c r="K25" i="29" s="1"/>
  <c r="L25" i="29" s="1"/>
  <c r="BC55" i="29"/>
  <c r="F74" i="29"/>
  <c r="O10" i="29"/>
  <c r="AL74" i="29"/>
  <c r="G14" i="29"/>
  <c r="H14" i="29" s="1"/>
  <c r="I14" i="29" s="1"/>
  <c r="J14" i="29" s="1"/>
  <c r="K14" i="29" s="1"/>
  <c r="L14" i="29" s="1"/>
  <c r="BA17" i="29"/>
  <c r="BB17" i="29" s="1"/>
  <c r="BC17" i="29" s="1"/>
  <c r="G20" i="29"/>
  <c r="H20" i="29" s="1"/>
  <c r="I20" i="29" s="1"/>
  <c r="J20" i="29" s="1"/>
  <c r="K20" i="29" s="1"/>
  <c r="L20" i="29" s="1"/>
  <c r="BA23" i="29"/>
  <c r="BB23" i="29" s="1"/>
  <c r="BC23" i="29" s="1"/>
  <c r="BA29" i="29"/>
  <c r="BB29" i="29" s="1"/>
  <c r="BC29" i="29" s="1"/>
  <c r="BA37" i="29"/>
  <c r="BB37" i="29" s="1"/>
  <c r="BC37" i="29" s="1"/>
  <c r="BC44" i="29"/>
  <c r="H22" i="29"/>
  <c r="I22" i="29" s="1"/>
  <c r="J22" i="29" s="1"/>
  <c r="K22" i="29" s="1"/>
  <c r="L22" i="29" s="1"/>
  <c r="G28" i="29"/>
  <c r="H28" i="29" s="1"/>
  <c r="I28" i="29" s="1"/>
  <c r="J28" i="29" s="1"/>
  <c r="K28" i="29" s="1"/>
  <c r="L28" i="29" s="1"/>
  <c r="BA33" i="29"/>
  <c r="BB33" i="29" s="1"/>
  <c r="BC33" i="29" s="1"/>
  <c r="G34" i="29"/>
  <c r="H34" i="29" s="1"/>
  <c r="I34" i="29" s="1"/>
  <c r="J34" i="29" s="1"/>
  <c r="K34" i="29" s="1"/>
  <c r="L34" i="29" s="1"/>
  <c r="BC47" i="29"/>
  <c r="G10" i="29"/>
  <c r="AD74" i="29"/>
  <c r="AM10" i="29"/>
  <c r="BA21" i="29"/>
  <c r="BB21" i="29" s="1"/>
  <c r="BC21" i="29" s="1"/>
  <c r="G21" i="29"/>
  <c r="H21" i="29" s="1"/>
  <c r="I21" i="29" s="1"/>
  <c r="J21" i="29" s="1"/>
  <c r="K21" i="29" s="1"/>
  <c r="L21" i="29" s="1"/>
  <c r="BA24" i="29"/>
  <c r="BB24" i="29" s="1"/>
  <c r="BC24" i="29" s="1"/>
  <c r="BA31" i="29"/>
  <c r="BB31" i="29" s="1"/>
  <c r="BC31" i="29" s="1"/>
  <c r="G31" i="29"/>
  <c r="H31" i="29" s="1"/>
  <c r="I31" i="29" s="1"/>
  <c r="J31" i="29" s="1"/>
  <c r="K31" i="29" s="1"/>
  <c r="L31" i="29" s="1"/>
  <c r="BA36" i="29"/>
  <c r="BB36" i="29" s="1"/>
  <c r="BC36" i="29" s="1"/>
  <c r="G39" i="29"/>
  <c r="H39" i="29" s="1"/>
  <c r="I39" i="29" s="1"/>
  <c r="J39" i="29" s="1"/>
  <c r="K39" i="29" s="1"/>
  <c r="L39" i="29" s="1"/>
  <c r="I51" i="29"/>
  <c r="J51" i="29" s="1"/>
  <c r="K51" i="29" s="1"/>
  <c r="L51" i="29" s="1"/>
  <c r="BA51" i="29"/>
  <c r="BB51" i="29" s="1"/>
  <c r="BC51" i="29" s="1"/>
  <c r="BA30" i="29"/>
  <c r="BB30" i="29" s="1"/>
  <c r="BC30" i="29" s="1"/>
  <c r="BA35" i="29"/>
  <c r="BB35" i="29" s="1"/>
  <c r="BC35" i="29" s="1"/>
  <c r="G35" i="29"/>
  <c r="H35" i="29" s="1"/>
  <c r="I35" i="29" s="1"/>
  <c r="J35" i="29" s="1"/>
  <c r="K35" i="29" s="1"/>
  <c r="L35" i="29" s="1"/>
  <c r="BA38" i="29"/>
  <c r="BB38" i="29" s="1"/>
  <c r="BC38" i="29" s="1"/>
  <c r="BA45" i="29"/>
  <c r="BB45" i="29" s="1"/>
  <c r="BC45" i="29" s="1"/>
  <c r="G45" i="29"/>
  <c r="H45" i="29" s="1"/>
  <c r="I45" i="29" s="1"/>
  <c r="J45" i="29" s="1"/>
  <c r="K45" i="29" s="1"/>
  <c r="L45" i="29" s="1"/>
  <c r="BA46" i="29"/>
  <c r="BB46" i="29" s="1"/>
  <c r="BC46" i="29" s="1"/>
  <c r="BA54" i="29"/>
  <c r="BB54" i="29" s="1"/>
  <c r="BC54" i="29" s="1"/>
  <c r="BA27" i="29"/>
  <c r="BB27" i="29" s="1"/>
  <c r="BC27" i="29" s="1"/>
  <c r="G30" i="29"/>
  <c r="H30" i="29" s="1"/>
  <c r="I30" i="29" s="1"/>
  <c r="J30" i="29" s="1"/>
  <c r="K30" i="29" s="1"/>
  <c r="L30" i="29" s="1"/>
  <c r="G38" i="29"/>
  <c r="H38" i="29" s="1"/>
  <c r="I38" i="29" s="1"/>
  <c r="J38" i="29" s="1"/>
  <c r="K38" i="29" s="1"/>
  <c r="L38" i="29" s="1"/>
  <c r="BA43" i="29"/>
  <c r="BB43" i="29" s="1"/>
  <c r="BC43" i="29" s="1"/>
  <c r="BA52" i="29"/>
  <c r="BB52" i="29" s="1"/>
  <c r="BC52" i="29" s="1"/>
  <c r="BA41" i="29"/>
  <c r="BB41" i="29" s="1"/>
  <c r="BC41" i="29" s="1"/>
  <c r="BA48" i="29"/>
  <c r="BB48" i="29" s="1"/>
  <c r="BC48" i="29" s="1"/>
  <c r="BA49" i="29"/>
  <c r="BB49" i="29" s="1"/>
  <c r="BC49" i="29" s="1"/>
  <c r="G49" i="29"/>
  <c r="H49" i="29" s="1"/>
  <c r="I49" i="29" s="1"/>
  <c r="J49" i="29" s="1"/>
  <c r="K49" i="29" s="1"/>
  <c r="L49" i="29" s="1"/>
  <c r="BA50" i="29"/>
  <c r="BB50" i="29" s="1"/>
  <c r="BC50" i="29" s="1"/>
  <c r="G53" i="29"/>
  <c r="H53" i="29" s="1"/>
  <c r="I53" i="29" s="1"/>
  <c r="J53" i="29" s="1"/>
  <c r="K53" i="29" s="1"/>
  <c r="L53" i="29" s="1"/>
  <c r="BA58" i="29"/>
  <c r="BB58" i="29" s="1"/>
  <c r="BC58" i="29" s="1"/>
  <c r="BA72" i="29"/>
  <c r="BB72" i="29" s="1"/>
  <c r="BC72" i="29" s="1"/>
  <c r="G40" i="29"/>
  <c r="H40" i="29" s="1"/>
  <c r="I40" i="29" s="1"/>
  <c r="J40" i="29" s="1"/>
  <c r="K40" i="29" s="1"/>
  <c r="L40" i="29" s="1"/>
  <c r="H42" i="29"/>
  <c r="I42" i="29" s="1"/>
  <c r="J42" i="29" s="1"/>
  <c r="K42" i="29" s="1"/>
  <c r="L42" i="29" s="1"/>
  <c r="BA60" i="29"/>
  <c r="BB60" i="29" s="1"/>
  <c r="BC60" i="29" s="1"/>
  <c r="G61" i="29"/>
  <c r="H61" i="29" s="1"/>
  <c r="I61" i="29" s="1"/>
  <c r="J61" i="29" s="1"/>
  <c r="K61" i="29" s="1"/>
  <c r="L61" i="29" s="1"/>
  <c r="BA62" i="29"/>
  <c r="BB62" i="29" s="1"/>
  <c r="BC62" i="29" s="1"/>
  <c r="BA63" i="29"/>
  <c r="BB63" i="29" s="1"/>
  <c r="BC63" i="29" s="1"/>
  <c r="BA71" i="29"/>
  <c r="BB71" i="29" s="1"/>
  <c r="BC71" i="29" s="1"/>
  <c r="G57" i="29"/>
  <c r="H57" i="29" s="1"/>
  <c r="I57" i="29" s="1"/>
  <c r="J57" i="29" s="1"/>
  <c r="K57" i="29" s="1"/>
  <c r="L57" i="29" s="1"/>
  <c r="BA64" i="29"/>
  <c r="BB64" i="29" s="1"/>
  <c r="BC64" i="29" s="1"/>
  <c r="G65" i="29"/>
  <c r="H65" i="29" s="1"/>
  <c r="I65" i="29" s="1"/>
  <c r="J65" i="29" s="1"/>
  <c r="K65" i="29" s="1"/>
  <c r="L65" i="29" s="1"/>
  <c r="BA67" i="29"/>
  <c r="BB67" i="29" s="1"/>
  <c r="BC67" i="29" s="1"/>
  <c r="H67" i="29"/>
  <c r="I67" i="29" s="1"/>
  <c r="J67" i="29" s="1"/>
  <c r="K67" i="29" s="1"/>
  <c r="L67" i="29" s="1"/>
  <c r="H54" i="29"/>
  <c r="I54" i="29" s="1"/>
  <c r="J54" i="29" s="1"/>
  <c r="K54" i="29" s="1"/>
  <c r="L54" i="29" s="1"/>
  <c r="BA56" i="29"/>
  <c r="BB56" i="29" s="1"/>
  <c r="BC56" i="29" s="1"/>
  <c r="BA66" i="29"/>
  <c r="BB66" i="29" s="1"/>
  <c r="BC66" i="29" s="1"/>
  <c r="BA70" i="29"/>
  <c r="BB70" i="29" s="1"/>
  <c r="BC70" i="29" s="1"/>
  <c r="G70" i="29"/>
  <c r="H70" i="29" s="1"/>
  <c r="I70" i="29" s="1"/>
  <c r="J70" i="29" s="1"/>
  <c r="K70" i="29" s="1"/>
  <c r="L70" i="29" s="1"/>
  <c r="BA73" i="29"/>
  <c r="BB73" i="29" s="1"/>
  <c r="BC73" i="29" s="1"/>
  <c r="BA69" i="29"/>
  <c r="BB69" i="29" s="1"/>
  <c r="BC69" i="29" s="1"/>
  <c r="V74" i="28"/>
  <c r="BA29" i="28"/>
  <c r="BB29" i="28" s="1"/>
  <c r="BC29" i="28" s="1"/>
  <c r="G60" i="28"/>
  <c r="H60" i="28" s="1"/>
  <c r="I60" i="28" s="1"/>
  <c r="J60" i="28" s="1"/>
  <c r="K60" i="28" s="1"/>
  <c r="L60" i="28" s="1"/>
  <c r="H68" i="28"/>
  <c r="I68" i="28" s="1"/>
  <c r="J68" i="28" s="1"/>
  <c r="K68" i="28" s="1"/>
  <c r="L68" i="28" s="1"/>
  <c r="I24" i="28"/>
  <c r="J24" i="28" s="1"/>
  <c r="K24" i="28" s="1"/>
  <c r="L24" i="28" s="1"/>
  <c r="O74" i="28"/>
  <c r="P10" i="28"/>
  <c r="H19" i="28"/>
  <c r="I19" i="28" s="1"/>
  <c r="J19" i="28" s="1"/>
  <c r="K19" i="28" s="1"/>
  <c r="L19" i="28" s="1"/>
  <c r="H15" i="28"/>
  <c r="I15" i="28" s="1"/>
  <c r="J15" i="28" s="1"/>
  <c r="K15" i="28" s="1"/>
  <c r="L15" i="28" s="1"/>
  <c r="BA33" i="28"/>
  <c r="BB33" i="28" s="1"/>
  <c r="BC33" i="28" s="1"/>
  <c r="BA31" i="28"/>
  <c r="BB31" i="28" s="1"/>
  <c r="BC31" i="28" s="1"/>
  <c r="G31" i="28"/>
  <c r="H31" i="28" s="1"/>
  <c r="I31" i="28" s="1"/>
  <c r="J31" i="28" s="1"/>
  <c r="K31" i="28" s="1"/>
  <c r="L31" i="28" s="1"/>
  <c r="BA37" i="28"/>
  <c r="BB37" i="28" s="1"/>
  <c r="BC37" i="28" s="1"/>
  <c r="H12" i="28"/>
  <c r="I12" i="28" s="1"/>
  <c r="J12" i="28" s="1"/>
  <c r="K12" i="28" s="1"/>
  <c r="L12" i="28" s="1"/>
  <c r="G13" i="28"/>
  <c r="H13" i="28" s="1"/>
  <c r="I13" i="28" s="1"/>
  <c r="J13" i="28" s="1"/>
  <c r="K13" i="28" s="1"/>
  <c r="L13" i="28" s="1"/>
  <c r="G17" i="28"/>
  <c r="H17" i="28" s="1"/>
  <c r="I17" i="28" s="1"/>
  <c r="J17" i="28" s="1"/>
  <c r="K17" i="28" s="1"/>
  <c r="L17" i="28" s="1"/>
  <c r="G21" i="28"/>
  <c r="H21" i="28" s="1"/>
  <c r="I21" i="28" s="1"/>
  <c r="J21" i="28" s="1"/>
  <c r="K21" i="28" s="1"/>
  <c r="L21" i="28" s="1"/>
  <c r="H25" i="28"/>
  <c r="I25" i="28" s="1"/>
  <c r="J25" i="28" s="1"/>
  <c r="K25" i="28" s="1"/>
  <c r="L25" i="28" s="1"/>
  <c r="H32" i="28"/>
  <c r="I32" i="28" s="1"/>
  <c r="J32" i="28" s="1"/>
  <c r="K32" i="28" s="1"/>
  <c r="L32" i="28" s="1"/>
  <c r="G35" i="28"/>
  <c r="H35" i="28" s="1"/>
  <c r="I35" i="28" s="1"/>
  <c r="J35" i="28" s="1"/>
  <c r="K35" i="28" s="1"/>
  <c r="L35" i="28" s="1"/>
  <c r="BA41" i="28"/>
  <c r="BB41" i="28" s="1"/>
  <c r="BC41" i="28" s="1"/>
  <c r="F74" i="28"/>
  <c r="AL74" i="28"/>
  <c r="G14" i="28"/>
  <c r="H14" i="28" s="1"/>
  <c r="I14" i="28" s="1"/>
  <c r="J14" i="28" s="1"/>
  <c r="K14" i="28" s="1"/>
  <c r="L14" i="28" s="1"/>
  <c r="G18" i="28"/>
  <c r="H18" i="28" s="1"/>
  <c r="I18" i="28" s="1"/>
  <c r="J18" i="28" s="1"/>
  <c r="K18" i="28" s="1"/>
  <c r="L18" i="28" s="1"/>
  <c r="G22" i="28"/>
  <c r="H22" i="28" s="1"/>
  <c r="I22" i="28" s="1"/>
  <c r="J22" i="28" s="1"/>
  <c r="K22" i="28" s="1"/>
  <c r="L22" i="28" s="1"/>
  <c r="BA30" i="28"/>
  <c r="BB30" i="28" s="1"/>
  <c r="BC30" i="28" s="1"/>
  <c r="BA38" i="28"/>
  <c r="BB38" i="28" s="1"/>
  <c r="BC38" i="28" s="1"/>
  <c r="H49" i="28"/>
  <c r="I49" i="28" s="1"/>
  <c r="J49" i="28" s="1"/>
  <c r="K49" i="28" s="1"/>
  <c r="L49" i="28" s="1"/>
  <c r="BA11" i="28"/>
  <c r="BB11" i="28" s="1"/>
  <c r="BC11" i="28" s="1"/>
  <c r="BA28" i="28"/>
  <c r="BB28" i="28" s="1"/>
  <c r="BC28" i="28" s="1"/>
  <c r="H28" i="28"/>
  <c r="I28" i="28" s="1"/>
  <c r="J28" i="28" s="1"/>
  <c r="K28" i="28" s="1"/>
  <c r="L28" i="28" s="1"/>
  <c r="G39" i="28"/>
  <c r="H39" i="28" s="1"/>
  <c r="I39" i="28" s="1"/>
  <c r="J39" i="28" s="1"/>
  <c r="K39" i="28" s="1"/>
  <c r="L39" i="28" s="1"/>
  <c r="N74" i="28"/>
  <c r="W10" i="28"/>
  <c r="H16" i="28"/>
  <c r="I16" i="28" s="1"/>
  <c r="J16" i="28" s="1"/>
  <c r="K16" i="28" s="1"/>
  <c r="L16" i="28" s="1"/>
  <c r="H20" i="28"/>
  <c r="I20" i="28" s="1"/>
  <c r="J20" i="28" s="1"/>
  <c r="K20" i="28" s="1"/>
  <c r="L20" i="28" s="1"/>
  <c r="BA26" i="28"/>
  <c r="BB26" i="28" s="1"/>
  <c r="BC26" i="28" s="1"/>
  <c r="G10" i="28"/>
  <c r="AM10" i="28"/>
  <c r="G23" i="28"/>
  <c r="H23" i="28" s="1"/>
  <c r="I23" i="28" s="1"/>
  <c r="J23" i="28" s="1"/>
  <c r="K23" i="28" s="1"/>
  <c r="L23" i="28" s="1"/>
  <c r="BA27" i="28"/>
  <c r="BB27" i="28" s="1"/>
  <c r="BC27" i="28" s="1"/>
  <c r="G27" i="28"/>
  <c r="H27" i="28" s="1"/>
  <c r="I27" i="28" s="1"/>
  <c r="J27" i="28" s="1"/>
  <c r="K27" i="28" s="1"/>
  <c r="L27" i="28" s="1"/>
  <c r="BA34" i="28"/>
  <c r="BB34" i="28" s="1"/>
  <c r="BC34" i="28" s="1"/>
  <c r="BA45" i="28"/>
  <c r="BB45" i="28" s="1"/>
  <c r="BC45" i="28" s="1"/>
  <c r="BA42" i="28"/>
  <c r="BB42" i="28" s="1"/>
  <c r="BC42" i="28" s="1"/>
  <c r="G47" i="28"/>
  <c r="H47" i="28" s="1"/>
  <c r="I47" i="28" s="1"/>
  <c r="J47" i="28" s="1"/>
  <c r="K47" i="28" s="1"/>
  <c r="L47" i="28" s="1"/>
  <c r="BA52" i="28"/>
  <c r="BB52" i="28" s="1"/>
  <c r="BC52" i="28" s="1"/>
  <c r="G36" i="28"/>
  <c r="H36" i="28" s="1"/>
  <c r="I36" i="28" s="1"/>
  <c r="J36" i="28" s="1"/>
  <c r="K36" i="28" s="1"/>
  <c r="L36" i="28" s="1"/>
  <c r="G40" i="28"/>
  <c r="H40" i="28" s="1"/>
  <c r="I40" i="28" s="1"/>
  <c r="J40" i="28" s="1"/>
  <c r="K40" i="28" s="1"/>
  <c r="L40" i="28" s="1"/>
  <c r="BA43" i="28"/>
  <c r="BB43" i="28" s="1"/>
  <c r="BC43" i="28" s="1"/>
  <c r="H46" i="28"/>
  <c r="I46" i="28" s="1"/>
  <c r="J46" i="28" s="1"/>
  <c r="K46" i="28" s="1"/>
  <c r="L46" i="28" s="1"/>
  <c r="BA56" i="28"/>
  <c r="BB56" i="28" s="1"/>
  <c r="BC56" i="28" s="1"/>
  <c r="P64" i="28"/>
  <c r="Q64" i="28" s="1"/>
  <c r="R64" i="28" s="1"/>
  <c r="S64" i="28" s="1"/>
  <c r="T64" i="28" s="1"/>
  <c r="BA64" i="28"/>
  <c r="BB64" i="28" s="1"/>
  <c r="BC64" i="28" s="1"/>
  <c r="G58" i="28"/>
  <c r="H58" i="28" s="1"/>
  <c r="I58" i="28" s="1"/>
  <c r="J58" i="28" s="1"/>
  <c r="K58" i="28" s="1"/>
  <c r="L58" i="28" s="1"/>
  <c r="BA54" i="28"/>
  <c r="BB54" i="28" s="1"/>
  <c r="BC54" i="28" s="1"/>
  <c r="G54" i="28"/>
  <c r="H54" i="28" s="1"/>
  <c r="I54" i="28" s="1"/>
  <c r="J54" i="28" s="1"/>
  <c r="K54" i="28" s="1"/>
  <c r="L54" i="28" s="1"/>
  <c r="BA61" i="28"/>
  <c r="BB61" i="28" s="1"/>
  <c r="BC61" i="28" s="1"/>
  <c r="G44" i="28"/>
  <c r="H44" i="28" s="1"/>
  <c r="I44" i="28" s="1"/>
  <c r="J44" i="28" s="1"/>
  <c r="K44" i="28" s="1"/>
  <c r="L44" i="28" s="1"/>
  <c r="G48" i="28"/>
  <c r="H48" i="28" s="1"/>
  <c r="I48" i="28" s="1"/>
  <c r="J48" i="28" s="1"/>
  <c r="K48" i="28" s="1"/>
  <c r="L48" i="28" s="1"/>
  <c r="BA57" i="28"/>
  <c r="BB57" i="28" s="1"/>
  <c r="BC57" i="28" s="1"/>
  <c r="BA65" i="28"/>
  <c r="BB65" i="28" s="1"/>
  <c r="BC65" i="28" s="1"/>
  <c r="G66" i="28"/>
  <c r="H66" i="28" s="1"/>
  <c r="I66" i="28" s="1"/>
  <c r="J66" i="28" s="1"/>
  <c r="K66" i="28" s="1"/>
  <c r="L66" i="28" s="1"/>
  <c r="BA50" i="28"/>
  <c r="BB50" i="28" s="1"/>
  <c r="BC50" i="28" s="1"/>
  <c r="BA53" i="28"/>
  <c r="BB53" i="28" s="1"/>
  <c r="BC53" i="28" s="1"/>
  <c r="BA62" i="28"/>
  <c r="BB62" i="28" s="1"/>
  <c r="BC62" i="28" s="1"/>
  <c r="G62" i="28"/>
  <c r="H62" i="28" s="1"/>
  <c r="I62" i="28" s="1"/>
  <c r="J62" i="28" s="1"/>
  <c r="K62" i="28" s="1"/>
  <c r="L62" i="28" s="1"/>
  <c r="I72" i="28"/>
  <c r="J72" i="28" s="1"/>
  <c r="K72" i="28" s="1"/>
  <c r="L72" i="28" s="1"/>
  <c r="G51" i="28"/>
  <c r="H51" i="28" s="1"/>
  <c r="I51" i="28" s="1"/>
  <c r="J51" i="28" s="1"/>
  <c r="K51" i="28" s="1"/>
  <c r="L51" i="28" s="1"/>
  <c r="G55" i="28"/>
  <c r="H55" i="28" s="1"/>
  <c r="I55" i="28" s="1"/>
  <c r="J55" i="28" s="1"/>
  <c r="K55" i="28" s="1"/>
  <c r="L55" i="28" s="1"/>
  <c r="G59" i="28"/>
  <c r="H59" i="28" s="1"/>
  <c r="I59" i="28" s="1"/>
  <c r="J59" i="28" s="1"/>
  <c r="K59" i="28" s="1"/>
  <c r="L59" i="28" s="1"/>
  <c r="G63" i="28"/>
  <c r="H63" i="28" s="1"/>
  <c r="I63" i="28" s="1"/>
  <c r="J63" i="28" s="1"/>
  <c r="K63" i="28" s="1"/>
  <c r="L63" i="28" s="1"/>
  <c r="BA63" i="28" s="1"/>
  <c r="BB63" i="28" s="1"/>
  <c r="BC63" i="28" s="1"/>
  <c r="BA73" i="28"/>
  <c r="BB73" i="28" s="1"/>
  <c r="BC73" i="28" s="1"/>
  <c r="BA69" i="28"/>
  <c r="BB69" i="28" s="1"/>
  <c r="BC69" i="28" s="1"/>
  <c r="G70" i="28"/>
  <c r="H70" i="28" s="1"/>
  <c r="I70" i="28" s="1"/>
  <c r="J70" i="28" s="1"/>
  <c r="K70" i="28" s="1"/>
  <c r="L70" i="28" s="1"/>
  <c r="G67" i="28"/>
  <c r="H67" i="28" s="1"/>
  <c r="I67" i="28" s="1"/>
  <c r="J67" i="28" s="1"/>
  <c r="K67" i="28" s="1"/>
  <c r="L67" i="28" s="1"/>
  <c r="G71" i="28"/>
  <c r="H71" i="28" s="1"/>
  <c r="I71" i="28" s="1"/>
  <c r="J71" i="28" s="1"/>
  <c r="K71" i="28" s="1"/>
  <c r="L71" i="28" s="1"/>
  <c r="BA32" i="27"/>
  <c r="BB32" i="27" s="1"/>
  <c r="BC32" i="27" s="1"/>
  <c r="V74" i="27"/>
  <c r="O74" i="27"/>
  <c r="P10" i="27"/>
  <c r="BA16" i="27"/>
  <c r="BB16" i="27" s="1"/>
  <c r="BC16" i="27" s="1"/>
  <c r="BA21" i="27"/>
  <c r="BB21" i="27" s="1"/>
  <c r="BC21" i="27" s="1"/>
  <c r="BA22" i="27"/>
  <c r="BB22" i="27" s="1"/>
  <c r="BC22" i="27" s="1"/>
  <c r="BA33" i="27"/>
  <c r="BB33" i="27" s="1"/>
  <c r="BC33" i="27" s="1"/>
  <c r="AN74" i="27"/>
  <c r="F74" i="27"/>
  <c r="AL74" i="27"/>
  <c r="BA13" i="27"/>
  <c r="BB13" i="27" s="1"/>
  <c r="BC13" i="27" s="1"/>
  <c r="G14" i="27"/>
  <c r="H14" i="27" s="1"/>
  <c r="I14" i="27" s="1"/>
  <c r="J14" i="27" s="1"/>
  <c r="K14" i="27" s="1"/>
  <c r="L14" i="27" s="1"/>
  <c r="BA17" i="27"/>
  <c r="BB17" i="27" s="1"/>
  <c r="BC17" i="27" s="1"/>
  <c r="BA18" i="27"/>
  <c r="BB18" i="27" s="1"/>
  <c r="BC18" i="27" s="1"/>
  <c r="G22" i="27"/>
  <c r="H22" i="27" s="1"/>
  <c r="I22" i="27" s="1"/>
  <c r="J22" i="27" s="1"/>
  <c r="K22" i="27" s="1"/>
  <c r="L22" i="27" s="1"/>
  <c r="BA26" i="27"/>
  <c r="BB26" i="27" s="1"/>
  <c r="BC26" i="27" s="1"/>
  <c r="G31" i="27"/>
  <c r="H31" i="27" s="1"/>
  <c r="I31" i="27" s="1"/>
  <c r="J31" i="27" s="1"/>
  <c r="K31" i="27" s="1"/>
  <c r="L31" i="27" s="1"/>
  <c r="BA37" i="27"/>
  <c r="BB37" i="27" s="1"/>
  <c r="BC37" i="27" s="1"/>
  <c r="BA41" i="27"/>
  <c r="BB41" i="27" s="1"/>
  <c r="BC41" i="27" s="1"/>
  <c r="BA42" i="27"/>
  <c r="BB42" i="27" s="1"/>
  <c r="BC42" i="27" s="1"/>
  <c r="BA47" i="27"/>
  <c r="BB47" i="27" s="1"/>
  <c r="BC47" i="27" s="1"/>
  <c r="G49" i="27"/>
  <c r="H49" i="27" s="1"/>
  <c r="I49" i="27" s="1"/>
  <c r="J49" i="27" s="1"/>
  <c r="K49" i="27" s="1"/>
  <c r="L49" i="27" s="1"/>
  <c r="H56" i="27"/>
  <c r="I56" i="27" s="1"/>
  <c r="J56" i="27" s="1"/>
  <c r="K56" i="27" s="1"/>
  <c r="L56" i="27" s="1"/>
  <c r="BA59" i="27"/>
  <c r="BB59" i="27" s="1"/>
  <c r="BC59" i="27" s="1"/>
  <c r="G59" i="27"/>
  <c r="H59" i="27" s="1"/>
  <c r="I59" i="27" s="1"/>
  <c r="J59" i="27" s="1"/>
  <c r="K59" i="27" s="1"/>
  <c r="L59" i="27" s="1"/>
  <c r="BC66" i="27"/>
  <c r="AE74" i="27"/>
  <c r="BA11" i="27"/>
  <c r="BB11" i="27" s="1"/>
  <c r="BC11" i="27" s="1"/>
  <c r="BA15" i="27"/>
  <c r="BB15" i="27" s="1"/>
  <c r="BC15" i="27" s="1"/>
  <c r="BA24" i="27"/>
  <c r="BB24" i="27" s="1"/>
  <c r="BC24" i="27" s="1"/>
  <c r="BA25" i="27"/>
  <c r="BB25" i="27" s="1"/>
  <c r="BC25" i="27" s="1"/>
  <c r="BA29" i="27"/>
  <c r="BB29" i="27" s="1"/>
  <c r="BC29" i="27" s="1"/>
  <c r="G30" i="27"/>
  <c r="H30" i="27" s="1"/>
  <c r="I30" i="27" s="1"/>
  <c r="J30" i="27" s="1"/>
  <c r="K30" i="27" s="1"/>
  <c r="L30" i="27" s="1"/>
  <c r="BA34" i="27"/>
  <c r="BB34" i="27" s="1"/>
  <c r="BC34" i="27" s="1"/>
  <c r="G43" i="27"/>
  <c r="H43" i="27" s="1"/>
  <c r="I43" i="27" s="1"/>
  <c r="J43" i="27" s="1"/>
  <c r="K43" i="27" s="1"/>
  <c r="L43" i="27" s="1"/>
  <c r="BA43" i="27"/>
  <c r="BB43" i="27" s="1"/>
  <c r="BC43" i="27" s="1"/>
  <c r="BA52" i="27"/>
  <c r="BB52" i="27" s="1"/>
  <c r="BC52" i="27" s="1"/>
  <c r="G58" i="27"/>
  <c r="H58" i="27" s="1"/>
  <c r="I58" i="27" s="1"/>
  <c r="J58" i="27" s="1"/>
  <c r="K58" i="27" s="1"/>
  <c r="L58" i="27" s="1"/>
  <c r="I10" i="27"/>
  <c r="N74" i="27"/>
  <c r="W10" i="27"/>
  <c r="AF10" i="27"/>
  <c r="AO10" i="27"/>
  <c r="H12" i="27"/>
  <c r="I12" i="27" s="1"/>
  <c r="J12" i="27" s="1"/>
  <c r="K12" i="27" s="1"/>
  <c r="L12" i="27" s="1"/>
  <c r="H16" i="27"/>
  <c r="I16" i="27" s="1"/>
  <c r="J16" i="27" s="1"/>
  <c r="K16" i="27" s="1"/>
  <c r="L16" i="27" s="1"/>
  <c r="G19" i="27"/>
  <c r="H19" i="27" s="1"/>
  <c r="I19" i="27" s="1"/>
  <c r="J19" i="27" s="1"/>
  <c r="K19" i="27" s="1"/>
  <c r="L19" i="27" s="1"/>
  <c r="BA23" i="27"/>
  <c r="BB23" i="27" s="1"/>
  <c r="BC23" i="27" s="1"/>
  <c r="H33" i="27"/>
  <c r="I33" i="27" s="1"/>
  <c r="J33" i="27" s="1"/>
  <c r="K33" i="27" s="1"/>
  <c r="L33" i="27" s="1"/>
  <c r="H38" i="27"/>
  <c r="I38" i="27" s="1"/>
  <c r="J38" i="27" s="1"/>
  <c r="K38" i="27" s="1"/>
  <c r="L38" i="27" s="1"/>
  <c r="H44" i="27"/>
  <c r="I44" i="27" s="1"/>
  <c r="J44" i="27" s="1"/>
  <c r="K44" i="27" s="1"/>
  <c r="L44" i="27" s="1"/>
  <c r="G50" i="27"/>
  <c r="H50" i="27" s="1"/>
  <c r="I50" i="27" s="1"/>
  <c r="J50" i="27" s="1"/>
  <c r="K50" i="27" s="1"/>
  <c r="L50" i="27" s="1"/>
  <c r="G54" i="27"/>
  <c r="H54" i="27" s="1"/>
  <c r="I54" i="27" s="1"/>
  <c r="J54" i="27" s="1"/>
  <c r="K54" i="27" s="1"/>
  <c r="L54" i="27" s="1"/>
  <c r="H70" i="27"/>
  <c r="I70" i="27" s="1"/>
  <c r="J70" i="27" s="1"/>
  <c r="K70" i="27" s="1"/>
  <c r="L70" i="27" s="1"/>
  <c r="BA70" i="27"/>
  <c r="BB70" i="27" s="1"/>
  <c r="BC70" i="27" s="1"/>
  <c r="AD74" i="27"/>
  <c r="AM74" i="27"/>
  <c r="BA20" i="27"/>
  <c r="BB20" i="27" s="1"/>
  <c r="BC20" i="27" s="1"/>
  <c r="BA27" i="27"/>
  <c r="BB27" i="27" s="1"/>
  <c r="BC27" i="27" s="1"/>
  <c r="BA36" i="27"/>
  <c r="BB36" i="27" s="1"/>
  <c r="BC36" i="27" s="1"/>
  <c r="BA55" i="27"/>
  <c r="BB55" i="27" s="1"/>
  <c r="BC55" i="27" s="1"/>
  <c r="G62" i="27"/>
  <c r="H62" i="27" s="1"/>
  <c r="I62" i="27" s="1"/>
  <c r="J62" i="27" s="1"/>
  <c r="K62" i="27" s="1"/>
  <c r="L62" i="27" s="1"/>
  <c r="H65" i="27"/>
  <c r="I65" i="27" s="1"/>
  <c r="J65" i="27" s="1"/>
  <c r="K65" i="27" s="1"/>
  <c r="L65" i="27" s="1"/>
  <c r="BA35" i="27"/>
  <c r="BB35" i="27" s="1"/>
  <c r="BC35" i="27" s="1"/>
  <c r="BA40" i="27"/>
  <c r="BB40" i="27" s="1"/>
  <c r="BC40" i="27" s="1"/>
  <c r="BA48" i="27"/>
  <c r="BB48" i="27" s="1"/>
  <c r="BC48" i="27" s="1"/>
  <c r="G57" i="27"/>
  <c r="H57" i="27" s="1"/>
  <c r="I57" i="27" s="1"/>
  <c r="J57" i="27" s="1"/>
  <c r="K57" i="27" s="1"/>
  <c r="L57" i="27" s="1"/>
  <c r="H60" i="27"/>
  <c r="I60" i="27" s="1"/>
  <c r="J60" i="27" s="1"/>
  <c r="K60" i="27" s="1"/>
  <c r="L60" i="27" s="1"/>
  <c r="BA61" i="27"/>
  <c r="BB61" i="27" s="1"/>
  <c r="BC61" i="27" s="1"/>
  <c r="BA28" i="27"/>
  <c r="BB28" i="27" s="1"/>
  <c r="BC28" i="27" s="1"/>
  <c r="BA39" i="27"/>
  <c r="BB39" i="27" s="1"/>
  <c r="BC39" i="27" s="1"/>
  <c r="I51" i="27"/>
  <c r="J51" i="27" s="1"/>
  <c r="K51" i="27" s="1"/>
  <c r="L51" i="27" s="1"/>
  <c r="J64" i="27"/>
  <c r="K64" i="27" s="1"/>
  <c r="L64" i="27" s="1"/>
  <c r="BA64" i="27"/>
  <c r="BB64" i="27" s="1"/>
  <c r="BC64" i="27" s="1"/>
  <c r="BA67" i="27"/>
  <c r="BB67" i="27" s="1"/>
  <c r="BC67" i="27" s="1"/>
  <c r="BA46" i="27"/>
  <c r="BB46" i="27" s="1"/>
  <c r="BC46" i="27" s="1"/>
  <c r="BA53" i="27"/>
  <c r="BB53" i="27" s="1"/>
  <c r="BC53" i="27" s="1"/>
  <c r="G63" i="27"/>
  <c r="H63" i="27" s="1"/>
  <c r="I63" i="27" s="1"/>
  <c r="J63" i="27" s="1"/>
  <c r="K63" i="27" s="1"/>
  <c r="L63" i="27" s="1"/>
  <c r="BA69" i="27"/>
  <c r="BB69" i="27" s="1"/>
  <c r="BC69" i="27" s="1"/>
  <c r="BA71" i="27"/>
  <c r="BB71" i="27" s="1"/>
  <c r="BC71" i="27" s="1"/>
  <c r="BA68" i="27"/>
  <c r="BB68" i="27" s="1"/>
  <c r="BC68" i="27" s="1"/>
  <c r="BA73" i="27"/>
  <c r="BB73" i="27" s="1"/>
  <c r="BC73" i="27" s="1"/>
  <c r="BA72" i="27"/>
  <c r="BB72" i="27" s="1"/>
  <c r="BC72" i="27" s="1"/>
  <c r="G73" i="26"/>
  <c r="G72" i="26"/>
  <c r="G71" i="26"/>
  <c r="G70" i="26"/>
  <c r="G69" i="26"/>
  <c r="G68" i="26"/>
  <c r="H68" i="26" s="1"/>
  <c r="J68" i="26" s="1"/>
  <c r="K68" i="26" s="1"/>
  <c r="L68" i="26" s="1"/>
  <c r="BA68" i="26"/>
  <c r="BB68" i="26" s="1"/>
  <c r="BC68" i="26" s="1"/>
  <c r="G67" i="26"/>
  <c r="H67" i="26" s="1"/>
  <c r="I67" i="26" s="1"/>
  <c r="J67" i="26" s="1"/>
  <c r="K67" i="26" s="1"/>
  <c r="L67" i="26" s="1"/>
  <c r="BA67" i="26"/>
  <c r="BB67" i="26" s="1"/>
  <c r="BC67" i="26" s="1"/>
  <c r="G66" i="26"/>
  <c r="H66" i="26" s="1"/>
  <c r="I66" i="26" s="1"/>
  <c r="J66" i="26" s="1"/>
  <c r="K66" i="26" s="1"/>
  <c r="L66" i="26" s="1"/>
  <c r="BA66" i="26"/>
  <c r="BB66" i="26" s="1"/>
  <c r="BC66" i="26" s="1"/>
  <c r="G65" i="26"/>
  <c r="G64" i="26"/>
  <c r="G63" i="26"/>
  <c r="H63" i="26" s="1"/>
  <c r="I63" i="26" s="1"/>
  <c r="J63" i="26" s="1"/>
  <c r="K63" i="26" s="1"/>
  <c r="L63" i="26" s="1"/>
  <c r="BA63" i="26"/>
  <c r="BB63" i="26" s="1"/>
  <c r="BC63" i="26" s="1"/>
  <c r="G62" i="26"/>
  <c r="H62" i="26" s="1"/>
  <c r="I62" i="26" s="1"/>
  <c r="J62" i="26" s="1"/>
  <c r="K62" i="26" s="1"/>
  <c r="L62" i="26" s="1"/>
  <c r="BA62" i="26"/>
  <c r="BB62" i="26" s="1"/>
  <c r="BC62" i="26" s="1"/>
  <c r="G61" i="26"/>
  <c r="G60" i="26"/>
  <c r="H60" i="26" s="1"/>
  <c r="J60" i="26" s="1"/>
  <c r="K60" i="26" s="1"/>
  <c r="L60" i="26" s="1"/>
  <c r="BA60" i="26"/>
  <c r="BB60" i="26" s="1"/>
  <c r="BC60" i="26" s="1"/>
  <c r="G59" i="26"/>
  <c r="G58" i="26"/>
  <c r="G57" i="26"/>
  <c r="G56" i="26"/>
  <c r="G55" i="26"/>
  <c r="H55" i="26" s="1"/>
  <c r="I55" i="26" s="1"/>
  <c r="J55" i="26" s="1"/>
  <c r="K55" i="26" s="1"/>
  <c r="L55" i="26" s="1"/>
  <c r="BA55" i="26"/>
  <c r="BB55" i="26" s="1"/>
  <c r="BC55" i="26" s="1"/>
  <c r="G54" i="26"/>
  <c r="H54" i="26" s="1"/>
  <c r="I54" i="26" s="1"/>
  <c r="J54" i="26" s="1"/>
  <c r="K54" i="26" s="1"/>
  <c r="L54" i="26" s="1"/>
  <c r="BA54" i="26" s="1"/>
  <c r="BB54" i="26" s="1"/>
  <c r="BC54" i="26" s="1"/>
  <c r="G53" i="26"/>
  <c r="H53" i="26" s="1"/>
  <c r="I53" i="26" s="1"/>
  <c r="J53" i="26" s="1"/>
  <c r="G52" i="26"/>
  <c r="G51" i="26"/>
  <c r="H51" i="26" s="1"/>
  <c r="I51" i="26" s="1"/>
  <c r="G50" i="26"/>
  <c r="H50" i="26" s="1"/>
  <c r="I50" i="26" s="1"/>
  <c r="G49" i="26"/>
  <c r="G48" i="26"/>
  <c r="G47" i="26"/>
  <c r="G46" i="26"/>
  <c r="H46" i="26" s="1"/>
  <c r="I46" i="26" s="1"/>
  <c r="J46" i="26" s="1"/>
  <c r="G45" i="26"/>
  <c r="G44" i="26"/>
  <c r="G43" i="26"/>
  <c r="G42" i="26"/>
  <c r="G41" i="26"/>
  <c r="G40" i="26"/>
  <c r="H40" i="26" s="1"/>
  <c r="I40" i="26" s="1"/>
  <c r="J40" i="26" s="1"/>
  <c r="K40" i="26" s="1"/>
  <c r="L40" i="26" s="1"/>
  <c r="BA40" i="26" s="1"/>
  <c r="BB40" i="26" s="1"/>
  <c r="BC40" i="26" s="1"/>
  <c r="G39" i="26"/>
  <c r="G38" i="26"/>
  <c r="G37" i="26"/>
  <c r="G36" i="26"/>
  <c r="G35" i="26"/>
  <c r="H35" i="26" s="1"/>
  <c r="I35" i="26" s="1"/>
  <c r="J35" i="26" s="1"/>
  <c r="K35" i="26" s="1"/>
  <c r="L35" i="26" s="1"/>
  <c r="BA35" i="26"/>
  <c r="BB35" i="26" s="1"/>
  <c r="BC35" i="26" s="1"/>
  <c r="G34" i="26"/>
  <c r="G33" i="26"/>
  <c r="H33" i="26" s="1"/>
  <c r="I33" i="26" s="1"/>
  <c r="G32" i="26"/>
  <c r="H32" i="26" s="1"/>
  <c r="I32" i="26" s="1"/>
  <c r="J32" i="26" s="1"/>
  <c r="K32" i="26" s="1"/>
  <c r="L32" i="26" s="1"/>
  <c r="BA32" i="26"/>
  <c r="BB32" i="26" s="1"/>
  <c r="BC32" i="26" s="1"/>
  <c r="G31" i="26"/>
  <c r="H31" i="26" s="1"/>
  <c r="I31" i="26" s="1"/>
  <c r="J31" i="26" s="1"/>
  <c r="K31" i="26" s="1"/>
  <c r="L31" i="26" s="1"/>
  <c r="BA31" i="26"/>
  <c r="BB31" i="26" s="1"/>
  <c r="BC31" i="26" s="1"/>
  <c r="G30" i="26"/>
  <c r="G29" i="26"/>
  <c r="H29" i="26" s="1"/>
  <c r="I29" i="26" s="1"/>
  <c r="J29" i="26" s="1"/>
  <c r="K29" i="26" s="1"/>
  <c r="L29" i="26" s="1"/>
  <c r="BA29" i="26"/>
  <c r="BB29" i="26" s="1"/>
  <c r="BC29" i="26" s="1"/>
  <c r="G28" i="26"/>
  <c r="G27" i="26"/>
  <c r="G26" i="26"/>
  <c r="H26" i="26" s="1"/>
  <c r="I26" i="26" s="1"/>
  <c r="G25" i="26"/>
  <c r="H25" i="26" s="1"/>
  <c r="I25" i="26" s="1"/>
  <c r="J25" i="26" s="1"/>
  <c r="K25" i="26" s="1"/>
  <c r="G24" i="26"/>
  <c r="H24" i="26" s="1"/>
  <c r="I24" i="26" s="1"/>
  <c r="J24" i="26" s="1"/>
  <c r="K24" i="26" s="1"/>
  <c r="L24" i="26" s="1"/>
  <c r="BA24" i="26"/>
  <c r="BB24" i="26" s="1"/>
  <c r="BC24" i="26" s="1"/>
  <c r="G23" i="26"/>
  <c r="H23" i="26" s="1"/>
  <c r="I23" i="26" s="1"/>
  <c r="J23" i="26" s="1"/>
  <c r="K23" i="26" s="1"/>
  <c r="L23" i="26" s="1"/>
  <c r="BA23" i="26" s="1"/>
  <c r="BB23" i="26" s="1"/>
  <c r="BC23" i="26" s="1"/>
  <c r="G22" i="26"/>
  <c r="H22" i="26" s="1"/>
  <c r="I22" i="26" s="1"/>
  <c r="J22" i="26" s="1"/>
  <c r="K22" i="26" s="1"/>
  <c r="G21" i="26"/>
  <c r="H21" i="26" s="1"/>
  <c r="I21" i="26" s="1"/>
  <c r="J21" i="26" s="1"/>
  <c r="K21" i="26" s="1"/>
  <c r="L21" i="26" s="1"/>
  <c r="BA21" i="26"/>
  <c r="BB21" i="26" s="1"/>
  <c r="BC21" i="26" s="1"/>
  <c r="G20" i="26"/>
  <c r="G19" i="26"/>
  <c r="G18" i="26"/>
  <c r="G17" i="26"/>
  <c r="H17" i="26" s="1"/>
  <c r="G15" i="26"/>
  <c r="G14" i="26"/>
  <c r="G13" i="26"/>
  <c r="H13" i="26" s="1"/>
  <c r="I13" i="26" s="1"/>
  <c r="J13" i="26" s="1"/>
  <c r="K13" i="26" s="1"/>
  <c r="L13" i="26" s="1"/>
  <c r="BA13" i="26"/>
  <c r="BB13" i="26" s="1"/>
  <c r="BC13" i="26" s="1"/>
  <c r="G12" i="26"/>
  <c r="H12" i="26" s="1"/>
  <c r="I12" i="26" s="1"/>
  <c r="J12" i="26" s="1"/>
  <c r="G11" i="26"/>
  <c r="AM10" i="26"/>
  <c r="AL74" i="26"/>
  <c r="AE10" i="26"/>
  <c r="AD74" i="26"/>
  <c r="V74" i="26"/>
  <c r="W10" i="26"/>
  <c r="O10" i="26"/>
  <c r="N74" i="26"/>
  <c r="F74" i="26"/>
  <c r="G10" i="26"/>
  <c r="G73" i="25"/>
  <c r="H73" i="25" s="1"/>
  <c r="I73" i="25" s="1"/>
  <c r="J73" i="25" s="1"/>
  <c r="K73" i="25" s="1"/>
  <c r="L73" i="25" s="1"/>
  <c r="BA73" i="25"/>
  <c r="BB73" i="25" s="1"/>
  <c r="BC73" i="25" s="1"/>
  <c r="G72" i="25"/>
  <c r="G71" i="25"/>
  <c r="H71" i="25" s="1"/>
  <c r="I71" i="25" s="1"/>
  <c r="J71" i="25" s="1"/>
  <c r="K71" i="25" s="1"/>
  <c r="L71" i="25" s="1"/>
  <c r="BA71" i="25"/>
  <c r="BB71" i="25" s="1"/>
  <c r="BC71" i="25" s="1"/>
  <c r="G70" i="25"/>
  <c r="G69" i="25"/>
  <c r="G68" i="25"/>
  <c r="G67" i="25"/>
  <c r="G66" i="25"/>
  <c r="H66" i="25" s="1"/>
  <c r="I66" i="25" s="1"/>
  <c r="J66" i="25" s="1"/>
  <c r="K66" i="25" s="1"/>
  <c r="L66" i="25" s="1"/>
  <c r="BA66" i="25"/>
  <c r="BB66" i="25" s="1"/>
  <c r="BC66" i="25" s="1"/>
  <c r="G65" i="25"/>
  <c r="G64" i="25"/>
  <c r="H64" i="25" s="1"/>
  <c r="I64" i="25" s="1"/>
  <c r="J64" i="25" s="1"/>
  <c r="K64" i="25" s="1"/>
  <c r="L64" i="25" s="1"/>
  <c r="BA64" i="25"/>
  <c r="BB64" i="25" s="1"/>
  <c r="BC64" i="25" s="1"/>
  <c r="G63" i="25"/>
  <c r="H63" i="25" s="1"/>
  <c r="I63" i="25" s="1"/>
  <c r="J63" i="25" s="1"/>
  <c r="K63" i="25" s="1"/>
  <c r="L63" i="25" s="1"/>
  <c r="BA63" i="25"/>
  <c r="BB63" i="25" s="1"/>
  <c r="BC63" i="25" s="1"/>
  <c r="G62" i="25"/>
  <c r="G61" i="25"/>
  <c r="H61" i="25" s="1"/>
  <c r="I61" i="25" s="1"/>
  <c r="J61" i="25" s="1"/>
  <c r="K61" i="25" s="1"/>
  <c r="L61" i="25" s="1"/>
  <c r="BA61" i="25"/>
  <c r="BB61" i="25" s="1"/>
  <c r="BC61" i="25" s="1"/>
  <c r="G60" i="25"/>
  <c r="H60" i="25" s="1"/>
  <c r="I60" i="25" s="1"/>
  <c r="J60" i="25" s="1"/>
  <c r="K60" i="25" s="1"/>
  <c r="L60" i="25" s="1"/>
  <c r="BA60" i="25"/>
  <c r="BB60" i="25" s="1"/>
  <c r="BC60" i="25" s="1"/>
  <c r="G59" i="25"/>
  <c r="G58" i="25"/>
  <c r="BA57" i="25"/>
  <c r="BB57" i="25" s="1"/>
  <c r="BC57" i="25" s="1"/>
  <c r="G57" i="25"/>
  <c r="H57" i="25" s="1"/>
  <c r="I57" i="25" s="1"/>
  <c r="J57" i="25" s="1"/>
  <c r="K57" i="25" s="1"/>
  <c r="L57" i="25" s="1"/>
  <c r="G56" i="25"/>
  <c r="G55" i="25"/>
  <c r="G54" i="25"/>
  <c r="G53" i="25"/>
  <c r="H53" i="25" s="1"/>
  <c r="I53" i="25" s="1"/>
  <c r="J53" i="25" s="1"/>
  <c r="K53" i="25" s="1"/>
  <c r="L53" i="25" s="1"/>
  <c r="BA53" i="25"/>
  <c r="BB53" i="25" s="1"/>
  <c r="BC53" i="25" s="1"/>
  <c r="G52" i="25"/>
  <c r="G51" i="25"/>
  <c r="H51" i="25" s="1"/>
  <c r="I51" i="25" s="1"/>
  <c r="J51" i="25" s="1"/>
  <c r="K51" i="25" s="1"/>
  <c r="L51" i="25" s="1"/>
  <c r="BA51" i="25"/>
  <c r="BB51" i="25" s="1"/>
  <c r="BC51" i="25" s="1"/>
  <c r="G50" i="25"/>
  <c r="H50" i="25" s="1"/>
  <c r="I50" i="25" s="1"/>
  <c r="J50" i="25" s="1"/>
  <c r="K50" i="25" s="1"/>
  <c r="L50" i="25" s="1"/>
  <c r="BA50" i="25"/>
  <c r="BB50" i="25" s="1"/>
  <c r="BC50" i="25" s="1"/>
  <c r="G49" i="25"/>
  <c r="G48" i="25"/>
  <c r="G47" i="25"/>
  <c r="G46" i="25"/>
  <c r="H46" i="25" s="1"/>
  <c r="I46" i="25" s="1"/>
  <c r="J46" i="25" s="1"/>
  <c r="K46" i="25" s="1"/>
  <c r="L46" i="25" s="1"/>
  <c r="BA46" i="25"/>
  <c r="BB46" i="25" s="1"/>
  <c r="BC46" i="25" s="1"/>
  <c r="G45" i="25"/>
  <c r="G44" i="25"/>
  <c r="G43" i="25"/>
  <c r="G42" i="25"/>
  <c r="H42" i="25" s="1"/>
  <c r="I42" i="25" s="1"/>
  <c r="J42" i="25" s="1"/>
  <c r="K42" i="25" s="1"/>
  <c r="L42" i="25" s="1"/>
  <c r="BA42" i="25"/>
  <c r="BB42" i="25" s="1"/>
  <c r="BC42" i="25" s="1"/>
  <c r="G41" i="25"/>
  <c r="G40" i="25"/>
  <c r="H40" i="25" s="1"/>
  <c r="G39" i="25"/>
  <c r="G38" i="25"/>
  <c r="G37" i="25"/>
  <c r="H37" i="25" s="1"/>
  <c r="I37" i="25" s="1"/>
  <c r="G36" i="25"/>
  <c r="H36" i="25" s="1"/>
  <c r="I36" i="25" s="1"/>
  <c r="J36" i="25" s="1"/>
  <c r="G35" i="25"/>
  <c r="G34" i="25"/>
  <c r="H34" i="25" s="1"/>
  <c r="I34" i="25" s="1"/>
  <c r="G33" i="25"/>
  <c r="H33" i="25" s="1"/>
  <c r="I33" i="25" s="1"/>
  <c r="J33" i="25" s="1"/>
  <c r="K33" i="25" s="1"/>
  <c r="L33" i="25" s="1"/>
  <c r="BA33" i="25"/>
  <c r="BB33" i="25" s="1"/>
  <c r="BC33" i="25" s="1"/>
  <c r="G32" i="25"/>
  <c r="H32" i="25" s="1"/>
  <c r="I32" i="25" s="1"/>
  <c r="J32" i="25" s="1"/>
  <c r="K32" i="25" s="1"/>
  <c r="L32" i="25" s="1"/>
  <c r="BA32" i="25"/>
  <c r="BB32" i="25" s="1"/>
  <c r="BC32" i="25" s="1"/>
  <c r="G31" i="25"/>
  <c r="H31" i="25" s="1"/>
  <c r="I31" i="25" s="1"/>
  <c r="J31" i="25" s="1"/>
  <c r="K31" i="25" s="1"/>
  <c r="L31" i="25" s="1"/>
  <c r="BA31" i="25"/>
  <c r="BB31" i="25" s="1"/>
  <c r="BC31" i="25" s="1"/>
  <c r="G30" i="25"/>
  <c r="G29" i="25"/>
  <c r="H29" i="25" s="1"/>
  <c r="I29" i="25" s="1"/>
  <c r="J29" i="25" s="1"/>
  <c r="K29" i="25" s="1"/>
  <c r="L29" i="25" s="1"/>
  <c r="BA29" i="25"/>
  <c r="BB29" i="25" s="1"/>
  <c r="BC29" i="25" s="1"/>
  <c r="G28" i="25"/>
  <c r="G27" i="25"/>
  <c r="G26" i="25"/>
  <c r="G25" i="25"/>
  <c r="H25" i="25" s="1"/>
  <c r="I25" i="25" s="1"/>
  <c r="J25" i="25" s="1"/>
  <c r="K25" i="25" s="1"/>
  <c r="L25" i="25" s="1"/>
  <c r="BA25" i="25"/>
  <c r="BB25" i="25" s="1"/>
  <c r="BC25" i="25" s="1"/>
  <c r="G24" i="25"/>
  <c r="G23" i="25"/>
  <c r="G22" i="25"/>
  <c r="H22" i="25" s="1"/>
  <c r="I22" i="25" s="1"/>
  <c r="J22" i="25" s="1"/>
  <c r="G21" i="25"/>
  <c r="H21" i="25" s="1"/>
  <c r="I21" i="25" s="1"/>
  <c r="J21" i="25" s="1"/>
  <c r="G20" i="25"/>
  <c r="G19" i="25"/>
  <c r="H19" i="25" s="1"/>
  <c r="G18" i="25"/>
  <c r="H18" i="25" s="1"/>
  <c r="G17" i="25"/>
  <c r="H17" i="25" s="1"/>
  <c r="I17" i="25" s="1"/>
  <c r="J17" i="25" s="1"/>
  <c r="K17" i="25" s="1"/>
  <c r="L17" i="25" s="1"/>
  <c r="BA17" i="25"/>
  <c r="BB17" i="25" s="1"/>
  <c r="BC17" i="25" s="1"/>
  <c r="G16" i="25"/>
  <c r="G15" i="25"/>
  <c r="H15" i="25" s="1"/>
  <c r="I15" i="25" s="1"/>
  <c r="J15" i="25" s="1"/>
  <c r="K15" i="25" s="1"/>
  <c r="L15" i="25" s="1"/>
  <c r="BA15" i="25"/>
  <c r="BB15" i="25" s="1"/>
  <c r="BC15" i="25" s="1"/>
  <c r="G14" i="25"/>
  <c r="G13" i="25"/>
  <c r="H13" i="25" s="1"/>
  <c r="G12" i="25"/>
  <c r="G11" i="25"/>
  <c r="AL74" i="25"/>
  <c r="AM10" i="25"/>
  <c r="AD74" i="25"/>
  <c r="AE10" i="25"/>
  <c r="W10" i="25"/>
  <c r="V74" i="25"/>
  <c r="O74" i="25"/>
  <c r="P10" i="25"/>
  <c r="F74" i="25"/>
  <c r="G10" i="25"/>
  <c r="BA25" i="24"/>
  <c r="BB25" i="24" s="1"/>
  <c r="BC25" i="24"/>
  <c r="J30" i="24"/>
  <c r="K30" i="24" s="1"/>
  <c r="L30" i="24" s="1"/>
  <c r="BA30" i="24"/>
  <c r="BB30" i="24" s="1"/>
  <c r="BC30" i="24" s="1"/>
  <c r="L61" i="24"/>
  <c r="BA61" i="24"/>
  <c r="BB61" i="24" s="1"/>
  <c r="BC61" i="24" s="1"/>
  <c r="H31" i="24"/>
  <c r="I31" i="24" s="1"/>
  <c r="J31" i="24" s="1"/>
  <c r="K31" i="24" s="1"/>
  <c r="L31" i="24" s="1"/>
  <c r="AM74" i="24"/>
  <c r="AN10" i="24"/>
  <c r="H14" i="24"/>
  <c r="I14" i="24" s="1"/>
  <c r="J14" i="24" s="1"/>
  <c r="K14" i="24" s="1"/>
  <c r="L14" i="24" s="1"/>
  <c r="AD74" i="24"/>
  <c r="AE10" i="24"/>
  <c r="BA23" i="24"/>
  <c r="BB23" i="24" s="1"/>
  <c r="BC23" i="24" s="1"/>
  <c r="AT74" i="24"/>
  <c r="BA11" i="24"/>
  <c r="BB11" i="24" s="1"/>
  <c r="BC11" i="24" s="1"/>
  <c r="G11" i="24"/>
  <c r="H11" i="24" s="1"/>
  <c r="H17" i="24"/>
  <c r="I17" i="24" s="1"/>
  <c r="J17" i="24" s="1"/>
  <c r="K17" i="24" s="1"/>
  <c r="L17" i="24" s="1"/>
  <c r="BA20" i="24"/>
  <c r="BB20" i="24" s="1"/>
  <c r="BC20" i="24" s="1"/>
  <c r="BA21" i="24"/>
  <c r="BB21" i="24" s="1"/>
  <c r="BC21" i="24" s="1"/>
  <c r="BA22" i="24"/>
  <c r="BB22" i="24" s="1"/>
  <c r="BC22" i="24" s="1"/>
  <c r="G26" i="24"/>
  <c r="H26" i="24" s="1"/>
  <c r="I26" i="24" s="1"/>
  <c r="J26" i="24" s="1"/>
  <c r="K26" i="24" s="1"/>
  <c r="L26" i="24" s="1"/>
  <c r="BA41" i="24"/>
  <c r="BB41" i="24" s="1"/>
  <c r="BC41" i="24" s="1"/>
  <c r="BA43" i="24"/>
  <c r="BB43" i="24" s="1"/>
  <c r="BC43" i="24" s="1"/>
  <c r="BA47" i="24"/>
  <c r="BB47" i="24" s="1"/>
  <c r="BC47" i="24" s="1"/>
  <c r="BA50" i="24"/>
  <c r="BB50" i="24" s="1"/>
  <c r="BC50" i="24" s="1"/>
  <c r="G51" i="24"/>
  <c r="H51" i="24" s="1"/>
  <c r="I51" i="24" s="1"/>
  <c r="J51" i="24" s="1"/>
  <c r="K51" i="24" s="1"/>
  <c r="L51" i="24" s="1"/>
  <c r="BA54" i="24"/>
  <c r="BB54" i="24" s="1"/>
  <c r="BC54" i="24" s="1"/>
  <c r="L64" i="24"/>
  <c r="BA64" i="24" s="1"/>
  <c r="BB64" i="24" s="1"/>
  <c r="BC64" i="24" s="1"/>
  <c r="H10" i="24"/>
  <c r="X74" i="24"/>
  <c r="BA12" i="24"/>
  <c r="BB12" i="24" s="1"/>
  <c r="BC12" i="24" s="1"/>
  <c r="BA13" i="24"/>
  <c r="BB13" i="24" s="1"/>
  <c r="BC13" i="24" s="1"/>
  <c r="BA28" i="24"/>
  <c r="BB28" i="24" s="1"/>
  <c r="BC28" i="24" s="1"/>
  <c r="BA38" i="24"/>
  <c r="BB38" i="24" s="1"/>
  <c r="BC38" i="24" s="1"/>
  <c r="BA42" i="24"/>
  <c r="BB42" i="24" s="1"/>
  <c r="BC42" i="24" s="1"/>
  <c r="BA52" i="24"/>
  <c r="BB52" i="24" s="1"/>
  <c r="BC52" i="24" s="1"/>
  <c r="G52" i="24"/>
  <c r="H52" i="24" s="1"/>
  <c r="I52" i="24" s="1"/>
  <c r="J52" i="24" s="1"/>
  <c r="K52" i="24" s="1"/>
  <c r="L52" i="24" s="1"/>
  <c r="H56" i="24"/>
  <c r="I56" i="24" s="1"/>
  <c r="J56" i="24" s="1"/>
  <c r="K56" i="24" s="1"/>
  <c r="L56" i="24" s="1"/>
  <c r="BA56" i="24"/>
  <c r="BB56" i="24" s="1"/>
  <c r="BC56" i="24" s="1"/>
  <c r="BA59" i="24"/>
  <c r="BB59" i="24" s="1"/>
  <c r="BC59" i="24" s="1"/>
  <c r="BA72" i="24"/>
  <c r="BB72" i="24" s="1"/>
  <c r="BC72" i="24" s="1"/>
  <c r="J73" i="24"/>
  <c r="K73" i="24" s="1"/>
  <c r="L73" i="24" s="1"/>
  <c r="BA73" i="24"/>
  <c r="BB73" i="24" s="1"/>
  <c r="BC73" i="24" s="1"/>
  <c r="O10" i="24"/>
  <c r="Y10" i="24"/>
  <c r="AL74" i="24"/>
  <c r="BA16" i="24"/>
  <c r="BB16" i="24" s="1"/>
  <c r="BC16" i="24" s="1"/>
  <c r="H18" i="24"/>
  <c r="I18" i="24" s="1"/>
  <c r="J18" i="24" s="1"/>
  <c r="K18" i="24" s="1"/>
  <c r="L18" i="24" s="1"/>
  <c r="G23" i="24"/>
  <c r="H23" i="24" s="1"/>
  <c r="I23" i="24" s="1"/>
  <c r="J23" i="24" s="1"/>
  <c r="K23" i="24" s="1"/>
  <c r="L23" i="24" s="1"/>
  <c r="BA27" i="24"/>
  <c r="BB27" i="24" s="1"/>
  <c r="BC27" i="24" s="1"/>
  <c r="H29" i="24"/>
  <c r="I29" i="24" s="1"/>
  <c r="J29" i="24" s="1"/>
  <c r="K29" i="24" s="1"/>
  <c r="L29" i="24" s="1"/>
  <c r="BA32" i="24"/>
  <c r="BB32" i="24" s="1"/>
  <c r="BC32" i="24" s="1"/>
  <c r="BA35" i="24"/>
  <c r="BB35" i="24" s="1"/>
  <c r="BC35" i="24" s="1"/>
  <c r="BA37" i="24"/>
  <c r="BB37" i="24" s="1"/>
  <c r="BC37" i="24" s="1"/>
  <c r="BA57" i="24"/>
  <c r="BB57" i="24" s="1"/>
  <c r="BC57" i="24" s="1"/>
  <c r="H66" i="24"/>
  <c r="I66" i="24" s="1"/>
  <c r="J66" i="24" s="1"/>
  <c r="K66" i="24" s="1"/>
  <c r="L66" i="24" s="1"/>
  <c r="H70" i="24"/>
  <c r="I70" i="24" s="1"/>
  <c r="J70" i="24" s="1"/>
  <c r="K70" i="24" s="1"/>
  <c r="L70" i="24" s="1"/>
  <c r="BA70" i="24"/>
  <c r="BB70" i="24" s="1"/>
  <c r="BC70" i="24" s="1"/>
  <c r="F74" i="24"/>
  <c r="W74" i="24"/>
  <c r="AU10" i="24"/>
  <c r="G15" i="24"/>
  <c r="H15" i="24" s="1"/>
  <c r="I15" i="24" s="1"/>
  <c r="J15" i="24" s="1"/>
  <c r="K15" i="24" s="1"/>
  <c r="L15" i="24" s="1"/>
  <c r="BA19" i="24"/>
  <c r="BB19" i="24" s="1"/>
  <c r="BC19" i="24" s="1"/>
  <c r="BA24" i="24"/>
  <c r="BB24" i="24" s="1"/>
  <c r="BC24" i="24" s="1"/>
  <c r="BA34" i="24"/>
  <c r="BB34" i="24" s="1"/>
  <c r="BC34" i="24" s="1"/>
  <c r="G36" i="24"/>
  <c r="H36" i="24" s="1"/>
  <c r="I36" i="24" s="1"/>
  <c r="J36" i="24" s="1"/>
  <c r="K36" i="24" s="1"/>
  <c r="L36" i="24" s="1"/>
  <c r="H39" i="24"/>
  <c r="I39" i="24" s="1"/>
  <c r="J39" i="24" s="1"/>
  <c r="K39" i="24" s="1"/>
  <c r="L39" i="24" s="1"/>
  <c r="G47" i="24"/>
  <c r="H47" i="24" s="1"/>
  <c r="I47" i="24" s="1"/>
  <c r="J47" i="24" s="1"/>
  <c r="K47" i="24" s="1"/>
  <c r="L47" i="24" s="1"/>
  <c r="BA48" i="24"/>
  <c r="BB48" i="24" s="1"/>
  <c r="BC48" i="24" s="1"/>
  <c r="BA53" i="24"/>
  <c r="BB53" i="24" s="1"/>
  <c r="BC53" i="24" s="1"/>
  <c r="G58" i="24"/>
  <c r="H58" i="24" s="1"/>
  <c r="I58" i="24" s="1"/>
  <c r="J58" i="24" s="1"/>
  <c r="K58" i="24" s="1"/>
  <c r="L58" i="24" s="1"/>
  <c r="H60" i="24"/>
  <c r="I60" i="24" s="1"/>
  <c r="J60" i="24" s="1"/>
  <c r="K60" i="24" s="1"/>
  <c r="L60" i="24" s="1"/>
  <c r="BA65" i="24"/>
  <c r="BB65" i="24" s="1"/>
  <c r="BC65" i="24" s="1"/>
  <c r="BA69" i="24"/>
  <c r="BB69" i="24" s="1"/>
  <c r="BC69" i="24" s="1"/>
  <c r="BA45" i="24"/>
  <c r="BB45" i="24" s="1"/>
  <c r="BC45" i="24" s="1"/>
  <c r="BA46" i="24"/>
  <c r="BB46" i="24" s="1"/>
  <c r="BC46" i="24" s="1"/>
  <c r="BA55" i="24"/>
  <c r="BB55" i="24" s="1"/>
  <c r="BC55" i="24" s="1"/>
  <c r="G67" i="24"/>
  <c r="H67" i="24" s="1"/>
  <c r="I67" i="24" s="1"/>
  <c r="J67" i="24" s="1"/>
  <c r="K67" i="24" s="1"/>
  <c r="L67" i="24" s="1"/>
  <c r="V74" i="24"/>
  <c r="BA33" i="24"/>
  <c r="BB33" i="24" s="1"/>
  <c r="BC33" i="24" s="1"/>
  <c r="G40" i="24"/>
  <c r="H40" i="24" s="1"/>
  <c r="I40" i="24" s="1"/>
  <c r="J40" i="24" s="1"/>
  <c r="K40" i="24" s="1"/>
  <c r="L40" i="24" s="1"/>
  <c r="BA44" i="24"/>
  <c r="BB44" i="24" s="1"/>
  <c r="BC44" i="24" s="1"/>
  <c r="BA49" i="24"/>
  <c r="BB49" i="24" s="1"/>
  <c r="BC49" i="24" s="1"/>
  <c r="BA62" i="24"/>
  <c r="BB62" i="24" s="1"/>
  <c r="BC62" i="24" s="1"/>
  <c r="G62" i="24"/>
  <c r="H62" i="24" s="1"/>
  <c r="I62" i="24" s="1"/>
  <c r="J62" i="24" s="1"/>
  <c r="K62" i="24" s="1"/>
  <c r="L62" i="24" s="1"/>
  <c r="BA63" i="24"/>
  <c r="BB63" i="24" s="1"/>
  <c r="BC63" i="24" s="1"/>
  <c r="G68" i="24"/>
  <c r="H68" i="24" s="1"/>
  <c r="I68" i="24" s="1"/>
  <c r="J68" i="24" s="1"/>
  <c r="K68" i="24" s="1"/>
  <c r="L68" i="24" s="1"/>
  <c r="BA68" i="24"/>
  <c r="BB68" i="24" s="1"/>
  <c r="BC68" i="24" s="1"/>
  <c r="BA71" i="24"/>
  <c r="BB71" i="24" s="1"/>
  <c r="BC71" i="24" s="1"/>
  <c r="N74" i="23"/>
  <c r="L18" i="23"/>
  <c r="BA18" i="23"/>
  <c r="BB18" i="23" s="1"/>
  <c r="BC18" i="23" s="1"/>
  <c r="I38" i="23"/>
  <c r="J38" i="23" s="1"/>
  <c r="K38" i="23" s="1"/>
  <c r="L38" i="23" s="1"/>
  <c r="F74" i="23"/>
  <c r="G10" i="23"/>
  <c r="O10" i="23"/>
  <c r="W74" i="23"/>
  <c r="AL74" i="23"/>
  <c r="AM10" i="23"/>
  <c r="H12" i="23"/>
  <c r="I12" i="23" s="1"/>
  <c r="J12" i="23" s="1"/>
  <c r="K12" i="23" s="1"/>
  <c r="L12" i="23" s="1"/>
  <c r="BA13" i="23"/>
  <c r="BB13" i="23" s="1"/>
  <c r="BC13" i="23" s="1"/>
  <c r="H13" i="23"/>
  <c r="I13" i="23" s="1"/>
  <c r="J13" i="23" s="1"/>
  <c r="K13" i="23" s="1"/>
  <c r="L13" i="23" s="1"/>
  <c r="I25" i="23"/>
  <c r="J25" i="23" s="1"/>
  <c r="K25" i="23" s="1"/>
  <c r="L25" i="23" s="1"/>
  <c r="BA29" i="23"/>
  <c r="BB29" i="23" s="1"/>
  <c r="BC29" i="23" s="1"/>
  <c r="BA33" i="23"/>
  <c r="BB33" i="23" s="1"/>
  <c r="BC33" i="23" s="1"/>
  <c r="BA37" i="23"/>
  <c r="BB37" i="23" s="1"/>
  <c r="BC37" i="23" s="1"/>
  <c r="L43" i="23"/>
  <c r="BA43" i="23"/>
  <c r="BB43" i="23" s="1"/>
  <c r="BC43" i="23" s="1"/>
  <c r="BA47" i="23"/>
  <c r="BB47" i="23" s="1"/>
  <c r="BC47" i="23" s="1"/>
  <c r="I30" i="23"/>
  <c r="J30" i="23" s="1"/>
  <c r="K30" i="23" s="1"/>
  <c r="L30" i="23" s="1"/>
  <c r="X10" i="23"/>
  <c r="BA21" i="23"/>
  <c r="BB21" i="23" s="1"/>
  <c r="BC21" i="23" s="1"/>
  <c r="I21" i="23"/>
  <c r="J21" i="23" s="1"/>
  <c r="K21" i="23" s="1"/>
  <c r="L21" i="23" s="1"/>
  <c r="BA42" i="23"/>
  <c r="BB42" i="23" s="1"/>
  <c r="BC42" i="23" s="1"/>
  <c r="BA46" i="23"/>
  <c r="BB46" i="23" s="1"/>
  <c r="BC46" i="23" s="1"/>
  <c r="I46" i="23"/>
  <c r="J46" i="23" s="1"/>
  <c r="K46" i="23" s="1"/>
  <c r="L46" i="23" s="1"/>
  <c r="G14" i="23"/>
  <c r="H14" i="23" s="1"/>
  <c r="I14" i="23" s="1"/>
  <c r="J14" i="23" s="1"/>
  <c r="K14" i="23" s="1"/>
  <c r="L14" i="23" s="1"/>
  <c r="BA20" i="23"/>
  <c r="BB20" i="23" s="1"/>
  <c r="BC20" i="23" s="1"/>
  <c r="G20" i="23"/>
  <c r="H20" i="23" s="1"/>
  <c r="I20" i="23" s="1"/>
  <c r="J20" i="23" s="1"/>
  <c r="K20" i="23" s="1"/>
  <c r="L20" i="23" s="1"/>
  <c r="I34" i="23"/>
  <c r="J34" i="23" s="1"/>
  <c r="K34" i="23" s="1"/>
  <c r="L34" i="23" s="1"/>
  <c r="BA17" i="23"/>
  <c r="BB17" i="23" s="1"/>
  <c r="BC17" i="23" s="1"/>
  <c r="I17" i="23"/>
  <c r="J17" i="23" s="1"/>
  <c r="K17" i="23" s="1"/>
  <c r="L17" i="23" s="1"/>
  <c r="BA22" i="23"/>
  <c r="BB22" i="23" s="1"/>
  <c r="BC22" i="23" s="1"/>
  <c r="BA24" i="23"/>
  <c r="BB24" i="23" s="1"/>
  <c r="BC24" i="23" s="1"/>
  <c r="G24" i="23"/>
  <c r="H24" i="23" s="1"/>
  <c r="I24" i="23" s="1"/>
  <c r="J24" i="23" s="1"/>
  <c r="K24" i="23" s="1"/>
  <c r="L24" i="23" s="1"/>
  <c r="BA16" i="23"/>
  <c r="BB16" i="23" s="1"/>
  <c r="BC16" i="23" s="1"/>
  <c r="G16" i="23"/>
  <c r="H16" i="23" s="1"/>
  <c r="I16" i="23" s="1"/>
  <c r="J16" i="23" s="1"/>
  <c r="K16" i="23" s="1"/>
  <c r="L16" i="23" s="1"/>
  <c r="BA26" i="23"/>
  <c r="BB26" i="23" s="1"/>
  <c r="BC26" i="23" s="1"/>
  <c r="BA28" i="23"/>
  <c r="BB28" i="23" s="1"/>
  <c r="BC28" i="23" s="1"/>
  <c r="G28" i="23"/>
  <c r="H28" i="23" s="1"/>
  <c r="I28" i="23" s="1"/>
  <c r="J28" i="23" s="1"/>
  <c r="K28" i="23" s="1"/>
  <c r="L28" i="23" s="1"/>
  <c r="G32" i="23"/>
  <c r="H32" i="23" s="1"/>
  <c r="I32" i="23" s="1"/>
  <c r="J32" i="23" s="1"/>
  <c r="K32" i="23" s="1"/>
  <c r="L32" i="23" s="1"/>
  <c r="BA36" i="23"/>
  <c r="BB36" i="23" s="1"/>
  <c r="BC36" i="23" s="1"/>
  <c r="G36" i="23"/>
  <c r="H36" i="23" s="1"/>
  <c r="I36" i="23" s="1"/>
  <c r="J36" i="23" s="1"/>
  <c r="K36" i="23" s="1"/>
  <c r="L36" i="23" s="1"/>
  <c r="G40" i="23"/>
  <c r="H40" i="23" s="1"/>
  <c r="I40" i="23" s="1"/>
  <c r="J40" i="23" s="1"/>
  <c r="K40" i="23" s="1"/>
  <c r="L40" i="23" s="1"/>
  <c r="BA45" i="23"/>
  <c r="BB45" i="23" s="1"/>
  <c r="BC45" i="23" s="1"/>
  <c r="G45" i="23"/>
  <c r="H45" i="23" s="1"/>
  <c r="I45" i="23" s="1"/>
  <c r="J45" i="23" s="1"/>
  <c r="K45" i="23" s="1"/>
  <c r="L45" i="23" s="1"/>
  <c r="I50" i="23"/>
  <c r="J50" i="23" s="1"/>
  <c r="K50" i="23" s="1"/>
  <c r="L50" i="23" s="1"/>
  <c r="BA51" i="23"/>
  <c r="BB51" i="23" s="1"/>
  <c r="BC51" i="23" s="1"/>
  <c r="BA53" i="23"/>
  <c r="BB53" i="23" s="1"/>
  <c r="BC53" i="23" s="1"/>
  <c r="H53" i="23"/>
  <c r="I53" i="23" s="1"/>
  <c r="J53" i="23" s="1"/>
  <c r="K53" i="23" s="1"/>
  <c r="L53" i="23" s="1"/>
  <c r="BA58" i="23"/>
  <c r="BB58" i="23" s="1"/>
  <c r="BC58" i="23" s="1"/>
  <c r="BA63" i="23"/>
  <c r="BB63" i="23" s="1"/>
  <c r="BC63" i="23" s="1"/>
  <c r="G63" i="23"/>
  <c r="H63" i="23" s="1"/>
  <c r="I63" i="23" s="1"/>
  <c r="J63" i="23" s="1"/>
  <c r="K63" i="23" s="1"/>
  <c r="L63" i="23" s="1"/>
  <c r="AD74" i="23"/>
  <c r="G15" i="23"/>
  <c r="H15" i="23" s="1"/>
  <c r="I15" i="23" s="1"/>
  <c r="J15" i="23" s="1"/>
  <c r="K15" i="23" s="1"/>
  <c r="L15" i="23" s="1"/>
  <c r="G19" i="23"/>
  <c r="H19" i="23" s="1"/>
  <c r="I19" i="23" s="1"/>
  <c r="J19" i="23" s="1"/>
  <c r="K19" i="23" s="1"/>
  <c r="L19" i="23" s="1"/>
  <c r="G23" i="23"/>
  <c r="H23" i="23" s="1"/>
  <c r="I23" i="23" s="1"/>
  <c r="J23" i="23" s="1"/>
  <c r="K23" i="23" s="1"/>
  <c r="L23" i="23" s="1"/>
  <c r="BA31" i="23"/>
  <c r="BB31" i="23" s="1"/>
  <c r="BC31" i="23" s="1"/>
  <c r="BA35" i="23"/>
  <c r="BB35" i="23" s="1"/>
  <c r="BC35" i="23" s="1"/>
  <c r="I41" i="23"/>
  <c r="J41" i="23" s="1"/>
  <c r="K41" i="23" s="1"/>
  <c r="L41" i="23" s="1"/>
  <c r="BA49" i="23"/>
  <c r="BB49" i="23" s="1"/>
  <c r="BC49" i="23" s="1"/>
  <c r="G49" i="23"/>
  <c r="H49" i="23" s="1"/>
  <c r="I49" i="23" s="1"/>
  <c r="J49" i="23" s="1"/>
  <c r="K49" i="23" s="1"/>
  <c r="L49" i="23" s="1"/>
  <c r="V74" i="23"/>
  <c r="AE10" i="23"/>
  <c r="G11" i="23"/>
  <c r="H11" i="23" s="1"/>
  <c r="G27" i="23"/>
  <c r="H27" i="23" s="1"/>
  <c r="I27" i="23" s="1"/>
  <c r="J27" i="23" s="1"/>
  <c r="K27" i="23" s="1"/>
  <c r="L27" i="23" s="1"/>
  <c r="G31" i="23"/>
  <c r="H31" i="23" s="1"/>
  <c r="I31" i="23" s="1"/>
  <c r="J31" i="23" s="1"/>
  <c r="K31" i="23" s="1"/>
  <c r="L31" i="23" s="1"/>
  <c r="G35" i="23"/>
  <c r="H35" i="23" s="1"/>
  <c r="I35" i="23" s="1"/>
  <c r="J35" i="23" s="1"/>
  <c r="K35" i="23" s="1"/>
  <c r="L35" i="23" s="1"/>
  <c r="G39" i="23"/>
  <c r="H39" i="23" s="1"/>
  <c r="I39" i="23" s="1"/>
  <c r="J39" i="23" s="1"/>
  <c r="K39" i="23" s="1"/>
  <c r="L39" i="23" s="1"/>
  <c r="G56" i="23"/>
  <c r="H56" i="23" s="1"/>
  <c r="I56" i="23" s="1"/>
  <c r="J56" i="23" s="1"/>
  <c r="K56" i="23" s="1"/>
  <c r="L56" i="23" s="1"/>
  <c r="BA56" i="23"/>
  <c r="BB56" i="23" s="1"/>
  <c r="BC56" i="23" s="1"/>
  <c r="BA69" i="23"/>
  <c r="BB69" i="23" s="1"/>
  <c r="BC69" i="23" s="1"/>
  <c r="BA44" i="23"/>
  <c r="BB44" i="23" s="1"/>
  <c r="BC44" i="23" s="1"/>
  <c r="BA52" i="23"/>
  <c r="BB52" i="23" s="1"/>
  <c r="BC52" i="23" s="1"/>
  <c r="BA57" i="23"/>
  <c r="BB57" i="23" s="1"/>
  <c r="BC57" i="23" s="1"/>
  <c r="BA66" i="23"/>
  <c r="BB66" i="23" s="1"/>
  <c r="BC66" i="23" s="1"/>
  <c r="G44" i="23"/>
  <c r="H44" i="23" s="1"/>
  <c r="I44" i="23" s="1"/>
  <c r="J44" i="23" s="1"/>
  <c r="K44" i="23" s="1"/>
  <c r="L44" i="23" s="1"/>
  <c r="G48" i="23"/>
  <c r="H48" i="23" s="1"/>
  <c r="I48" i="23" s="1"/>
  <c r="J48" i="23" s="1"/>
  <c r="K48" i="23" s="1"/>
  <c r="L48" i="23" s="1"/>
  <c r="G59" i="23"/>
  <c r="H59" i="23" s="1"/>
  <c r="I59" i="23" s="1"/>
  <c r="J59" i="23" s="1"/>
  <c r="K59" i="23" s="1"/>
  <c r="L59" i="23" s="1"/>
  <c r="J73" i="23"/>
  <c r="K73" i="23" s="1"/>
  <c r="L73" i="23" s="1"/>
  <c r="BA54" i="23"/>
  <c r="BB54" i="23" s="1"/>
  <c r="BC54" i="23" s="1"/>
  <c r="BA55" i="23"/>
  <c r="BB55" i="23" s="1"/>
  <c r="BC55" i="23" s="1"/>
  <c r="BA65" i="23"/>
  <c r="BB65" i="23" s="1"/>
  <c r="BC65" i="23" s="1"/>
  <c r="BA61" i="23"/>
  <c r="BB61" i="23" s="1"/>
  <c r="BC61" i="23" s="1"/>
  <c r="BA62" i="23"/>
  <c r="BB62" i="23" s="1"/>
  <c r="BC62" i="23" s="1"/>
  <c r="BA71" i="23"/>
  <c r="BB71" i="23" s="1"/>
  <c r="BC71" i="23" s="1"/>
  <c r="BA60" i="23"/>
  <c r="BB60" i="23" s="1"/>
  <c r="BC60" i="23" s="1"/>
  <c r="BA67" i="23"/>
  <c r="BB67" i="23" s="1"/>
  <c r="BC67" i="23" s="1"/>
  <c r="BA70" i="23"/>
  <c r="BB70" i="23" s="1"/>
  <c r="BC70" i="23" s="1"/>
  <c r="BA64" i="23"/>
  <c r="BB64" i="23" s="1"/>
  <c r="BC64" i="23" s="1"/>
  <c r="G68" i="23"/>
  <c r="H68" i="23" s="1"/>
  <c r="I68" i="23" s="1"/>
  <c r="J68" i="23" s="1"/>
  <c r="K68" i="23" s="1"/>
  <c r="L68" i="23" s="1"/>
  <c r="BA72" i="23"/>
  <c r="BB72" i="23" s="1"/>
  <c r="BC72" i="23" s="1"/>
  <c r="BA68" i="22"/>
  <c r="BB68" i="22" s="1"/>
  <c r="BC68" i="22" s="1"/>
  <c r="N74" i="22"/>
  <c r="BA13" i="22"/>
  <c r="BB13" i="22" s="1"/>
  <c r="BC13" i="22" s="1"/>
  <c r="BA16" i="22"/>
  <c r="BB16" i="22" s="1"/>
  <c r="BC16" i="22" s="1"/>
  <c r="H16" i="22"/>
  <c r="I16" i="22" s="1"/>
  <c r="J16" i="22" s="1"/>
  <c r="K16" i="22" s="1"/>
  <c r="L16" i="22" s="1"/>
  <c r="BA19" i="22"/>
  <c r="BB19" i="22" s="1"/>
  <c r="BC19" i="22" s="1"/>
  <c r="G19" i="22"/>
  <c r="H19" i="22" s="1"/>
  <c r="I19" i="22" s="1"/>
  <c r="J19" i="22" s="1"/>
  <c r="K19" i="22" s="1"/>
  <c r="L19" i="22" s="1"/>
  <c r="BA26" i="22"/>
  <c r="BB26" i="22" s="1"/>
  <c r="BC26" i="22" s="1"/>
  <c r="BA41" i="22"/>
  <c r="BB41" i="22" s="1"/>
  <c r="BC41" i="22" s="1"/>
  <c r="G49" i="22"/>
  <c r="H49" i="22" s="1"/>
  <c r="I49" i="22" s="1"/>
  <c r="J49" i="22" s="1"/>
  <c r="K49" i="22" s="1"/>
  <c r="L49" i="22" s="1"/>
  <c r="BA15" i="22"/>
  <c r="BB15" i="22" s="1"/>
  <c r="BC15" i="22" s="1"/>
  <c r="G15" i="22"/>
  <c r="H15" i="22" s="1"/>
  <c r="I15" i="22" s="1"/>
  <c r="J15" i="22" s="1"/>
  <c r="K15" i="22" s="1"/>
  <c r="L15" i="22" s="1"/>
  <c r="BA22" i="22"/>
  <c r="BB22" i="22" s="1"/>
  <c r="BC22" i="22" s="1"/>
  <c r="BA25" i="22"/>
  <c r="BB25" i="22" s="1"/>
  <c r="BC25" i="22" s="1"/>
  <c r="BA31" i="22"/>
  <c r="BB31" i="22" s="1"/>
  <c r="BC31" i="22" s="1"/>
  <c r="H46" i="22"/>
  <c r="I46" i="22" s="1"/>
  <c r="J46" i="22" s="1"/>
  <c r="K46" i="22" s="1"/>
  <c r="L46" i="22" s="1"/>
  <c r="F74" i="22"/>
  <c r="G10" i="22"/>
  <c r="O74" i="22"/>
  <c r="P10" i="22"/>
  <c r="W74" i="22"/>
  <c r="AL74" i="22"/>
  <c r="AM10" i="22"/>
  <c r="BA14" i="22"/>
  <c r="BB14" i="22" s="1"/>
  <c r="BC14" i="22" s="1"/>
  <c r="BA17" i="22"/>
  <c r="BB17" i="22" s="1"/>
  <c r="BC17" i="22" s="1"/>
  <c r="H20" i="22"/>
  <c r="I20" i="22" s="1"/>
  <c r="J20" i="22" s="1"/>
  <c r="K20" i="22" s="1"/>
  <c r="L20" i="22" s="1"/>
  <c r="G23" i="22"/>
  <c r="H23" i="22" s="1"/>
  <c r="I23" i="22" s="1"/>
  <c r="J23" i="22" s="1"/>
  <c r="K23" i="22" s="1"/>
  <c r="L23" i="22" s="1"/>
  <c r="BA34" i="22"/>
  <c r="BB34" i="22" s="1"/>
  <c r="BC34" i="22" s="1"/>
  <c r="BA35" i="22"/>
  <c r="BB35" i="22" s="1"/>
  <c r="BC35" i="22" s="1"/>
  <c r="G35" i="22"/>
  <c r="H35" i="22" s="1"/>
  <c r="I35" i="22" s="1"/>
  <c r="J35" i="22" s="1"/>
  <c r="K35" i="22" s="1"/>
  <c r="L35" i="22" s="1"/>
  <c r="H12" i="22"/>
  <c r="I12" i="22" s="1"/>
  <c r="J12" i="22" s="1"/>
  <c r="K12" i="22" s="1"/>
  <c r="L12" i="22" s="1"/>
  <c r="X74" i="22"/>
  <c r="Y10" i="22"/>
  <c r="BA18" i="22"/>
  <c r="BB18" i="22" s="1"/>
  <c r="BC18" i="22" s="1"/>
  <c r="BA21" i="22"/>
  <c r="BB21" i="22" s="1"/>
  <c r="BC21" i="22" s="1"/>
  <c r="H24" i="22"/>
  <c r="I24" i="22" s="1"/>
  <c r="J24" i="22" s="1"/>
  <c r="K24" i="22" s="1"/>
  <c r="L24" i="22" s="1"/>
  <c r="G27" i="22"/>
  <c r="H27" i="22" s="1"/>
  <c r="I27" i="22" s="1"/>
  <c r="J27" i="22" s="1"/>
  <c r="K27" i="22" s="1"/>
  <c r="L27" i="22" s="1"/>
  <c r="H30" i="22"/>
  <c r="I30" i="22" s="1"/>
  <c r="J30" i="22" s="1"/>
  <c r="K30" i="22" s="1"/>
  <c r="L30" i="22" s="1"/>
  <c r="BA30" i="22"/>
  <c r="BB30" i="22" s="1"/>
  <c r="BC30" i="22" s="1"/>
  <c r="BA42" i="22"/>
  <c r="BB42" i="22" s="1"/>
  <c r="BC42" i="22" s="1"/>
  <c r="AD74" i="22"/>
  <c r="BA29" i="22"/>
  <c r="BB29" i="22" s="1"/>
  <c r="BC29" i="22" s="1"/>
  <c r="G39" i="22"/>
  <c r="H39" i="22" s="1"/>
  <c r="I39" i="22" s="1"/>
  <c r="J39" i="22" s="1"/>
  <c r="K39" i="22" s="1"/>
  <c r="L39" i="22" s="1"/>
  <c r="G40" i="22"/>
  <c r="H40" i="22" s="1"/>
  <c r="I40" i="22" s="1"/>
  <c r="J40" i="22" s="1"/>
  <c r="K40" i="22" s="1"/>
  <c r="L40" i="22" s="1"/>
  <c r="G47" i="22"/>
  <c r="H47" i="22" s="1"/>
  <c r="I47" i="22" s="1"/>
  <c r="J47" i="22" s="1"/>
  <c r="K47" i="22" s="1"/>
  <c r="L47" i="22" s="1"/>
  <c r="BA51" i="22"/>
  <c r="BB51" i="22" s="1"/>
  <c r="BC51" i="22" s="1"/>
  <c r="V74" i="22"/>
  <c r="AE10" i="22"/>
  <c r="G11" i="22"/>
  <c r="H11" i="22" s="1"/>
  <c r="BA36" i="22"/>
  <c r="BB36" i="22" s="1"/>
  <c r="BC36" i="22" s="1"/>
  <c r="BA43" i="22"/>
  <c r="BB43" i="22" s="1"/>
  <c r="BC43" i="22" s="1"/>
  <c r="BA45" i="22"/>
  <c r="BB45" i="22" s="1"/>
  <c r="BC45" i="22" s="1"/>
  <c r="I57" i="22"/>
  <c r="J57" i="22" s="1"/>
  <c r="K57" i="22" s="1"/>
  <c r="L57" i="22" s="1"/>
  <c r="BA59" i="22"/>
  <c r="BB59" i="22" s="1"/>
  <c r="BC59" i="22" s="1"/>
  <c r="G59" i="22"/>
  <c r="H59" i="22" s="1"/>
  <c r="I59" i="22" s="1"/>
  <c r="J59" i="22" s="1"/>
  <c r="K59" i="22" s="1"/>
  <c r="L59" i="22" s="1"/>
  <c r="BA28" i="22"/>
  <c r="BB28" i="22" s="1"/>
  <c r="BC28" i="22" s="1"/>
  <c r="BA32" i="22"/>
  <c r="BB32" i="22" s="1"/>
  <c r="BC32" i="22" s="1"/>
  <c r="BA38" i="22"/>
  <c r="BB38" i="22" s="1"/>
  <c r="BC38" i="22" s="1"/>
  <c r="BA64" i="22"/>
  <c r="BB64" i="22" s="1"/>
  <c r="BC64" i="22" s="1"/>
  <c r="BA33" i="22"/>
  <c r="BB33" i="22" s="1"/>
  <c r="BC33" i="22" s="1"/>
  <c r="BA44" i="22"/>
  <c r="BB44" i="22" s="1"/>
  <c r="BC44" i="22" s="1"/>
  <c r="BA48" i="22"/>
  <c r="BB48" i="22" s="1"/>
  <c r="BC48" i="22" s="1"/>
  <c r="G54" i="22"/>
  <c r="H54" i="22" s="1"/>
  <c r="I54" i="22" s="1"/>
  <c r="J54" i="22" s="1"/>
  <c r="K54" i="22" s="1"/>
  <c r="L54" i="22" s="1"/>
  <c r="G56" i="22"/>
  <c r="H56" i="22" s="1"/>
  <c r="I56" i="22" s="1"/>
  <c r="J56" i="22" s="1"/>
  <c r="K56" i="22" s="1"/>
  <c r="L56" i="22" s="1"/>
  <c r="BA37" i="22"/>
  <c r="BB37" i="22" s="1"/>
  <c r="BC37" i="22" s="1"/>
  <c r="G52" i="22"/>
  <c r="H52" i="22" s="1"/>
  <c r="I52" i="22" s="1"/>
  <c r="J52" i="22" s="1"/>
  <c r="K52" i="22" s="1"/>
  <c r="L52" i="22" s="1"/>
  <c r="BA50" i="22"/>
  <c r="BB50" i="22" s="1"/>
  <c r="BC50" i="22" s="1"/>
  <c r="BA61" i="22"/>
  <c r="BB61" i="22" s="1"/>
  <c r="BC61" i="22" s="1"/>
  <c r="BA72" i="22"/>
  <c r="BB72" i="22" s="1"/>
  <c r="BC72" i="22" s="1"/>
  <c r="G72" i="22"/>
  <c r="H72" i="22" s="1"/>
  <c r="I72" i="22" s="1"/>
  <c r="J72" i="22" s="1"/>
  <c r="K72" i="22" s="1"/>
  <c r="L72" i="22" s="1"/>
  <c r="BA58" i="22"/>
  <c r="BB58" i="22" s="1"/>
  <c r="BC58" i="22" s="1"/>
  <c r="G58" i="22"/>
  <c r="H58" i="22" s="1"/>
  <c r="I58" i="22" s="1"/>
  <c r="J58" i="22" s="1"/>
  <c r="K58" i="22" s="1"/>
  <c r="L58" i="22" s="1"/>
  <c r="BA53" i="22"/>
  <c r="BB53" i="22" s="1"/>
  <c r="BC53" i="22" s="1"/>
  <c r="G55" i="22"/>
  <c r="H55" i="22" s="1"/>
  <c r="I55" i="22" s="1"/>
  <c r="J55" i="22" s="1"/>
  <c r="K55" i="22" s="1"/>
  <c r="L55" i="22" s="1"/>
  <c r="BA62" i="22"/>
  <c r="BB62" i="22" s="1"/>
  <c r="BC62" i="22" s="1"/>
  <c r="I65" i="22"/>
  <c r="J65" i="22" s="1"/>
  <c r="K65" i="22" s="1"/>
  <c r="L65" i="22" s="1"/>
  <c r="G60" i="22"/>
  <c r="H60" i="22" s="1"/>
  <c r="I60" i="22" s="1"/>
  <c r="J60" i="22" s="1"/>
  <c r="K60" i="22" s="1"/>
  <c r="L60" i="22" s="1"/>
  <c r="BA69" i="22"/>
  <c r="BB69" i="22" s="1"/>
  <c r="BC69" i="22" s="1"/>
  <c r="G69" i="22"/>
  <c r="H69" i="22" s="1"/>
  <c r="I69" i="22" s="1"/>
  <c r="J69" i="22" s="1"/>
  <c r="K69" i="22" s="1"/>
  <c r="L69" i="22" s="1"/>
  <c r="BA63" i="22"/>
  <c r="BB63" i="22" s="1"/>
  <c r="BC63" i="22" s="1"/>
  <c r="BA73" i="22"/>
  <c r="BB73" i="22" s="1"/>
  <c r="BC73" i="22" s="1"/>
  <c r="BA66" i="22"/>
  <c r="BB66" i="22" s="1"/>
  <c r="BC66" i="22" s="1"/>
  <c r="BA71" i="22"/>
  <c r="BB71" i="22" s="1"/>
  <c r="BC71" i="22" s="1"/>
  <c r="G73" i="22"/>
  <c r="H73" i="22" s="1"/>
  <c r="I73" i="22" s="1"/>
  <c r="J73" i="22" s="1"/>
  <c r="K73" i="22" s="1"/>
  <c r="L73" i="22" s="1"/>
  <c r="BA70" i="22"/>
  <c r="BB70" i="22" s="1"/>
  <c r="BC70" i="22" s="1"/>
  <c r="AA72" i="21"/>
  <c r="AB72" i="21" s="1"/>
  <c r="BA72" i="21"/>
  <c r="BB72" i="21" s="1"/>
  <c r="P16" i="21"/>
  <c r="Q16" i="21" s="1"/>
  <c r="R16" i="21" s="1"/>
  <c r="S16" i="21" s="1"/>
  <c r="T16" i="21" s="1"/>
  <c r="AL74" i="21"/>
  <c r="BA60" i="21"/>
  <c r="BB60" i="21" s="1"/>
  <c r="BC60" i="21"/>
  <c r="BA12" i="21"/>
  <c r="BB12" i="21" s="1"/>
  <c r="BC12" i="21" s="1"/>
  <c r="BA16" i="21"/>
  <c r="BB16" i="21" s="1"/>
  <c r="BC16" i="21" s="1"/>
  <c r="BA20" i="21"/>
  <c r="BB20" i="21" s="1"/>
  <c r="BC20" i="21" s="1"/>
  <c r="BA26" i="21"/>
  <c r="BB26" i="21" s="1"/>
  <c r="BC26" i="21" s="1"/>
  <c r="BA19" i="21"/>
  <c r="BB19" i="21" s="1"/>
  <c r="BC19" i="21" s="1"/>
  <c r="BA27" i="21"/>
  <c r="BB27" i="21" s="1"/>
  <c r="BC27" i="21" s="1"/>
  <c r="O74" i="21"/>
  <c r="P10" i="21"/>
  <c r="AD74" i="21"/>
  <c r="AM10" i="21"/>
  <c r="BA24" i="21"/>
  <c r="BB24" i="21" s="1"/>
  <c r="BC24" i="21" s="1"/>
  <c r="BA25" i="21"/>
  <c r="BB25" i="21" s="1"/>
  <c r="BC25" i="21" s="1"/>
  <c r="BA28" i="21"/>
  <c r="BB28" i="21" s="1"/>
  <c r="BC28" i="21" s="1"/>
  <c r="BA49" i="21"/>
  <c r="BB49" i="21" s="1"/>
  <c r="BC49" i="21" s="1"/>
  <c r="V74" i="21"/>
  <c r="AE74" i="21"/>
  <c r="BA11" i="21"/>
  <c r="BB11" i="21" s="1"/>
  <c r="BC11" i="21" s="1"/>
  <c r="BA32" i="21"/>
  <c r="BB32" i="21" s="1"/>
  <c r="BC32" i="21" s="1"/>
  <c r="N74" i="21"/>
  <c r="W10" i="21"/>
  <c r="AF10" i="21"/>
  <c r="BA33" i="21"/>
  <c r="BB33" i="21" s="1"/>
  <c r="BC33" i="21" s="1"/>
  <c r="BA40" i="21"/>
  <c r="BB40" i="21" s="1"/>
  <c r="BC40" i="21" s="1"/>
  <c r="BA43" i="21"/>
  <c r="BB43" i="21" s="1"/>
  <c r="BC43" i="21" s="1"/>
  <c r="BA46" i="21"/>
  <c r="BB46" i="21" s="1"/>
  <c r="BC46" i="21" s="1"/>
  <c r="BA47" i="21"/>
  <c r="BB47" i="21" s="1"/>
  <c r="BC47" i="21" s="1"/>
  <c r="BA41" i="21"/>
  <c r="BB41" i="21" s="1"/>
  <c r="BC41" i="21" s="1"/>
  <c r="BA48" i="21"/>
  <c r="BB48" i="21" s="1"/>
  <c r="BC48" i="21" s="1"/>
  <c r="BC72" i="21"/>
  <c r="BA36" i="21"/>
  <c r="BB36" i="21" s="1"/>
  <c r="BC36" i="21" s="1"/>
  <c r="BA37" i="21"/>
  <c r="BB37" i="21" s="1"/>
  <c r="BC37" i="21" s="1"/>
  <c r="BA38" i="21"/>
  <c r="BB38" i="21" s="1"/>
  <c r="BC38" i="21" s="1"/>
  <c r="BA39" i="21"/>
  <c r="BB39" i="21" s="1"/>
  <c r="BC39" i="21" s="1"/>
  <c r="BA44" i="21"/>
  <c r="BB44" i="21" s="1"/>
  <c r="BC44" i="21" s="1"/>
  <c r="BA57" i="21"/>
  <c r="BB57" i="21" s="1"/>
  <c r="BC57" i="21" s="1"/>
  <c r="BA64" i="21"/>
  <c r="BB64" i="21" s="1"/>
  <c r="BC64" i="21" s="1"/>
  <c r="BA58" i="21"/>
  <c r="BB58" i="21" s="1"/>
  <c r="BC58" i="21" s="1"/>
  <c r="BA61" i="21"/>
  <c r="BB61" i="21" s="1"/>
  <c r="BC61" i="21" s="1"/>
  <c r="P68" i="21"/>
  <c r="Q68" i="21" s="1"/>
  <c r="R68" i="21" s="1"/>
  <c r="S68" i="21" s="1"/>
  <c r="T68" i="21" s="1"/>
  <c r="BA50" i="21"/>
  <c r="BB50" i="21" s="1"/>
  <c r="BC50" i="21" s="1"/>
  <c r="BA62" i="21"/>
  <c r="BB62" i="21" s="1"/>
  <c r="BC62" i="21" s="1"/>
  <c r="BA65" i="21"/>
  <c r="BB65" i="21" s="1"/>
  <c r="BC65" i="21" s="1"/>
  <c r="BA71" i="21"/>
  <c r="BB71" i="21" s="1"/>
  <c r="BC71" i="21" s="1"/>
  <c r="BA66" i="21"/>
  <c r="BB66" i="21" s="1"/>
  <c r="BC66" i="21" s="1"/>
  <c r="I27" i="20"/>
  <c r="J27" i="20" s="1"/>
  <c r="G32" i="20"/>
  <c r="H32" i="20" s="1"/>
  <c r="I32" i="20" s="1"/>
  <c r="J32" i="20" s="1"/>
  <c r="K32" i="20" s="1"/>
  <c r="L32" i="20" s="1"/>
  <c r="AE74" i="20"/>
  <c r="G26" i="20"/>
  <c r="H26" i="20" s="1"/>
  <c r="I26" i="20" s="1"/>
  <c r="J26" i="20" s="1"/>
  <c r="K26" i="20" s="1"/>
  <c r="L26" i="20" s="1"/>
  <c r="BA26" i="20"/>
  <c r="BB26" i="20" s="1"/>
  <c r="AF10" i="20"/>
  <c r="L48" i="20"/>
  <c r="BA48" i="20"/>
  <c r="BB48" i="20" s="1"/>
  <c r="BA15" i="20"/>
  <c r="BB15" i="20" s="1"/>
  <c r="L39" i="20"/>
  <c r="BA39" i="20"/>
  <c r="BB39" i="20" s="1"/>
  <c r="K51" i="20"/>
  <c r="L51" i="20" s="1"/>
  <c r="I53" i="20"/>
  <c r="J53" i="20" s="1"/>
  <c r="K53" i="20" s="1"/>
  <c r="L53" i="20" s="1"/>
  <c r="J62" i="20"/>
  <c r="K62" i="20" s="1"/>
  <c r="L62" i="20" s="1"/>
  <c r="BA62" i="20"/>
  <c r="BB62" i="20" s="1"/>
  <c r="L71" i="20"/>
  <c r="BA71" i="20"/>
  <c r="BB71" i="20" s="1"/>
  <c r="J34" i="20"/>
  <c r="K34" i="20" s="1"/>
  <c r="L34" i="20" s="1"/>
  <c r="P10" i="20"/>
  <c r="O74" i="20"/>
  <c r="G22" i="20"/>
  <c r="H22" i="20" s="1"/>
  <c r="I22" i="20" s="1"/>
  <c r="J22" i="20" s="1"/>
  <c r="K22" i="20" s="1"/>
  <c r="L22" i="20" s="1"/>
  <c r="BA22" i="20"/>
  <c r="BB22" i="20" s="1"/>
  <c r="G12" i="20"/>
  <c r="H12" i="20" s="1"/>
  <c r="I12" i="20" s="1"/>
  <c r="J12" i="20" s="1"/>
  <c r="K12" i="20" s="1"/>
  <c r="L12" i="20" s="1"/>
  <c r="BA40" i="20"/>
  <c r="BB40" i="20" s="1"/>
  <c r="BA28" i="20"/>
  <c r="BB28" i="20" s="1"/>
  <c r="BA49" i="20"/>
  <c r="BB49" i="20" s="1"/>
  <c r="BA16" i="20"/>
  <c r="BB16" i="20" s="1"/>
  <c r="BA73" i="20"/>
  <c r="BB73" i="20" s="1"/>
  <c r="F74" i="20"/>
  <c r="G11" i="20"/>
  <c r="H11" i="20" s="1"/>
  <c r="G21" i="20"/>
  <c r="H21" i="20" s="1"/>
  <c r="J21" i="20" s="1"/>
  <c r="K21" i="20" s="1"/>
  <c r="L21" i="20" s="1"/>
  <c r="BA45" i="20"/>
  <c r="BB45" i="20" s="1"/>
  <c r="H33" i="20"/>
  <c r="J33" i="20" s="1"/>
  <c r="K33" i="20" s="1"/>
  <c r="L33" i="20" s="1"/>
  <c r="BA13" i="20"/>
  <c r="BB13" i="20" s="1"/>
  <c r="AD74" i="20"/>
  <c r="BA19" i="20"/>
  <c r="BB19" i="20" s="1"/>
  <c r="BA29" i="20"/>
  <c r="BB29" i="20" s="1"/>
  <c r="BA54" i="20"/>
  <c r="BB54" i="20" s="1"/>
  <c r="BA31" i="20"/>
  <c r="BB31" i="20" s="1"/>
  <c r="G55" i="20"/>
  <c r="H55" i="20" s="1"/>
  <c r="I55" i="20" s="1"/>
  <c r="J55" i="20" s="1"/>
  <c r="K55" i="20" s="1"/>
  <c r="L55" i="20" s="1"/>
  <c r="H59" i="20"/>
  <c r="I59" i="20" s="1"/>
  <c r="J59" i="20" s="1"/>
  <c r="K59" i="20" s="1"/>
  <c r="L59" i="20" s="1"/>
  <c r="BA59" i="20"/>
  <c r="BB59" i="20" s="1"/>
  <c r="G65" i="20"/>
  <c r="H65" i="20" s="1"/>
  <c r="I65" i="20" s="1"/>
  <c r="J65" i="20" s="1"/>
  <c r="K65" i="20" s="1"/>
  <c r="L65" i="20" s="1"/>
  <c r="BA65" i="20"/>
  <c r="BB65" i="20" s="1"/>
  <c r="AL74" i="20"/>
  <c r="AM10" i="20"/>
  <c r="BA14" i="20"/>
  <c r="BB14" i="20" s="1"/>
  <c r="H23" i="20"/>
  <c r="I23" i="20" s="1"/>
  <c r="J23" i="20" s="1"/>
  <c r="K23" i="20" s="1"/>
  <c r="L23" i="20" s="1"/>
  <c r="H58" i="20"/>
  <c r="I58" i="20" s="1"/>
  <c r="J58" i="20" s="1"/>
  <c r="K58" i="20" s="1"/>
  <c r="L58" i="20" s="1"/>
  <c r="BA58" i="20"/>
  <c r="BB58" i="20" s="1"/>
  <c r="AT74" i="20"/>
  <c r="AU10" i="20"/>
  <c r="G17" i="20"/>
  <c r="H17" i="20" s="1"/>
  <c r="I17" i="20" s="1"/>
  <c r="J17" i="20" s="1"/>
  <c r="K17" i="20" s="1"/>
  <c r="L17" i="20" s="1"/>
  <c r="BA24" i="20"/>
  <c r="BB24" i="20" s="1"/>
  <c r="BA18" i="20"/>
  <c r="BB18" i="20" s="1"/>
  <c r="H37" i="20"/>
  <c r="I37" i="20" s="1"/>
  <c r="J37" i="20" s="1"/>
  <c r="K37" i="20" s="1"/>
  <c r="L37" i="20" s="1"/>
  <c r="BA43" i="20"/>
  <c r="BB43" i="20" s="1"/>
  <c r="G64" i="20"/>
  <c r="H64" i="20" s="1"/>
  <c r="I64" i="20" s="1"/>
  <c r="J64" i="20" s="1"/>
  <c r="K64" i="20" s="1"/>
  <c r="L64" i="20" s="1"/>
  <c r="BA64" i="20"/>
  <c r="BB64" i="20" s="1"/>
  <c r="N74" i="20"/>
  <c r="G72" i="20"/>
  <c r="H72" i="20" s="1"/>
  <c r="I72" i="20" s="1"/>
  <c r="J72" i="20" s="1"/>
  <c r="K72" i="20" s="1"/>
  <c r="L72" i="20" s="1"/>
  <c r="BA72" i="20"/>
  <c r="BB72" i="20" s="1"/>
  <c r="BA41" i="20"/>
  <c r="BB41" i="20" s="1"/>
  <c r="BA44" i="20"/>
  <c r="BB44" i="20" s="1"/>
  <c r="J61" i="20"/>
  <c r="K61" i="20" s="1"/>
  <c r="L61" i="20" s="1"/>
  <c r="BA61" i="20"/>
  <c r="BB61" i="20" s="1"/>
  <c r="K67" i="20"/>
  <c r="L67" i="20" s="1"/>
  <c r="G30" i="20"/>
  <c r="H30" i="20" s="1"/>
  <c r="I30" i="20" s="1"/>
  <c r="J30" i="20" s="1"/>
  <c r="K30" i="20" s="1"/>
  <c r="L30" i="20" s="1"/>
  <c r="G36" i="20"/>
  <c r="H36" i="20" s="1"/>
  <c r="I36" i="20" s="1"/>
  <c r="J36" i="20" s="1"/>
  <c r="K36" i="20" s="1"/>
  <c r="L36" i="20" s="1"/>
  <c r="BA47" i="20"/>
  <c r="BB47" i="20" s="1"/>
  <c r="G70" i="20"/>
  <c r="H70" i="20" s="1"/>
  <c r="I70" i="20" s="1"/>
  <c r="J70" i="20" s="1"/>
  <c r="K70" i="20" s="1"/>
  <c r="L70" i="20" s="1"/>
  <c r="BA70" i="20"/>
  <c r="BB70" i="20" s="1"/>
  <c r="G52" i="20"/>
  <c r="H52" i="20" s="1"/>
  <c r="J52" i="20" s="1"/>
  <c r="K52" i="20" s="1"/>
  <c r="L52" i="20" s="1"/>
  <c r="BA52" i="20"/>
  <c r="BB52" i="20" s="1"/>
  <c r="BA38" i="20"/>
  <c r="BB38" i="20" s="1"/>
  <c r="G63" i="20"/>
  <c r="H63" i="20" s="1"/>
  <c r="I63" i="20" s="1"/>
  <c r="J63" i="20" s="1"/>
  <c r="K63" i="20" s="1"/>
  <c r="L63" i="20" s="1"/>
  <c r="BA63" i="20"/>
  <c r="BB63" i="20" s="1"/>
  <c r="V74" i="20"/>
  <c r="W10" i="20"/>
  <c r="G42" i="20"/>
  <c r="H42" i="20" s="1"/>
  <c r="I42" i="20" s="1"/>
  <c r="J42" i="20" s="1"/>
  <c r="K42" i="20" s="1"/>
  <c r="L42" i="20" s="1"/>
  <c r="BA42" i="20"/>
  <c r="BB42" i="20" s="1"/>
  <c r="BA35" i="20"/>
  <c r="BB35" i="20" s="1"/>
  <c r="H50" i="20"/>
  <c r="I50" i="20" s="1"/>
  <c r="J50" i="20" s="1"/>
  <c r="K50" i="20" s="1"/>
  <c r="L50" i="20" s="1"/>
  <c r="BA50" i="20"/>
  <c r="BB50" i="20" s="1"/>
  <c r="G56" i="20"/>
  <c r="H56" i="20" s="1"/>
  <c r="I56" i="20" s="1"/>
  <c r="J56" i="20" s="1"/>
  <c r="K56" i="20" s="1"/>
  <c r="L56" i="20" s="1"/>
  <c r="BA56" i="20"/>
  <c r="BB56" i="20" s="1"/>
  <c r="BA60" i="20"/>
  <c r="BB60" i="20" s="1"/>
  <c r="H10" i="20"/>
  <c r="G20" i="20"/>
  <c r="H20" i="20" s="1"/>
  <c r="I20" i="20" s="1"/>
  <c r="J20" i="20" s="1"/>
  <c r="K20" i="20" s="1"/>
  <c r="L20" i="20" s="1"/>
  <c r="G25" i="20"/>
  <c r="H25" i="20" s="1"/>
  <c r="I25" i="20" s="1"/>
  <c r="J25" i="20" s="1"/>
  <c r="K25" i="20" s="1"/>
  <c r="L25" i="20" s="1"/>
  <c r="BA46" i="20"/>
  <c r="BB46" i="20" s="1"/>
  <c r="G68" i="20"/>
  <c r="H68" i="20" s="1"/>
  <c r="I68" i="20" s="1"/>
  <c r="J68" i="20" s="1"/>
  <c r="K68" i="20" s="1"/>
  <c r="L68" i="20" s="1"/>
  <c r="BA68" i="20"/>
  <c r="BB68" i="20" s="1"/>
  <c r="G69" i="20"/>
  <c r="H69" i="20" s="1"/>
  <c r="I69" i="20" s="1"/>
  <c r="J69" i="20" s="1"/>
  <c r="K69" i="20" s="1"/>
  <c r="L69" i="20" s="1"/>
  <c r="BA69" i="20"/>
  <c r="BB69" i="20" s="1"/>
  <c r="G57" i="20"/>
  <c r="H57" i="20" s="1"/>
  <c r="I57" i="20" s="1"/>
  <c r="J57" i="20" s="1"/>
  <c r="K57" i="20" s="1"/>
  <c r="L57" i="20" s="1"/>
  <c r="BA57" i="20"/>
  <c r="BB57" i="20" s="1"/>
  <c r="G66" i="20"/>
  <c r="H66" i="20" s="1"/>
  <c r="I66" i="20" s="1"/>
  <c r="J66" i="20" s="1"/>
  <c r="K66" i="20" s="1"/>
  <c r="L66" i="20" s="1"/>
  <c r="O10" i="16"/>
  <c r="N74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R70" i="16" s="1"/>
  <c r="S70" i="16" s="1"/>
  <c r="T70" i="16" s="1"/>
  <c r="Q71" i="16"/>
  <c r="Q72" i="16"/>
  <c r="Q73" i="16"/>
  <c r="W10" i="16"/>
  <c r="V74" i="16"/>
  <c r="AE10" i="16"/>
  <c r="AD74" i="16"/>
  <c r="AM10" i="16"/>
  <c r="AL74" i="16"/>
  <c r="AU10" i="16"/>
  <c r="AT74" i="16"/>
  <c r="R26" i="19"/>
  <c r="S26" i="19" s="1"/>
  <c r="T26" i="19" s="1"/>
  <c r="F74" i="19"/>
  <c r="G10" i="19"/>
  <c r="N74" i="19"/>
  <c r="O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0" i="16"/>
  <c r="F74" i="16"/>
  <c r="F74" i="18"/>
  <c r="G10" i="18"/>
  <c r="BA13" i="33" l="1"/>
  <c r="BB13" i="33" s="1"/>
  <c r="BC13" i="33" s="1"/>
  <c r="BA24" i="34"/>
  <c r="BB24" i="34" s="1"/>
  <c r="BC24" i="34" s="1"/>
  <c r="G74" i="34"/>
  <c r="H10" i="34"/>
  <c r="X74" i="34"/>
  <c r="BA52" i="34"/>
  <c r="BB52" i="34" s="1"/>
  <c r="BC52" i="34" s="1"/>
  <c r="BA33" i="34"/>
  <c r="BB33" i="34" s="1"/>
  <c r="BC33" i="34" s="1"/>
  <c r="BA20" i="34"/>
  <c r="BB20" i="34" s="1"/>
  <c r="BC20" i="34" s="1"/>
  <c r="BA11" i="34"/>
  <c r="BB11" i="34" s="1"/>
  <c r="BC11" i="34" s="1"/>
  <c r="O74" i="34"/>
  <c r="P10" i="34"/>
  <c r="BA67" i="34"/>
  <c r="BB67" i="34" s="1"/>
  <c r="BC67" i="34" s="1"/>
  <c r="BA60" i="34"/>
  <c r="BB60" i="34" s="1"/>
  <c r="BC60" i="34" s="1"/>
  <c r="BA53" i="34"/>
  <c r="BB53" i="34" s="1"/>
  <c r="BC53" i="34" s="1"/>
  <c r="BA45" i="34"/>
  <c r="BB45" i="34" s="1"/>
  <c r="BC45" i="34" s="1"/>
  <c r="AE74" i="34"/>
  <c r="AF10" i="34"/>
  <c r="BA37" i="34"/>
  <c r="BB37" i="34" s="1"/>
  <c r="BC37" i="34" s="1"/>
  <c r="BA26" i="34"/>
  <c r="BB26" i="34" s="1"/>
  <c r="BC26" i="34" s="1"/>
  <c r="BA19" i="34"/>
  <c r="BB19" i="34" s="1"/>
  <c r="BC19" i="34" s="1"/>
  <c r="AM74" i="34"/>
  <c r="AU74" i="34"/>
  <c r="BA32" i="34"/>
  <c r="BB32" i="34" s="1"/>
  <c r="BC32" i="34" s="1"/>
  <c r="BA14" i="34"/>
  <c r="BB14" i="34" s="1"/>
  <c r="BC14" i="34" s="1"/>
  <c r="BA70" i="34"/>
  <c r="BB70" i="34" s="1"/>
  <c r="BC70" i="34" s="1"/>
  <c r="BA58" i="34"/>
  <c r="BB58" i="34" s="1"/>
  <c r="BC58" i="34" s="1"/>
  <c r="BA69" i="34"/>
  <c r="BB69" i="34" s="1"/>
  <c r="BC69" i="34" s="1"/>
  <c r="BA65" i="34"/>
  <c r="BB65" i="34" s="1"/>
  <c r="BC65" i="34" s="1"/>
  <c r="BA41" i="34"/>
  <c r="BB41" i="34" s="1"/>
  <c r="BC41" i="34" s="1"/>
  <c r="BA36" i="34"/>
  <c r="BB36" i="34" s="1"/>
  <c r="BC36" i="34" s="1"/>
  <c r="BA27" i="34"/>
  <c r="BB27" i="34" s="1"/>
  <c r="BC27" i="34" s="1"/>
  <c r="BA22" i="34"/>
  <c r="BB22" i="34" s="1"/>
  <c r="BC22" i="34" s="1"/>
  <c r="BA59" i="33"/>
  <c r="BB59" i="33" s="1"/>
  <c r="BC59" i="33" s="1"/>
  <c r="BA38" i="33"/>
  <c r="BB38" i="33" s="1"/>
  <c r="BC38" i="33" s="1"/>
  <c r="BA34" i="33"/>
  <c r="BB34" i="33" s="1"/>
  <c r="BC34" i="33" s="1"/>
  <c r="BA12" i="33"/>
  <c r="BB12" i="33" s="1"/>
  <c r="BC12" i="33" s="1"/>
  <c r="BA54" i="33"/>
  <c r="BB54" i="33" s="1"/>
  <c r="BC54" i="33" s="1"/>
  <c r="BA37" i="33"/>
  <c r="BB37" i="33" s="1"/>
  <c r="BC37" i="33" s="1"/>
  <c r="BA17" i="33"/>
  <c r="BB17" i="33" s="1"/>
  <c r="BC17" i="33" s="1"/>
  <c r="W74" i="33"/>
  <c r="BA67" i="33"/>
  <c r="BB67" i="33" s="1"/>
  <c r="BC67" i="33" s="1"/>
  <c r="BA50" i="33"/>
  <c r="BB50" i="33" s="1"/>
  <c r="BC50" i="33" s="1"/>
  <c r="BA36" i="33"/>
  <c r="BB36" i="33" s="1"/>
  <c r="BC36" i="33" s="1"/>
  <c r="BA32" i="33"/>
  <c r="BB32" i="33" s="1"/>
  <c r="BC32" i="33" s="1"/>
  <c r="BA39" i="33"/>
  <c r="BB39" i="33" s="1"/>
  <c r="BC39" i="33" s="1"/>
  <c r="BA26" i="33"/>
  <c r="BB26" i="33" s="1"/>
  <c r="BC26" i="33" s="1"/>
  <c r="BA29" i="33"/>
  <c r="BB29" i="33" s="1"/>
  <c r="BC29" i="33" s="1"/>
  <c r="BA14" i="33"/>
  <c r="BB14" i="33" s="1"/>
  <c r="BC14" i="33" s="1"/>
  <c r="BA70" i="33"/>
  <c r="BB70" i="33" s="1"/>
  <c r="BC70" i="33" s="1"/>
  <c r="BA41" i="33"/>
  <c r="BB41" i="33" s="1"/>
  <c r="BC41" i="33" s="1"/>
  <c r="BA44" i="33"/>
  <c r="BB44" i="33" s="1"/>
  <c r="BC44" i="33" s="1"/>
  <c r="G74" i="33"/>
  <c r="H10" i="33"/>
  <c r="BA56" i="33"/>
  <c r="BB56" i="33" s="1"/>
  <c r="BC56" i="33" s="1"/>
  <c r="O74" i="33"/>
  <c r="BA27" i="33"/>
  <c r="BB27" i="33" s="1"/>
  <c r="BC27" i="33" s="1"/>
  <c r="BA21" i="33"/>
  <c r="BB21" i="33" s="1"/>
  <c r="BC21" i="33" s="1"/>
  <c r="BA24" i="33"/>
  <c r="BB24" i="33" s="1"/>
  <c r="BC24" i="33" s="1"/>
  <c r="BA25" i="33"/>
  <c r="BB25" i="33" s="1"/>
  <c r="BC25" i="33" s="1"/>
  <c r="BA60" i="33"/>
  <c r="BB60" i="33" s="1"/>
  <c r="BC60" i="33" s="1"/>
  <c r="BA63" i="33"/>
  <c r="BB63" i="33" s="1"/>
  <c r="BC63" i="33" s="1"/>
  <c r="BA40" i="33"/>
  <c r="BB40" i="33" s="1"/>
  <c r="BC40" i="33" s="1"/>
  <c r="BA28" i="33"/>
  <c r="BB28" i="33" s="1"/>
  <c r="BC28" i="33" s="1"/>
  <c r="BA20" i="33"/>
  <c r="BB20" i="33" s="1"/>
  <c r="BC20" i="33" s="1"/>
  <c r="BA18" i="33"/>
  <c r="BB18" i="33" s="1"/>
  <c r="BC18" i="33" s="1"/>
  <c r="BA22" i="33"/>
  <c r="BB22" i="33" s="1"/>
  <c r="BC22" i="33" s="1"/>
  <c r="BA72" i="32"/>
  <c r="BB72" i="32" s="1"/>
  <c r="BC72" i="32" s="1"/>
  <c r="BA13" i="32"/>
  <c r="BB13" i="32" s="1"/>
  <c r="BC13" i="32" s="1"/>
  <c r="BA45" i="32"/>
  <c r="BB45" i="32" s="1"/>
  <c r="BC45" i="32" s="1"/>
  <c r="AM74" i="32"/>
  <c r="AN10" i="32"/>
  <c r="BA46" i="32"/>
  <c r="BB46" i="32" s="1"/>
  <c r="BC46" i="32" s="1"/>
  <c r="BA43" i="32"/>
  <c r="BB43" i="32" s="1"/>
  <c r="BC43" i="32" s="1"/>
  <c r="AF74" i="32"/>
  <c r="AG10" i="32"/>
  <c r="BA34" i="32"/>
  <c r="BB34" i="32" s="1"/>
  <c r="BC34" i="32" s="1"/>
  <c r="BA63" i="32"/>
  <c r="BB63" i="32" s="1"/>
  <c r="BC63" i="32" s="1"/>
  <c r="X10" i="32"/>
  <c r="W74" i="32"/>
  <c r="BA23" i="32"/>
  <c r="BB23" i="32" s="1"/>
  <c r="BC23" i="32" s="1"/>
  <c r="G74" i="32"/>
  <c r="H10" i="32"/>
  <c r="BA26" i="32"/>
  <c r="BB26" i="32" s="1"/>
  <c r="BC26" i="32" s="1"/>
  <c r="BA39" i="32"/>
  <c r="BB39" i="32" s="1"/>
  <c r="BC39" i="32" s="1"/>
  <c r="BA40" i="32"/>
  <c r="BB40" i="32" s="1"/>
  <c r="BC40" i="32" s="1"/>
  <c r="BA47" i="32"/>
  <c r="BB47" i="32" s="1"/>
  <c r="BC47" i="32" s="1"/>
  <c r="BA28" i="32"/>
  <c r="BB28" i="32" s="1"/>
  <c r="BC28" i="32" s="1"/>
  <c r="BA73" i="31"/>
  <c r="BB73" i="31" s="1"/>
  <c r="BC73" i="31" s="1"/>
  <c r="BA64" i="31"/>
  <c r="BB64" i="31" s="1"/>
  <c r="BC64" i="31" s="1"/>
  <c r="BA41" i="31"/>
  <c r="BB41" i="31" s="1"/>
  <c r="BC41" i="31" s="1"/>
  <c r="BA24" i="31"/>
  <c r="BB24" i="31" s="1"/>
  <c r="BC24" i="31" s="1"/>
  <c r="BA31" i="31"/>
  <c r="BB31" i="31" s="1"/>
  <c r="BC31" i="31" s="1"/>
  <c r="AW74" i="31"/>
  <c r="AX10" i="31"/>
  <c r="BA11" i="31"/>
  <c r="BB11" i="31" s="1"/>
  <c r="BC11" i="31" s="1"/>
  <c r="G74" i="31"/>
  <c r="BA61" i="31"/>
  <c r="BB61" i="31" s="1"/>
  <c r="BC61" i="31" s="1"/>
  <c r="AE74" i="31"/>
  <c r="AF10" i="31"/>
  <c r="BA25" i="31"/>
  <c r="BB25" i="31" s="1"/>
  <c r="BC25" i="31" s="1"/>
  <c r="BA62" i="31"/>
  <c r="BB62" i="31" s="1"/>
  <c r="BC62" i="31" s="1"/>
  <c r="BA33" i="31"/>
  <c r="BB33" i="31" s="1"/>
  <c r="BC33" i="31" s="1"/>
  <c r="BA54" i="31"/>
  <c r="BB54" i="31" s="1"/>
  <c r="BC54" i="31" s="1"/>
  <c r="BA47" i="31"/>
  <c r="BB47" i="31" s="1"/>
  <c r="BC47" i="31" s="1"/>
  <c r="AN74" i="31"/>
  <c r="AO10" i="31"/>
  <c r="Q74" i="31"/>
  <c r="R10" i="31"/>
  <c r="Y74" i="31"/>
  <c r="Z10" i="31"/>
  <c r="BA12" i="31"/>
  <c r="BB12" i="31" s="1"/>
  <c r="BC12" i="31" s="1"/>
  <c r="BA42" i="31"/>
  <c r="BB42" i="31" s="1"/>
  <c r="BC42" i="31" s="1"/>
  <c r="H74" i="31"/>
  <c r="I10" i="31"/>
  <c r="BA14" i="31"/>
  <c r="BB14" i="31" s="1"/>
  <c r="BC14" i="31" s="1"/>
  <c r="BA40" i="30"/>
  <c r="BB40" i="30" s="1"/>
  <c r="BC40" i="30" s="1"/>
  <c r="BA50" i="30"/>
  <c r="BB50" i="30" s="1"/>
  <c r="BC50" i="30" s="1"/>
  <c r="BA62" i="30"/>
  <c r="BB62" i="30" s="1"/>
  <c r="BC62" i="30" s="1"/>
  <c r="BA55" i="30"/>
  <c r="BB55" i="30" s="1"/>
  <c r="BC55" i="30" s="1"/>
  <c r="BA47" i="30"/>
  <c r="BB47" i="30" s="1"/>
  <c r="BC47" i="30" s="1"/>
  <c r="BA38" i="30"/>
  <c r="BB38" i="30" s="1"/>
  <c r="BC38" i="30" s="1"/>
  <c r="BA39" i="30"/>
  <c r="BB39" i="30" s="1"/>
  <c r="BC39" i="30" s="1"/>
  <c r="AH74" i="30"/>
  <c r="AI10" i="30"/>
  <c r="G74" i="30"/>
  <c r="H10" i="30"/>
  <c r="BA64" i="30"/>
  <c r="BB64" i="30" s="1"/>
  <c r="BC64" i="30" s="1"/>
  <c r="BA59" i="30"/>
  <c r="BB59" i="30" s="1"/>
  <c r="BC59" i="30" s="1"/>
  <c r="Y74" i="30"/>
  <c r="Z10" i="30"/>
  <c r="BA32" i="30"/>
  <c r="BB32" i="30" s="1"/>
  <c r="BC32" i="30" s="1"/>
  <c r="BA19" i="30"/>
  <c r="BB19" i="30" s="1"/>
  <c r="BC19" i="30" s="1"/>
  <c r="BA63" i="30"/>
  <c r="BB63" i="30" s="1"/>
  <c r="BC63" i="30" s="1"/>
  <c r="BA54" i="30"/>
  <c r="BB54" i="30" s="1"/>
  <c r="BC54" i="30" s="1"/>
  <c r="BA67" i="30"/>
  <c r="BB67" i="30" s="1"/>
  <c r="BC67" i="30" s="1"/>
  <c r="BA34" i="30"/>
  <c r="BB34" i="30" s="1"/>
  <c r="BC34" i="30" s="1"/>
  <c r="BA21" i="30"/>
  <c r="BB21" i="30" s="1"/>
  <c r="BC21" i="30" s="1"/>
  <c r="BA30" i="30"/>
  <c r="BB30" i="30" s="1"/>
  <c r="BC30" i="30" s="1"/>
  <c r="BA15" i="30"/>
  <c r="BB15" i="30" s="1"/>
  <c r="BC15" i="30" s="1"/>
  <c r="AM74" i="29"/>
  <c r="AN10" i="29"/>
  <c r="W74" i="29"/>
  <c r="X10" i="29"/>
  <c r="BA57" i="29"/>
  <c r="BB57" i="29" s="1"/>
  <c r="BC57" i="29" s="1"/>
  <c r="BA15" i="29"/>
  <c r="BB15" i="29" s="1"/>
  <c r="BC15" i="29" s="1"/>
  <c r="BA65" i="29"/>
  <c r="BB65" i="29" s="1"/>
  <c r="BC65" i="29" s="1"/>
  <c r="BA61" i="29"/>
  <c r="BB61" i="29" s="1"/>
  <c r="BC61" i="29" s="1"/>
  <c r="G74" i="29"/>
  <c r="H10" i="29"/>
  <c r="BA28" i="29"/>
  <c r="BB28" i="29" s="1"/>
  <c r="BC28" i="29" s="1"/>
  <c r="O74" i="29"/>
  <c r="P10" i="29"/>
  <c r="BA25" i="29"/>
  <c r="BB25" i="29" s="1"/>
  <c r="BC25" i="29" s="1"/>
  <c r="BA12" i="29"/>
  <c r="BB12" i="29" s="1"/>
  <c r="BC12" i="29" s="1"/>
  <c r="BA53" i="29"/>
  <c r="BB53" i="29" s="1"/>
  <c r="BC53" i="29" s="1"/>
  <c r="BA39" i="29"/>
  <c r="BB39" i="29" s="1"/>
  <c r="BC39" i="29" s="1"/>
  <c r="BA22" i="29"/>
  <c r="BB22" i="29" s="1"/>
  <c r="BC22" i="29" s="1"/>
  <c r="BA40" i="29"/>
  <c r="BB40" i="29" s="1"/>
  <c r="BC40" i="29" s="1"/>
  <c r="BA42" i="29"/>
  <c r="BB42" i="29" s="1"/>
  <c r="BC42" i="29" s="1"/>
  <c r="BA20" i="29"/>
  <c r="BB20" i="29" s="1"/>
  <c r="BC20" i="29" s="1"/>
  <c r="AF74" i="29"/>
  <c r="AG10" i="29"/>
  <c r="BA34" i="29"/>
  <c r="BB34" i="29" s="1"/>
  <c r="BC34" i="29" s="1"/>
  <c r="BA14" i="29"/>
  <c r="BB14" i="29" s="1"/>
  <c r="BC14" i="29" s="1"/>
  <c r="BA16" i="29"/>
  <c r="BB16" i="29" s="1"/>
  <c r="BC16" i="29" s="1"/>
  <c r="BA26" i="29"/>
  <c r="BB26" i="29" s="1"/>
  <c r="BC26" i="29" s="1"/>
  <c r="BA36" i="28"/>
  <c r="BB36" i="28" s="1"/>
  <c r="BC36" i="28" s="1"/>
  <c r="BA58" i="28"/>
  <c r="BB58" i="28" s="1"/>
  <c r="BC58" i="28" s="1"/>
  <c r="BA35" i="28"/>
  <c r="BB35" i="28" s="1"/>
  <c r="BC35" i="28" s="1"/>
  <c r="BA68" i="28"/>
  <c r="BB68" i="28" s="1"/>
  <c r="BC68" i="28" s="1"/>
  <c r="BA70" i="28"/>
  <c r="BB70" i="28" s="1"/>
  <c r="BC70" i="28" s="1"/>
  <c r="BA49" i="28"/>
  <c r="BB49" i="28" s="1"/>
  <c r="BC49" i="28" s="1"/>
  <c r="BA60" i="28"/>
  <c r="BB60" i="28" s="1"/>
  <c r="BC60" i="28" s="1"/>
  <c r="BA72" i="28"/>
  <c r="BB72" i="28" s="1"/>
  <c r="BC72" i="28" s="1"/>
  <c r="BA55" i="28"/>
  <c r="BB55" i="28" s="1"/>
  <c r="BC55" i="28" s="1"/>
  <c r="BA23" i="28"/>
  <c r="BB23" i="28" s="1"/>
  <c r="BC23" i="28" s="1"/>
  <c r="BA25" i="28"/>
  <c r="BB25" i="28" s="1"/>
  <c r="BC25" i="28" s="1"/>
  <c r="BA20" i="28"/>
  <c r="BB20" i="28" s="1"/>
  <c r="BC20" i="28" s="1"/>
  <c r="P74" i="28"/>
  <c r="Q10" i="28"/>
  <c r="BA22" i="28"/>
  <c r="BB22" i="28" s="1"/>
  <c r="BC22" i="28" s="1"/>
  <c r="BA59" i="28"/>
  <c r="BB59" i="28" s="1"/>
  <c r="BC59" i="28" s="1"/>
  <c r="BA48" i="28"/>
  <c r="BB48" i="28" s="1"/>
  <c r="BC48" i="28" s="1"/>
  <c r="G74" i="28"/>
  <c r="H10" i="28"/>
  <c r="BA16" i="28"/>
  <c r="BB16" i="28" s="1"/>
  <c r="BC16" i="28" s="1"/>
  <c r="BA21" i="28"/>
  <c r="BB21" i="28" s="1"/>
  <c r="BC21" i="28" s="1"/>
  <c r="BA67" i="28"/>
  <c r="BB67" i="28" s="1"/>
  <c r="BC67" i="28" s="1"/>
  <c r="BA66" i="28"/>
  <c r="BB66" i="28" s="1"/>
  <c r="BC66" i="28" s="1"/>
  <c r="BA46" i="28"/>
  <c r="BB46" i="28" s="1"/>
  <c r="BC46" i="28" s="1"/>
  <c r="BA40" i="28"/>
  <c r="BB40" i="28" s="1"/>
  <c r="BC40" i="28" s="1"/>
  <c r="BA18" i="28"/>
  <c r="BB18" i="28" s="1"/>
  <c r="BC18" i="28" s="1"/>
  <c r="BA19" i="28"/>
  <c r="BB19" i="28" s="1"/>
  <c r="BC19" i="28" s="1"/>
  <c r="BA14" i="28"/>
  <c r="BB14" i="28" s="1"/>
  <c r="BC14" i="28" s="1"/>
  <c r="BA71" i="28"/>
  <c r="BB71" i="28" s="1"/>
  <c r="BC71" i="28" s="1"/>
  <c r="BA51" i="28"/>
  <c r="BB51" i="28" s="1"/>
  <c r="BC51" i="28" s="1"/>
  <c r="BA44" i="28"/>
  <c r="BB44" i="28" s="1"/>
  <c r="BC44" i="28" s="1"/>
  <c r="BA47" i="28"/>
  <c r="BB47" i="28" s="1"/>
  <c r="BC47" i="28" s="1"/>
  <c r="AM74" i="28"/>
  <c r="AN10" i="28"/>
  <c r="W74" i="28"/>
  <c r="X10" i="28"/>
  <c r="BA39" i="28"/>
  <c r="BB39" i="28" s="1"/>
  <c r="BC39" i="28" s="1"/>
  <c r="BA32" i="28"/>
  <c r="BB32" i="28" s="1"/>
  <c r="BC32" i="28" s="1"/>
  <c r="BA17" i="28"/>
  <c r="BB17" i="28" s="1"/>
  <c r="BC17" i="28" s="1"/>
  <c r="BA15" i="28"/>
  <c r="BB15" i="28" s="1"/>
  <c r="BC15" i="28" s="1"/>
  <c r="BA12" i="28"/>
  <c r="BB12" i="28" s="1"/>
  <c r="BC12" i="28" s="1"/>
  <c r="BA24" i="28"/>
  <c r="BB24" i="28" s="1"/>
  <c r="BC24" i="28" s="1"/>
  <c r="BA13" i="28"/>
  <c r="BB13" i="28" s="1"/>
  <c r="BC13" i="28" s="1"/>
  <c r="BA65" i="27"/>
  <c r="BB65" i="27" s="1"/>
  <c r="BC65" i="27" s="1"/>
  <c r="BA63" i="27"/>
  <c r="BB63" i="27" s="1"/>
  <c r="BC63" i="27" s="1"/>
  <c r="G74" i="27"/>
  <c r="BA54" i="27"/>
  <c r="BB54" i="27" s="1"/>
  <c r="BC54" i="27" s="1"/>
  <c r="BA44" i="27"/>
  <c r="BB44" i="27" s="1"/>
  <c r="BC44" i="27" s="1"/>
  <c r="AO74" i="27"/>
  <c r="AP10" i="27"/>
  <c r="I74" i="27"/>
  <c r="J10" i="27"/>
  <c r="BA30" i="27"/>
  <c r="BB30" i="27" s="1"/>
  <c r="BC30" i="27" s="1"/>
  <c r="BA19" i="27"/>
  <c r="BB19" i="27" s="1"/>
  <c r="BC19" i="27" s="1"/>
  <c r="P74" i="27"/>
  <c r="Q10" i="27"/>
  <c r="BA57" i="27"/>
  <c r="BB57" i="27" s="1"/>
  <c r="BC57" i="27" s="1"/>
  <c r="BA62" i="27"/>
  <c r="BB62" i="27" s="1"/>
  <c r="BC62" i="27" s="1"/>
  <c r="AF74" i="27"/>
  <c r="AG10" i="27"/>
  <c r="BA38" i="27"/>
  <c r="BB38" i="27" s="1"/>
  <c r="BC38" i="27" s="1"/>
  <c r="BA31" i="27"/>
  <c r="BB31" i="27" s="1"/>
  <c r="BC31" i="27" s="1"/>
  <c r="BA60" i="27"/>
  <c r="BB60" i="27" s="1"/>
  <c r="BC60" i="27" s="1"/>
  <c r="BA51" i="27"/>
  <c r="BB51" i="27" s="1"/>
  <c r="BC51" i="27" s="1"/>
  <c r="BA50" i="27"/>
  <c r="BB50" i="27" s="1"/>
  <c r="BC50" i="27" s="1"/>
  <c r="W74" i="27"/>
  <c r="X10" i="27"/>
  <c r="BA58" i="27"/>
  <c r="BB58" i="27" s="1"/>
  <c r="BC58" i="27" s="1"/>
  <c r="BA49" i="27"/>
  <c r="BB49" i="27" s="1"/>
  <c r="BC49" i="27" s="1"/>
  <c r="H74" i="27"/>
  <c r="BA14" i="27"/>
  <c r="BB14" i="27" s="1"/>
  <c r="BC14" i="27" s="1"/>
  <c r="BA56" i="27"/>
  <c r="BB56" i="27" s="1"/>
  <c r="BC56" i="27" s="1"/>
  <c r="BA12" i="27"/>
  <c r="BB12" i="27" s="1"/>
  <c r="BC12" i="27" s="1"/>
  <c r="AN10" i="26"/>
  <c r="AM74" i="26"/>
  <c r="AF10" i="26"/>
  <c r="AE74" i="26"/>
  <c r="W74" i="26"/>
  <c r="X10" i="26"/>
  <c r="O74" i="26"/>
  <c r="P10" i="26"/>
  <c r="H10" i="26"/>
  <c r="G74" i="26"/>
  <c r="H73" i="26"/>
  <c r="I73" i="26" s="1"/>
  <c r="J73" i="26" s="1"/>
  <c r="K73" i="26" s="1"/>
  <c r="L73" i="26" s="1"/>
  <c r="BA73" i="26"/>
  <c r="BB73" i="26" s="1"/>
  <c r="BC73" i="26" s="1"/>
  <c r="H72" i="26"/>
  <c r="I72" i="26" s="1"/>
  <c r="J72" i="26" s="1"/>
  <c r="K72" i="26" s="1"/>
  <c r="L72" i="26" s="1"/>
  <c r="BA72" i="26"/>
  <c r="BB72" i="26" s="1"/>
  <c r="BC72" i="26" s="1"/>
  <c r="H71" i="26"/>
  <c r="I71" i="26" s="1"/>
  <c r="J71" i="26" s="1"/>
  <c r="K71" i="26" s="1"/>
  <c r="L71" i="26" s="1"/>
  <c r="BA71" i="26"/>
  <c r="BB71" i="26" s="1"/>
  <c r="BC71" i="26" s="1"/>
  <c r="H70" i="26"/>
  <c r="I70" i="26" s="1"/>
  <c r="J70" i="26" s="1"/>
  <c r="K70" i="26" s="1"/>
  <c r="L70" i="26" s="1"/>
  <c r="BA70" i="26"/>
  <c r="BB70" i="26" s="1"/>
  <c r="BC70" i="26" s="1"/>
  <c r="H69" i="26"/>
  <c r="I69" i="26" s="1"/>
  <c r="J69" i="26" s="1"/>
  <c r="K69" i="26" s="1"/>
  <c r="L69" i="26" s="1"/>
  <c r="BA69" i="26"/>
  <c r="BB69" i="26" s="1"/>
  <c r="BC69" i="26" s="1"/>
  <c r="H65" i="26"/>
  <c r="J65" i="26" s="1"/>
  <c r="K65" i="26" s="1"/>
  <c r="L65" i="26" s="1"/>
  <c r="BA65" i="26"/>
  <c r="BB65" i="26" s="1"/>
  <c r="BC65" i="26" s="1"/>
  <c r="H64" i="26"/>
  <c r="J64" i="26" s="1"/>
  <c r="K64" i="26" s="1"/>
  <c r="L64" i="26" s="1"/>
  <c r="BA64" i="26"/>
  <c r="BB64" i="26" s="1"/>
  <c r="BC64" i="26" s="1"/>
  <c r="H61" i="26"/>
  <c r="I61" i="26" s="1"/>
  <c r="J61" i="26" s="1"/>
  <c r="K61" i="26" s="1"/>
  <c r="L61" i="26" s="1"/>
  <c r="BA61" i="26"/>
  <c r="BB61" i="26" s="1"/>
  <c r="BC61" i="26" s="1"/>
  <c r="H59" i="26"/>
  <c r="I59" i="26" s="1"/>
  <c r="J59" i="26" s="1"/>
  <c r="K59" i="26" s="1"/>
  <c r="L59" i="26" s="1"/>
  <c r="BA59" i="26"/>
  <c r="BB59" i="26" s="1"/>
  <c r="BC59" i="26" s="1"/>
  <c r="H58" i="26"/>
  <c r="I58" i="26" s="1"/>
  <c r="J58" i="26" s="1"/>
  <c r="K58" i="26" s="1"/>
  <c r="L58" i="26" s="1"/>
  <c r="BA58" i="26"/>
  <c r="BB58" i="26" s="1"/>
  <c r="BC58" i="26" s="1"/>
  <c r="H57" i="26"/>
  <c r="I57" i="26" s="1"/>
  <c r="J57" i="26" s="1"/>
  <c r="K57" i="26" s="1"/>
  <c r="L57" i="26" s="1"/>
  <c r="BA57" i="26"/>
  <c r="BB57" i="26" s="1"/>
  <c r="BC57" i="26" s="1"/>
  <c r="H56" i="26"/>
  <c r="I56" i="26" s="1"/>
  <c r="J56" i="26" s="1"/>
  <c r="K56" i="26" s="1"/>
  <c r="L56" i="26" s="1"/>
  <c r="BA56" i="26"/>
  <c r="BB56" i="26" s="1"/>
  <c r="BC56" i="26" s="1"/>
  <c r="K53" i="26"/>
  <c r="L53" i="26" s="1"/>
  <c r="BA53" i="26"/>
  <c r="BB53" i="26" s="1"/>
  <c r="BC53" i="26" s="1"/>
  <c r="H52" i="26"/>
  <c r="I52" i="26" s="1"/>
  <c r="J52" i="26" s="1"/>
  <c r="K52" i="26" s="1"/>
  <c r="L52" i="26" s="1"/>
  <c r="BA52" i="26"/>
  <c r="BB52" i="26" s="1"/>
  <c r="BC52" i="26" s="1"/>
  <c r="J51" i="26"/>
  <c r="K51" i="26" s="1"/>
  <c r="L51" i="26" s="1"/>
  <c r="BA51" i="26"/>
  <c r="BB51" i="26" s="1"/>
  <c r="BC51" i="26" s="1"/>
  <c r="J50" i="26"/>
  <c r="K50" i="26" s="1"/>
  <c r="L50" i="26" s="1"/>
  <c r="BA50" i="26"/>
  <c r="BB50" i="26" s="1"/>
  <c r="BC50" i="26" s="1"/>
  <c r="H49" i="26"/>
  <c r="I49" i="26" s="1"/>
  <c r="J49" i="26" s="1"/>
  <c r="K49" i="26" s="1"/>
  <c r="L49" i="26" s="1"/>
  <c r="BA49" i="26"/>
  <c r="BB49" i="26" s="1"/>
  <c r="BC49" i="26" s="1"/>
  <c r="H48" i="26"/>
  <c r="I48" i="26" s="1"/>
  <c r="J48" i="26" s="1"/>
  <c r="K48" i="26" s="1"/>
  <c r="L48" i="26" s="1"/>
  <c r="BA48" i="26"/>
  <c r="BB48" i="26" s="1"/>
  <c r="BC48" i="26" s="1"/>
  <c r="H47" i="26"/>
  <c r="I47" i="26" s="1"/>
  <c r="J47" i="26" s="1"/>
  <c r="K47" i="26" s="1"/>
  <c r="L47" i="26" s="1"/>
  <c r="BA47" i="26"/>
  <c r="BB47" i="26" s="1"/>
  <c r="BC47" i="26" s="1"/>
  <c r="K46" i="26"/>
  <c r="L46" i="26" s="1"/>
  <c r="BA46" i="26"/>
  <c r="BB46" i="26" s="1"/>
  <c r="BC46" i="26" s="1"/>
  <c r="H45" i="26"/>
  <c r="I45" i="26" s="1"/>
  <c r="J45" i="26" s="1"/>
  <c r="K45" i="26" s="1"/>
  <c r="L45" i="26" s="1"/>
  <c r="BA45" i="26"/>
  <c r="BB45" i="26" s="1"/>
  <c r="BC45" i="26" s="1"/>
  <c r="H44" i="26"/>
  <c r="I44" i="26" s="1"/>
  <c r="J44" i="26" s="1"/>
  <c r="K44" i="26" s="1"/>
  <c r="L44" i="26" s="1"/>
  <c r="BA44" i="26"/>
  <c r="BB44" i="26" s="1"/>
  <c r="BC44" i="26" s="1"/>
  <c r="H43" i="26"/>
  <c r="I43" i="26" s="1"/>
  <c r="J43" i="26" s="1"/>
  <c r="K43" i="26" s="1"/>
  <c r="L43" i="26" s="1"/>
  <c r="BA43" i="26"/>
  <c r="BB43" i="26" s="1"/>
  <c r="BC43" i="26" s="1"/>
  <c r="H42" i="26"/>
  <c r="I42" i="26" s="1"/>
  <c r="J42" i="26" s="1"/>
  <c r="K42" i="26" s="1"/>
  <c r="L42" i="26" s="1"/>
  <c r="BA42" i="26"/>
  <c r="BB42" i="26" s="1"/>
  <c r="BC42" i="26" s="1"/>
  <c r="H41" i="26"/>
  <c r="H39" i="26"/>
  <c r="I39" i="26" s="1"/>
  <c r="J39" i="26" s="1"/>
  <c r="K39" i="26" s="1"/>
  <c r="L39" i="26" s="1"/>
  <c r="BA39" i="26"/>
  <c r="BB39" i="26" s="1"/>
  <c r="BC39" i="26" s="1"/>
  <c r="H38" i="26"/>
  <c r="I38" i="26" s="1"/>
  <c r="J38" i="26" s="1"/>
  <c r="K38" i="26" s="1"/>
  <c r="L38" i="26" s="1"/>
  <c r="BA38" i="26"/>
  <c r="BB38" i="26" s="1"/>
  <c r="BC38" i="26" s="1"/>
  <c r="H37" i="26"/>
  <c r="I37" i="26" s="1"/>
  <c r="J37" i="26" s="1"/>
  <c r="K37" i="26" s="1"/>
  <c r="L37" i="26" s="1"/>
  <c r="BA37" i="26"/>
  <c r="BB37" i="26" s="1"/>
  <c r="BC37" i="26" s="1"/>
  <c r="H36" i="26"/>
  <c r="I36" i="26" s="1"/>
  <c r="J36" i="26" s="1"/>
  <c r="K36" i="26" s="1"/>
  <c r="L36" i="26" s="1"/>
  <c r="BA36" i="26"/>
  <c r="BB36" i="26" s="1"/>
  <c r="BC36" i="26" s="1"/>
  <c r="H34" i="26"/>
  <c r="I34" i="26" s="1"/>
  <c r="J34" i="26" s="1"/>
  <c r="K34" i="26" s="1"/>
  <c r="L34" i="26" s="1"/>
  <c r="BA34" i="26"/>
  <c r="BB34" i="26" s="1"/>
  <c r="BC34" i="26" s="1"/>
  <c r="J33" i="26"/>
  <c r="K33" i="26" s="1"/>
  <c r="L33" i="26" s="1"/>
  <c r="BA33" i="26"/>
  <c r="BB33" i="26" s="1"/>
  <c r="BC33" i="26" s="1"/>
  <c r="H30" i="26"/>
  <c r="I30" i="26" s="1"/>
  <c r="J30" i="26" s="1"/>
  <c r="K30" i="26" s="1"/>
  <c r="L30" i="26" s="1"/>
  <c r="BA30" i="26"/>
  <c r="BB30" i="26" s="1"/>
  <c r="BC30" i="26" s="1"/>
  <c r="H28" i="26"/>
  <c r="I28" i="26" s="1"/>
  <c r="J28" i="26" s="1"/>
  <c r="K28" i="26" s="1"/>
  <c r="L28" i="26" s="1"/>
  <c r="BA28" i="26"/>
  <c r="BB28" i="26" s="1"/>
  <c r="BC28" i="26" s="1"/>
  <c r="H27" i="26"/>
  <c r="I27" i="26" s="1"/>
  <c r="J27" i="26" s="1"/>
  <c r="K27" i="26" s="1"/>
  <c r="L27" i="26" s="1"/>
  <c r="BA27" i="26"/>
  <c r="BB27" i="26" s="1"/>
  <c r="BC27" i="26" s="1"/>
  <c r="J26" i="26"/>
  <c r="K26" i="26" s="1"/>
  <c r="L26" i="26" s="1"/>
  <c r="BA26" i="26"/>
  <c r="BB26" i="26" s="1"/>
  <c r="BC26" i="26" s="1"/>
  <c r="L25" i="26"/>
  <c r="BA25" i="26"/>
  <c r="BB25" i="26" s="1"/>
  <c r="BC25" i="26" s="1"/>
  <c r="L22" i="26"/>
  <c r="BA22" i="26"/>
  <c r="BB22" i="26" s="1"/>
  <c r="BC22" i="26" s="1"/>
  <c r="H20" i="26"/>
  <c r="H19" i="26"/>
  <c r="I19" i="26" s="1"/>
  <c r="J19" i="26" s="1"/>
  <c r="K19" i="26" s="1"/>
  <c r="L19" i="26" s="1"/>
  <c r="BA19" i="26"/>
  <c r="BB19" i="26" s="1"/>
  <c r="BC19" i="26" s="1"/>
  <c r="H18" i="26"/>
  <c r="I18" i="26" s="1"/>
  <c r="J18" i="26" s="1"/>
  <c r="K18" i="26" s="1"/>
  <c r="L18" i="26" s="1"/>
  <c r="BA18" i="26"/>
  <c r="BB18" i="26" s="1"/>
  <c r="BC18" i="26" s="1"/>
  <c r="I17" i="26"/>
  <c r="J17" i="26" s="1"/>
  <c r="K17" i="26" s="1"/>
  <c r="L17" i="26" s="1"/>
  <c r="BA17" i="26"/>
  <c r="BB17" i="26" s="1"/>
  <c r="BC17" i="26" s="1"/>
  <c r="H16" i="26"/>
  <c r="H15" i="26"/>
  <c r="I15" i="26" s="1"/>
  <c r="J15" i="26" s="1"/>
  <c r="K15" i="26" s="1"/>
  <c r="L15" i="26" s="1"/>
  <c r="BA15" i="26"/>
  <c r="BB15" i="26" s="1"/>
  <c r="BC15" i="26" s="1"/>
  <c r="H14" i="26"/>
  <c r="I14" i="26" s="1"/>
  <c r="J14" i="26" s="1"/>
  <c r="K14" i="26" s="1"/>
  <c r="L14" i="26" s="1"/>
  <c r="BA14" i="26"/>
  <c r="BB14" i="26" s="1"/>
  <c r="BC14" i="26" s="1"/>
  <c r="K12" i="26"/>
  <c r="L12" i="26" s="1"/>
  <c r="BA12" i="26"/>
  <c r="BB12" i="26" s="1"/>
  <c r="BC12" i="26" s="1"/>
  <c r="H11" i="26"/>
  <c r="BA11" i="26"/>
  <c r="BB11" i="26" s="1"/>
  <c r="BC11" i="26" s="1"/>
  <c r="AN10" i="25"/>
  <c r="AM74" i="25"/>
  <c r="AE74" i="25"/>
  <c r="AF10" i="25"/>
  <c r="W74" i="25"/>
  <c r="X10" i="25"/>
  <c r="P74" i="25"/>
  <c r="Q10" i="25"/>
  <c r="G74" i="25"/>
  <c r="H10" i="25"/>
  <c r="H72" i="25"/>
  <c r="I72" i="25" s="1"/>
  <c r="J72" i="25" s="1"/>
  <c r="K72" i="25" s="1"/>
  <c r="L72" i="25" s="1"/>
  <c r="BA72" i="25"/>
  <c r="BB72" i="25" s="1"/>
  <c r="BC72" i="25" s="1"/>
  <c r="H70" i="25"/>
  <c r="I70" i="25" s="1"/>
  <c r="J70" i="25" s="1"/>
  <c r="K70" i="25" s="1"/>
  <c r="L70" i="25" s="1"/>
  <c r="BA70" i="25"/>
  <c r="BB70" i="25" s="1"/>
  <c r="BC70" i="25" s="1"/>
  <c r="H69" i="25"/>
  <c r="I69" i="25" s="1"/>
  <c r="J69" i="25" s="1"/>
  <c r="K69" i="25" s="1"/>
  <c r="L69" i="25" s="1"/>
  <c r="BA69" i="25"/>
  <c r="BB69" i="25" s="1"/>
  <c r="BC69" i="25" s="1"/>
  <c r="H68" i="25"/>
  <c r="I68" i="25" s="1"/>
  <c r="J68" i="25" s="1"/>
  <c r="K68" i="25" s="1"/>
  <c r="L68" i="25" s="1"/>
  <c r="BA68" i="25"/>
  <c r="BB68" i="25" s="1"/>
  <c r="BC68" i="25" s="1"/>
  <c r="H67" i="25"/>
  <c r="I67" i="25" s="1"/>
  <c r="J67" i="25" s="1"/>
  <c r="K67" i="25" s="1"/>
  <c r="L67" i="25" s="1"/>
  <c r="BA67" i="25"/>
  <c r="BB67" i="25" s="1"/>
  <c r="BC67" i="25" s="1"/>
  <c r="H65" i="25"/>
  <c r="I65" i="25" s="1"/>
  <c r="J65" i="25" s="1"/>
  <c r="K65" i="25" s="1"/>
  <c r="L65" i="25" s="1"/>
  <c r="BA65" i="25"/>
  <c r="BB65" i="25" s="1"/>
  <c r="BC65" i="25" s="1"/>
  <c r="H62" i="25"/>
  <c r="I62" i="25" s="1"/>
  <c r="J62" i="25" s="1"/>
  <c r="K62" i="25" s="1"/>
  <c r="L62" i="25" s="1"/>
  <c r="BA62" i="25"/>
  <c r="BB62" i="25" s="1"/>
  <c r="BC62" i="25" s="1"/>
  <c r="H59" i="25"/>
  <c r="I59" i="25" s="1"/>
  <c r="J59" i="25" s="1"/>
  <c r="K59" i="25" s="1"/>
  <c r="L59" i="25" s="1"/>
  <c r="BA59" i="25"/>
  <c r="BB59" i="25" s="1"/>
  <c r="BC59" i="25" s="1"/>
  <c r="H58" i="25"/>
  <c r="I58" i="25" s="1"/>
  <c r="J58" i="25" s="1"/>
  <c r="K58" i="25" s="1"/>
  <c r="L58" i="25" s="1"/>
  <c r="BA58" i="25"/>
  <c r="BB58" i="25" s="1"/>
  <c r="BC58" i="25" s="1"/>
  <c r="H56" i="25"/>
  <c r="I56" i="25" s="1"/>
  <c r="J56" i="25" s="1"/>
  <c r="K56" i="25" s="1"/>
  <c r="L56" i="25" s="1"/>
  <c r="BA56" i="25"/>
  <c r="BB56" i="25" s="1"/>
  <c r="BC56" i="25" s="1"/>
  <c r="H55" i="25"/>
  <c r="I55" i="25" s="1"/>
  <c r="J55" i="25" s="1"/>
  <c r="K55" i="25" s="1"/>
  <c r="L55" i="25" s="1"/>
  <c r="BA55" i="25"/>
  <c r="BB55" i="25" s="1"/>
  <c r="BC55" i="25" s="1"/>
  <c r="H54" i="25"/>
  <c r="I54" i="25" s="1"/>
  <c r="J54" i="25" s="1"/>
  <c r="K54" i="25" s="1"/>
  <c r="L54" i="25" s="1"/>
  <c r="BA54" i="25"/>
  <c r="BB54" i="25" s="1"/>
  <c r="BC54" i="25" s="1"/>
  <c r="H52" i="25"/>
  <c r="I52" i="25" s="1"/>
  <c r="J52" i="25" s="1"/>
  <c r="K52" i="25" s="1"/>
  <c r="L52" i="25" s="1"/>
  <c r="BA52" i="25"/>
  <c r="BB52" i="25" s="1"/>
  <c r="BC52" i="25" s="1"/>
  <c r="H49" i="25"/>
  <c r="I49" i="25" s="1"/>
  <c r="J49" i="25" s="1"/>
  <c r="K49" i="25" s="1"/>
  <c r="L49" i="25" s="1"/>
  <c r="BA49" i="25"/>
  <c r="BB49" i="25" s="1"/>
  <c r="BC49" i="25" s="1"/>
  <c r="H48" i="25"/>
  <c r="I48" i="25" s="1"/>
  <c r="J48" i="25" s="1"/>
  <c r="K48" i="25" s="1"/>
  <c r="L48" i="25" s="1"/>
  <c r="BA48" i="25"/>
  <c r="BB48" i="25" s="1"/>
  <c r="BC48" i="25" s="1"/>
  <c r="H47" i="25"/>
  <c r="I47" i="25" s="1"/>
  <c r="J47" i="25" s="1"/>
  <c r="K47" i="25" s="1"/>
  <c r="L47" i="25" s="1"/>
  <c r="BA47" i="25"/>
  <c r="BB47" i="25" s="1"/>
  <c r="BC47" i="25" s="1"/>
  <c r="H45" i="25"/>
  <c r="I45" i="25" s="1"/>
  <c r="J45" i="25" s="1"/>
  <c r="K45" i="25" s="1"/>
  <c r="L45" i="25" s="1"/>
  <c r="BA45" i="25"/>
  <c r="BB45" i="25" s="1"/>
  <c r="BC45" i="25" s="1"/>
  <c r="H44" i="25"/>
  <c r="I44" i="25" s="1"/>
  <c r="J44" i="25" s="1"/>
  <c r="K44" i="25" s="1"/>
  <c r="L44" i="25" s="1"/>
  <c r="BA44" i="25"/>
  <c r="BB44" i="25" s="1"/>
  <c r="BC44" i="25" s="1"/>
  <c r="H43" i="25"/>
  <c r="I43" i="25" s="1"/>
  <c r="J43" i="25" s="1"/>
  <c r="K43" i="25" s="1"/>
  <c r="L43" i="25" s="1"/>
  <c r="BA43" i="25"/>
  <c r="BB43" i="25" s="1"/>
  <c r="BC43" i="25" s="1"/>
  <c r="H41" i="25"/>
  <c r="I41" i="25" s="1"/>
  <c r="J41" i="25" s="1"/>
  <c r="K41" i="25" s="1"/>
  <c r="L41" i="25" s="1"/>
  <c r="BA41" i="25"/>
  <c r="BB41" i="25" s="1"/>
  <c r="BC41" i="25" s="1"/>
  <c r="I40" i="25"/>
  <c r="J40" i="25" s="1"/>
  <c r="K40" i="25" s="1"/>
  <c r="L40" i="25" s="1"/>
  <c r="BA40" i="25"/>
  <c r="BB40" i="25" s="1"/>
  <c r="BC40" i="25" s="1"/>
  <c r="H39" i="25"/>
  <c r="I39" i="25" s="1"/>
  <c r="J39" i="25" s="1"/>
  <c r="K39" i="25" s="1"/>
  <c r="L39" i="25" s="1"/>
  <c r="BA39" i="25"/>
  <c r="BB39" i="25" s="1"/>
  <c r="BC39" i="25" s="1"/>
  <c r="H38" i="25"/>
  <c r="I38" i="25" s="1"/>
  <c r="J38" i="25" s="1"/>
  <c r="K38" i="25" s="1"/>
  <c r="L38" i="25" s="1"/>
  <c r="BA38" i="25"/>
  <c r="BB38" i="25" s="1"/>
  <c r="BC38" i="25" s="1"/>
  <c r="J37" i="25"/>
  <c r="K37" i="25" s="1"/>
  <c r="L37" i="25" s="1"/>
  <c r="BA37" i="25"/>
  <c r="BB37" i="25" s="1"/>
  <c r="BC37" i="25" s="1"/>
  <c r="K36" i="25"/>
  <c r="L36" i="25" s="1"/>
  <c r="BA36" i="25"/>
  <c r="BB36" i="25" s="1"/>
  <c r="BC36" i="25" s="1"/>
  <c r="H35" i="25"/>
  <c r="I35" i="25" s="1"/>
  <c r="J35" i="25" s="1"/>
  <c r="K35" i="25" s="1"/>
  <c r="L35" i="25" s="1"/>
  <c r="BA35" i="25"/>
  <c r="BB35" i="25" s="1"/>
  <c r="BC35" i="25" s="1"/>
  <c r="J34" i="25"/>
  <c r="K34" i="25" s="1"/>
  <c r="L34" i="25" s="1"/>
  <c r="BA34" i="25"/>
  <c r="BB34" i="25" s="1"/>
  <c r="BC34" i="25" s="1"/>
  <c r="H30" i="25"/>
  <c r="I30" i="25" s="1"/>
  <c r="J30" i="25" s="1"/>
  <c r="K30" i="25" s="1"/>
  <c r="L30" i="25" s="1"/>
  <c r="BA30" i="25"/>
  <c r="BB30" i="25" s="1"/>
  <c r="BC30" i="25" s="1"/>
  <c r="H28" i="25"/>
  <c r="I28" i="25" s="1"/>
  <c r="J28" i="25" s="1"/>
  <c r="K28" i="25" s="1"/>
  <c r="L28" i="25" s="1"/>
  <c r="BA28" i="25"/>
  <c r="BB28" i="25" s="1"/>
  <c r="BC28" i="25" s="1"/>
  <c r="H27" i="25"/>
  <c r="I27" i="25" s="1"/>
  <c r="J27" i="25" s="1"/>
  <c r="K27" i="25" s="1"/>
  <c r="L27" i="25" s="1"/>
  <c r="BA27" i="25"/>
  <c r="BB27" i="25" s="1"/>
  <c r="BC27" i="25" s="1"/>
  <c r="H26" i="25"/>
  <c r="I26" i="25" s="1"/>
  <c r="J26" i="25" s="1"/>
  <c r="K26" i="25" s="1"/>
  <c r="L26" i="25" s="1"/>
  <c r="BA26" i="25"/>
  <c r="BB26" i="25" s="1"/>
  <c r="BC26" i="25" s="1"/>
  <c r="H24" i="25"/>
  <c r="I24" i="25" s="1"/>
  <c r="J24" i="25" s="1"/>
  <c r="K24" i="25" s="1"/>
  <c r="L24" i="25" s="1"/>
  <c r="BA24" i="25"/>
  <c r="BB24" i="25" s="1"/>
  <c r="BC24" i="25" s="1"/>
  <c r="H23" i="25"/>
  <c r="I23" i="25" s="1"/>
  <c r="J23" i="25" s="1"/>
  <c r="K23" i="25" s="1"/>
  <c r="L23" i="25" s="1"/>
  <c r="BA23" i="25"/>
  <c r="BB23" i="25" s="1"/>
  <c r="BC23" i="25" s="1"/>
  <c r="K22" i="25"/>
  <c r="L22" i="25" s="1"/>
  <c r="BA22" i="25"/>
  <c r="BB22" i="25" s="1"/>
  <c r="BC22" i="25" s="1"/>
  <c r="K21" i="25"/>
  <c r="L21" i="25" s="1"/>
  <c r="BA21" i="25"/>
  <c r="BB21" i="25" s="1"/>
  <c r="BC21" i="25" s="1"/>
  <c r="H20" i="25"/>
  <c r="I20" i="25" s="1"/>
  <c r="J20" i="25" s="1"/>
  <c r="K20" i="25" s="1"/>
  <c r="L20" i="25" s="1"/>
  <c r="BA20" i="25"/>
  <c r="BB20" i="25" s="1"/>
  <c r="BC20" i="25" s="1"/>
  <c r="I19" i="25"/>
  <c r="J19" i="25" s="1"/>
  <c r="K19" i="25" s="1"/>
  <c r="L19" i="25" s="1"/>
  <c r="BA19" i="25"/>
  <c r="BB19" i="25" s="1"/>
  <c r="BC19" i="25" s="1"/>
  <c r="I18" i="25"/>
  <c r="J18" i="25" s="1"/>
  <c r="K18" i="25" s="1"/>
  <c r="L18" i="25" s="1"/>
  <c r="BA18" i="25"/>
  <c r="BB18" i="25" s="1"/>
  <c r="BC18" i="25" s="1"/>
  <c r="H16" i="25"/>
  <c r="I16" i="25" s="1"/>
  <c r="J16" i="25" s="1"/>
  <c r="K16" i="25" s="1"/>
  <c r="L16" i="25" s="1"/>
  <c r="BA16" i="25"/>
  <c r="BB16" i="25" s="1"/>
  <c r="BC16" i="25" s="1"/>
  <c r="H14" i="25"/>
  <c r="I14" i="25" s="1"/>
  <c r="J14" i="25" s="1"/>
  <c r="K14" i="25" s="1"/>
  <c r="L14" i="25" s="1"/>
  <c r="BA14" i="25"/>
  <c r="BB14" i="25" s="1"/>
  <c r="BC14" i="25" s="1"/>
  <c r="I13" i="25"/>
  <c r="J13" i="25" s="1"/>
  <c r="K13" i="25" s="1"/>
  <c r="L13" i="25" s="1"/>
  <c r="BA13" i="25"/>
  <c r="BB13" i="25" s="1"/>
  <c r="BC13" i="25" s="1"/>
  <c r="H12" i="25"/>
  <c r="I12" i="25" s="1"/>
  <c r="J12" i="25" s="1"/>
  <c r="K12" i="25" s="1"/>
  <c r="L12" i="25" s="1"/>
  <c r="BA12" i="25"/>
  <c r="BB12" i="25" s="1"/>
  <c r="BC12" i="25" s="1"/>
  <c r="H11" i="25"/>
  <c r="BA11" i="25"/>
  <c r="BB11" i="25" s="1"/>
  <c r="BC11" i="25" s="1"/>
  <c r="BA26" i="24"/>
  <c r="BB26" i="24" s="1"/>
  <c r="BC26" i="24" s="1"/>
  <c r="O74" i="24"/>
  <c r="P10" i="24"/>
  <c r="G74" i="24"/>
  <c r="BA15" i="24"/>
  <c r="BB15" i="24" s="1"/>
  <c r="BC15" i="24" s="1"/>
  <c r="BA29" i="24"/>
  <c r="BB29" i="24" s="1"/>
  <c r="BC29" i="24" s="1"/>
  <c r="BA60" i="24"/>
  <c r="BB60" i="24" s="1"/>
  <c r="BC60" i="24" s="1"/>
  <c r="BA51" i="24"/>
  <c r="BB51" i="24" s="1"/>
  <c r="BC51" i="24" s="1"/>
  <c r="AE74" i="24"/>
  <c r="AF10" i="24"/>
  <c r="AN74" i="24"/>
  <c r="AO10" i="24"/>
  <c r="BA39" i="24"/>
  <c r="BB39" i="24" s="1"/>
  <c r="BC39" i="24" s="1"/>
  <c r="BA18" i="24"/>
  <c r="BB18" i="24" s="1"/>
  <c r="BC18" i="24" s="1"/>
  <c r="AU74" i="24"/>
  <c r="AV10" i="24"/>
  <c r="BA14" i="24"/>
  <c r="BB14" i="24" s="1"/>
  <c r="BC14" i="24" s="1"/>
  <c r="BA17" i="24"/>
  <c r="BB17" i="24" s="1"/>
  <c r="BC17" i="24" s="1"/>
  <c r="BA67" i="24"/>
  <c r="BB67" i="24" s="1"/>
  <c r="BC67" i="24" s="1"/>
  <c r="BA40" i="24"/>
  <c r="BB40" i="24" s="1"/>
  <c r="BC40" i="24" s="1"/>
  <c r="BA66" i="24"/>
  <c r="BB66" i="24" s="1"/>
  <c r="BC66" i="24" s="1"/>
  <c r="Y74" i="24"/>
  <c r="Z10" i="24"/>
  <c r="H74" i="24"/>
  <c r="I10" i="24"/>
  <c r="BA58" i="24"/>
  <c r="BB58" i="24" s="1"/>
  <c r="BC58" i="24" s="1"/>
  <c r="BA36" i="24"/>
  <c r="BB36" i="24" s="1"/>
  <c r="BC36" i="24" s="1"/>
  <c r="BA31" i="24"/>
  <c r="BB31" i="24" s="1"/>
  <c r="BC31" i="24" s="1"/>
  <c r="BA41" i="23"/>
  <c r="BB41" i="23" s="1"/>
  <c r="BC41" i="23" s="1"/>
  <c r="BA14" i="23"/>
  <c r="BB14" i="23" s="1"/>
  <c r="BC14" i="23" s="1"/>
  <c r="BA68" i="23"/>
  <c r="BB68" i="23" s="1"/>
  <c r="BC68" i="23" s="1"/>
  <c r="BA73" i="23"/>
  <c r="BB73" i="23" s="1"/>
  <c r="BC73" i="23" s="1"/>
  <c r="BA48" i="23"/>
  <c r="BB48" i="23" s="1"/>
  <c r="BC48" i="23" s="1"/>
  <c r="BA34" i="23"/>
  <c r="BB34" i="23" s="1"/>
  <c r="BC34" i="23" s="1"/>
  <c r="BA11" i="23"/>
  <c r="BB11" i="23" s="1"/>
  <c r="BC11" i="23" s="1"/>
  <c r="AM74" i="23"/>
  <c r="AN10" i="23"/>
  <c r="G74" i="23"/>
  <c r="H10" i="23"/>
  <c r="BA59" i="23"/>
  <c r="BB59" i="23" s="1"/>
  <c r="BC59" i="23" s="1"/>
  <c r="AE74" i="23"/>
  <c r="AF10" i="23"/>
  <c r="BA27" i="23"/>
  <c r="BB27" i="23" s="1"/>
  <c r="BC27" i="23" s="1"/>
  <c r="BA50" i="23"/>
  <c r="BB50" i="23" s="1"/>
  <c r="BC50" i="23" s="1"/>
  <c r="BA40" i="23"/>
  <c r="BB40" i="23" s="1"/>
  <c r="BC40" i="23" s="1"/>
  <c r="BA32" i="23"/>
  <c r="BB32" i="23" s="1"/>
  <c r="BC32" i="23" s="1"/>
  <c r="BA23" i="23"/>
  <c r="BB23" i="23" s="1"/>
  <c r="BC23" i="23" s="1"/>
  <c r="BA15" i="23"/>
  <c r="BB15" i="23" s="1"/>
  <c r="BC15" i="23" s="1"/>
  <c r="BA30" i="23"/>
  <c r="BB30" i="23" s="1"/>
  <c r="BC30" i="23" s="1"/>
  <c r="X74" i="23"/>
  <c r="Y10" i="23"/>
  <c r="BA39" i="23"/>
  <c r="BB39" i="23" s="1"/>
  <c r="BC39" i="23" s="1"/>
  <c r="BA19" i="23"/>
  <c r="BB19" i="23" s="1"/>
  <c r="BC19" i="23" s="1"/>
  <c r="BA25" i="23"/>
  <c r="BB25" i="23" s="1"/>
  <c r="BC25" i="23" s="1"/>
  <c r="O74" i="23"/>
  <c r="P10" i="23"/>
  <c r="BA38" i="23"/>
  <c r="BB38" i="23" s="1"/>
  <c r="BC38" i="23" s="1"/>
  <c r="BA12" i="23"/>
  <c r="BB12" i="23" s="1"/>
  <c r="BC12" i="23" s="1"/>
  <c r="BA40" i="22"/>
  <c r="BB40" i="22" s="1"/>
  <c r="BC40" i="22" s="1"/>
  <c r="BA60" i="22"/>
  <c r="BB60" i="22" s="1"/>
  <c r="BC60" i="22" s="1"/>
  <c r="BA55" i="22"/>
  <c r="BB55" i="22" s="1"/>
  <c r="BC55" i="22" s="1"/>
  <c r="BA52" i="22"/>
  <c r="BB52" i="22" s="1"/>
  <c r="BC52" i="22" s="1"/>
  <c r="BA57" i="22"/>
  <c r="BB57" i="22" s="1"/>
  <c r="BC57" i="22" s="1"/>
  <c r="BA27" i="22"/>
  <c r="BB27" i="22" s="1"/>
  <c r="BC27" i="22" s="1"/>
  <c r="BA20" i="22"/>
  <c r="BB20" i="22" s="1"/>
  <c r="BC20" i="22" s="1"/>
  <c r="P74" i="22"/>
  <c r="Q10" i="22"/>
  <c r="BA49" i="22"/>
  <c r="BB49" i="22" s="1"/>
  <c r="BC49" i="22" s="1"/>
  <c r="BA65" i="22"/>
  <c r="BB65" i="22" s="1"/>
  <c r="BC65" i="22" s="1"/>
  <c r="BA67" i="22"/>
  <c r="BB67" i="22" s="1"/>
  <c r="BC67" i="22" s="1"/>
  <c r="BA54" i="22"/>
  <c r="BB54" i="22" s="1"/>
  <c r="BC54" i="22" s="1"/>
  <c r="AE74" i="22"/>
  <c r="AF10" i="22"/>
  <c r="BA47" i="22"/>
  <c r="BB47" i="22" s="1"/>
  <c r="BC47" i="22" s="1"/>
  <c r="BA39" i="22"/>
  <c r="BB39" i="22" s="1"/>
  <c r="BC39" i="22" s="1"/>
  <c r="BA11" i="22"/>
  <c r="BB11" i="22" s="1"/>
  <c r="BC11" i="22" s="1"/>
  <c r="BA12" i="22"/>
  <c r="BB12" i="22" s="1"/>
  <c r="BC12" i="22" s="1"/>
  <c r="AM74" i="22"/>
  <c r="AN10" i="22"/>
  <c r="BA56" i="22"/>
  <c r="BB56" i="22" s="1"/>
  <c r="BC56" i="22" s="1"/>
  <c r="BA24" i="22"/>
  <c r="BB24" i="22" s="1"/>
  <c r="BC24" i="22" s="1"/>
  <c r="Y74" i="22"/>
  <c r="Z10" i="22"/>
  <c r="BA23" i="22"/>
  <c r="BB23" i="22" s="1"/>
  <c r="BC23" i="22" s="1"/>
  <c r="G74" i="22"/>
  <c r="H10" i="22"/>
  <c r="BA46" i="22"/>
  <c r="BB46" i="22" s="1"/>
  <c r="BC46" i="22" s="1"/>
  <c r="P74" i="21"/>
  <c r="Q10" i="21"/>
  <c r="BA23" i="21"/>
  <c r="BB23" i="21" s="1"/>
  <c r="BC23" i="21" s="1"/>
  <c r="BA31" i="21"/>
  <c r="BB31" i="21" s="1"/>
  <c r="BC31" i="21" s="1"/>
  <c r="BA69" i="21"/>
  <c r="BB69" i="21" s="1"/>
  <c r="BC69" i="21" s="1"/>
  <c r="BA67" i="21"/>
  <c r="BB67" i="21" s="1"/>
  <c r="BC67" i="21" s="1"/>
  <c r="BA59" i="21"/>
  <c r="BB59" i="21" s="1"/>
  <c r="BC59" i="21" s="1"/>
  <c r="BA68" i="21"/>
  <c r="BB68" i="21" s="1"/>
  <c r="BC68" i="21" s="1"/>
  <c r="BA54" i="21"/>
  <c r="BB54" i="21" s="1"/>
  <c r="BC54" i="21" s="1"/>
  <c r="BA70" i="21"/>
  <c r="BB70" i="21" s="1"/>
  <c r="BC70" i="21" s="1"/>
  <c r="BA63" i="21"/>
  <c r="BB63" i="21" s="1"/>
  <c r="BC63" i="21" s="1"/>
  <c r="BA56" i="21"/>
  <c r="BB56" i="21" s="1"/>
  <c r="BC56" i="21" s="1"/>
  <c r="W74" i="21"/>
  <c r="X10" i="21"/>
  <c r="BA45" i="21"/>
  <c r="BB45" i="21" s="1"/>
  <c r="BC45" i="21" s="1"/>
  <c r="BA29" i="21"/>
  <c r="BB29" i="21" s="1"/>
  <c r="BC29" i="21" s="1"/>
  <c r="BA14" i="21"/>
  <c r="BB14" i="21" s="1"/>
  <c r="BC14" i="21" s="1"/>
  <c r="BA17" i="21"/>
  <c r="BB17" i="21" s="1"/>
  <c r="BC17" i="21" s="1"/>
  <c r="BA22" i="21"/>
  <c r="BB22" i="21" s="1"/>
  <c r="BC22" i="21" s="1"/>
  <c r="AM74" i="21"/>
  <c r="AN10" i="21"/>
  <c r="BA18" i="21"/>
  <c r="BB18" i="21" s="1"/>
  <c r="BC18" i="21" s="1"/>
  <c r="AF74" i="21"/>
  <c r="AG10" i="21"/>
  <c r="BA73" i="21"/>
  <c r="BB73" i="21" s="1"/>
  <c r="BC73" i="21" s="1"/>
  <c r="BA53" i="21"/>
  <c r="BB53" i="21" s="1"/>
  <c r="BC53" i="21" s="1"/>
  <c r="BA55" i="21"/>
  <c r="BB55" i="21" s="1"/>
  <c r="BC55" i="21" s="1"/>
  <c r="BA51" i="21"/>
  <c r="BB51" i="21" s="1"/>
  <c r="BC51" i="21" s="1"/>
  <c r="BA52" i="21"/>
  <c r="BB52" i="21" s="1"/>
  <c r="BC52" i="21" s="1"/>
  <c r="BA42" i="21"/>
  <c r="BB42" i="21" s="1"/>
  <c r="BC42" i="21" s="1"/>
  <c r="BA30" i="21"/>
  <c r="BB30" i="21" s="1"/>
  <c r="BC30" i="21" s="1"/>
  <c r="BA34" i="21"/>
  <c r="BB34" i="21" s="1"/>
  <c r="BC34" i="21" s="1"/>
  <c r="BA21" i="21"/>
  <c r="BB21" i="21" s="1"/>
  <c r="BC21" i="21" s="1"/>
  <c r="BA13" i="21"/>
  <c r="BB13" i="21" s="1"/>
  <c r="BC13" i="21" s="1"/>
  <c r="BA35" i="21"/>
  <c r="BB35" i="21" s="1"/>
  <c r="BC35" i="21" s="1"/>
  <c r="BA15" i="21"/>
  <c r="BB15" i="21" s="1"/>
  <c r="BC15" i="21" s="1"/>
  <c r="K27" i="20"/>
  <c r="L27" i="20" s="1"/>
  <c r="BA27" i="20"/>
  <c r="BB27" i="20" s="1"/>
  <c r="BA17" i="20"/>
  <c r="BB17" i="20" s="1"/>
  <c r="BA23" i="20"/>
  <c r="BB23" i="20" s="1"/>
  <c r="BA11" i="20"/>
  <c r="BB11" i="20" s="1"/>
  <c r="BA21" i="20"/>
  <c r="BB21" i="20" s="1"/>
  <c r="BA51" i="20"/>
  <c r="BB51" i="20" s="1"/>
  <c r="BA36" i="20"/>
  <c r="BB36" i="20" s="1"/>
  <c r="X10" i="20"/>
  <c r="W74" i="20"/>
  <c r="BA53" i="20"/>
  <c r="BB53" i="20" s="1"/>
  <c r="Q10" i="20"/>
  <c r="P74" i="20"/>
  <c r="H74" i="20"/>
  <c r="I10" i="20"/>
  <c r="AM74" i="20"/>
  <c r="AN10" i="20"/>
  <c r="BA25" i="20"/>
  <c r="BB25" i="20" s="1"/>
  <c r="BA66" i="20"/>
  <c r="BB66" i="20" s="1"/>
  <c r="BA20" i="20"/>
  <c r="BB20" i="20" s="1"/>
  <c r="G74" i="20"/>
  <c r="BA33" i="20"/>
  <c r="BB33" i="20" s="1"/>
  <c r="AG10" i="20"/>
  <c r="AF74" i="20"/>
  <c r="AU74" i="20"/>
  <c r="AV10" i="20"/>
  <c r="BA67" i="20"/>
  <c r="BB67" i="20" s="1"/>
  <c r="BA37" i="20"/>
  <c r="BB37" i="20" s="1"/>
  <c r="BA55" i="20"/>
  <c r="BB55" i="20" s="1"/>
  <c r="BA30" i="20"/>
  <c r="BB30" i="20" s="1"/>
  <c r="BA12" i="20"/>
  <c r="BB12" i="20" s="1"/>
  <c r="BA34" i="20"/>
  <c r="BB34" i="20" s="1"/>
  <c r="BA32" i="20"/>
  <c r="BB32" i="20" s="1"/>
  <c r="AV10" i="16"/>
  <c r="AU74" i="16"/>
  <c r="AN10" i="16"/>
  <c r="AM74" i="16"/>
  <c r="AF10" i="16"/>
  <c r="AE74" i="16"/>
  <c r="X10" i="16"/>
  <c r="W74" i="16"/>
  <c r="R73" i="16"/>
  <c r="R72" i="16"/>
  <c r="R71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P10" i="16"/>
  <c r="O74" i="16"/>
  <c r="H73" i="19"/>
  <c r="I73" i="19" s="1"/>
  <c r="J73" i="19" s="1"/>
  <c r="K73" i="19" s="1"/>
  <c r="L73" i="19" s="1"/>
  <c r="BA73" i="19"/>
  <c r="BB73" i="19" s="1"/>
  <c r="BC73" i="19" s="1"/>
  <c r="H72" i="19"/>
  <c r="I72" i="19" s="1"/>
  <c r="J72" i="19" s="1"/>
  <c r="K72" i="19" s="1"/>
  <c r="L72" i="19" s="1"/>
  <c r="BA72" i="19"/>
  <c r="BB72" i="19" s="1"/>
  <c r="BC72" i="19" s="1"/>
  <c r="H71" i="19"/>
  <c r="I71" i="19" s="1"/>
  <c r="J71" i="19" s="1"/>
  <c r="K71" i="19" s="1"/>
  <c r="L71" i="19" s="1"/>
  <c r="BA71" i="19"/>
  <c r="BB71" i="19" s="1"/>
  <c r="BC71" i="19" s="1"/>
  <c r="H70" i="19"/>
  <c r="I70" i="19" s="1"/>
  <c r="J70" i="19" s="1"/>
  <c r="K70" i="19" s="1"/>
  <c r="L70" i="19" s="1"/>
  <c r="BA70" i="19"/>
  <c r="BB70" i="19" s="1"/>
  <c r="BC70" i="19" s="1"/>
  <c r="H69" i="19"/>
  <c r="I69" i="19" s="1"/>
  <c r="J69" i="19" s="1"/>
  <c r="K69" i="19" s="1"/>
  <c r="L69" i="19" s="1"/>
  <c r="BA69" i="19"/>
  <c r="BB69" i="19" s="1"/>
  <c r="BC69" i="19" s="1"/>
  <c r="H68" i="19"/>
  <c r="I68" i="19" s="1"/>
  <c r="J68" i="19" s="1"/>
  <c r="K68" i="19" s="1"/>
  <c r="L68" i="19" s="1"/>
  <c r="BA68" i="19"/>
  <c r="BB68" i="19" s="1"/>
  <c r="BC68" i="19" s="1"/>
  <c r="H67" i="19"/>
  <c r="I67" i="19" s="1"/>
  <c r="J67" i="19" s="1"/>
  <c r="K67" i="19" s="1"/>
  <c r="L67" i="19" s="1"/>
  <c r="BA67" i="19"/>
  <c r="BB67" i="19" s="1"/>
  <c r="BC67" i="19" s="1"/>
  <c r="H66" i="19"/>
  <c r="I66" i="19" s="1"/>
  <c r="J66" i="19" s="1"/>
  <c r="K66" i="19" s="1"/>
  <c r="L66" i="19" s="1"/>
  <c r="BA66" i="19"/>
  <c r="BB66" i="19" s="1"/>
  <c r="BC66" i="19" s="1"/>
  <c r="H65" i="19"/>
  <c r="I65" i="19" s="1"/>
  <c r="J65" i="19" s="1"/>
  <c r="K65" i="19" s="1"/>
  <c r="L65" i="19" s="1"/>
  <c r="BA65" i="19"/>
  <c r="BB65" i="19" s="1"/>
  <c r="BC65" i="19" s="1"/>
  <c r="H64" i="19"/>
  <c r="I64" i="19" s="1"/>
  <c r="J64" i="19" s="1"/>
  <c r="K64" i="19" s="1"/>
  <c r="L64" i="19" s="1"/>
  <c r="BA64" i="19"/>
  <c r="BB64" i="19" s="1"/>
  <c r="BC64" i="19" s="1"/>
  <c r="H63" i="19"/>
  <c r="I63" i="19" s="1"/>
  <c r="J63" i="19" s="1"/>
  <c r="K63" i="19" s="1"/>
  <c r="L63" i="19" s="1"/>
  <c r="BA63" i="19"/>
  <c r="BB63" i="19" s="1"/>
  <c r="BC63" i="19" s="1"/>
  <c r="H62" i="19"/>
  <c r="I62" i="19" s="1"/>
  <c r="J62" i="19" s="1"/>
  <c r="K62" i="19" s="1"/>
  <c r="L62" i="19" s="1"/>
  <c r="BA62" i="19"/>
  <c r="BB62" i="19" s="1"/>
  <c r="BC62" i="19" s="1"/>
  <c r="H61" i="19"/>
  <c r="I61" i="19" s="1"/>
  <c r="J61" i="19" s="1"/>
  <c r="K61" i="19" s="1"/>
  <c r="L61" i="19" s="1"/>
  <c r="BA61" i="19"/>
  <c r="BB61" i="19" s="1"/>
  <c r="BC61" i="19" s="1"/>
  <c r="H60" i="19"/>
  <c r="I60" i="19" s="1"/>
  <c r="J60" i="19" s="1"/>
  <c r="K60" i="19" s="1"/>
  <c r="L60" i="19" s="1"/>
  <c r="BA60" i="19"/>
  <c r="BB60" i="19" s="1"/>
  <c r="BC60" i="19" s="1"/>
  <c r="H59" i="19"/>
  <c r="I59" i="19" s="1"/>
  <c r="J59" i="19" s="1"/>
  <c r="K59" i="19" s="1"/>
  <c r="L59" i="19" s="1"/>
  <c r="BA59" i="19"/>
  <c r="BB59" i="19" s="1"/>
  <c r="BC59" i="19" s="1"/>
  <c r="H58" i="19"/>
  <c r="I58" i="19" s="1"/>
  <c r="J58" i="19" s="1"/>
  <c r="K58" i="19" s="1"/>
  <c r="L58" i="19" s="1"/>
  <c r="BA58" i="19"/>
  <c r="BB58" i="19" s="1"/>
  <c r="BC58" i="19" s="1"/>
  <c r="H57" i="19"/>
  <c r="I57" i="19" s="1"/>
  <c r="J57" i="19" s="1"/>
  <c r="K57" i="19" s="1"/>
  <c r="L57" i="19" s="1"/>
  <c r="BA57" i="19"/>
  <c r="BB57" i="19" s="1"/>
  <c r="BC57" i="19" s="1"/>
  <c r="H56" i="19"/>
  <c r="I56" i="19" s="1"/>
  <c r="J56" i="19" s="1"/>
  <c r="K56" i="19" s="1"/>
  <c r="L56" i="19" s="1"/>
  <c r="BA56" i="19"/>
  <c r="BB56" i="19" s="1"/>
  <c r="BC56" i="19" s="1"/>
  <c r="H55" i="19"/>
  <c r="I55" i="19" s="1"/>
  <c r="J55" i="19" s="1"/>
  <c r="K55" i="19" s="1"/>
  <c r="L55" i="19" s="1"/>
  <c r="BA55" i="19"/>
  <c r="BB55" i="19" s="1"/>
  <c r="BC55" i="19" s="1"/>
  <c r="H54" i="19"/>
  <c r="I54" i="19" s="1"/>
  <c r="J54" i="19" s="1"/>
  <c r="K54" i="19" s="1"/>
  <c r="L54" i="19" s="1"/>
  <c r="BA54" i="19"/>
  <c r="BB54" i="19" s="1"/>
  <c r="BC54" i="19" s="1"/>
  <c r="H53" i="19"/>
  <c r="I53" i="19" s="1"/>
  <c r="J53" i="19" s="1"/>
  <c r="K53" i="19" s="1"/>
  <c r="L53" i="19" s="1"/>
  <c r="BA53" i="19"/>
  <c r="BB53" i="19" s="1"/>
  <c r="BC53" i="19" s="1"/>
  <c r="H52" i="19"/>
  <c r="I52" i="19" s="1"/>
  <c r="J52" i="19" s="1"/>
  <c r="K52" i="19" s="1"/>
  <c r="L52" i="19" s="1"/>
  <c r="BA52" i="19"/>
  <c r="BB52" i="19" s="1"/>
  <c r="BC52" i="19" s="1"/>
  <c r="H51" i="19"/>
  <c r="I51" i="19" s="1"/>
  <c r="J51" i="19" s="1"/>
  <c r="K51" i="19" s="1"/>
  <c r="L51" i="19" s="1"/>
  <c r="BA51" i="19"/>
  <c r="BB51" i="19" s="1"/>
  <c r="BC51" i="19" s="1"/>
  <c r="H50" i="19"/>
  <c r="I50" i="19" s="1"/>
  <c r="J50" i="19" s="1"/>
  <c r="K50" i="19" s="1"/>
  <c r="L50" i="19" s="1"/>
  <c r="BA50" i="19"/>
  <c r="BB50" i="19" s="1"/>
  <c r="BC50" i="19" s="1"/>
  <c r="H49" i="19"/>
  <c r="I49" i="19" s="1"/>
  <c r="J49" i="19" s="1"/>
  <c r="K49" i="19" s="1"/>
  <c r="L49" i="19" s="1"/>
  <c r="BA49" i="19"/>
  <c r="BB49" i="19" s="1"/>
  <c r="BC49" i="19" s="1"/>
  <c r="H48" i="19"/>
  <c r="I48" i="19" s="1"/>
  <c r="J48" i="19" s="1"/>
  <c r="K48" i="19" s="1"/>
  <c r="L48" i="19" s="1"/>
  <c r="BA48" i="19"/>
  <c r="BB48" i="19" s="1"/>
  <c r="BC48" i="19" s="1"/>
  <c r="H47" i="19"/>
  <c r="I47" i="19" s="1"/>
  <c r="J47" i="19" s="1"/>
  <c r="K47" i="19" s="1"/>
  <c r="L47" i="19" s="1"/>
  <c r="BA47" i="19"/>
  <c r="BB47" i="19" s="1"/>
  <c r="BC47" i="19" s="1"/>
  <c r="H46" i="19"/>
  <c r="I46" i="19" s="1"/>
  <c r="J46" i="19" s="1"/>
  <c r="K46" i="19" s="1"/>
  <c r="L46" i="19" s="1"/>
  <c r="BA46" i="19"/>
  <c r="BB46" i="19" s="1"/>
  <c r="BC46" i="19" s="1"/>
  <c r="H45" i="19"/>
  <c r="I45" i="19" s="1"/>
  <c r="J45" i="19" s="1"/>
  <c r="K45" i="19" s="1"/>
  <c r="L45" i="19" s="1"/>
  <c r="BA45" i="19"/>
  <c r="BB45" i="19" s="1"/>
  <c r="BC45" i="19" s="1"/>
  <c r="H44" i="19"/>
  <c r="I44" i="19" s="1"/>
  <c r="J44" i="19" s="1"/>
  <c r="K44" i="19" s="1"/>
  <c r="L44" i="19" s="1"/>
  <c r="BA44" i="19"/>
  <c r="BB44" i="19" s="1"/>
  <c r="BC44" i="19" s="1"/>
  <c r="H43" i="19"/>
  <c r="I43" i="19" s="1"/>
  <c r="J43" i="19" s="1"/>
  <c r="K43" i="19" s="1"/>
  <c r="L43" i="19" s="1"/>
  <c r="BA43" i="19"/>
  <c r="BB43" i="19" s="1"/>
  <c r="BC43" i="19" s="1"/>
  <c r="H42" i="19"/>
  <c r="I42" i="19" s="1"/>
  <c r="J42" i="19" s="1"/>
  <c r="K42" i="19" s="1"/>
  <c r="L42" i="19" s="1"/>
  <c r="BA42" i="19"/>
  <c r="BB42" i="19" s="1"/>
  <c r="BC42" i="19" s="1"/>
  <c r="H41" i="19"/>
  <c r="I41" i="19" s="1"/>
  <c r="J41" i="19" s="1"/>
  <c r="K41" i="19" s="1"/>
  <c r="L41" i="19" s="1"/>
  <c r="BA41" i="19"/>
  <c r="BB41" i="19" s="1"/>
  <c r="BC41" i="19" s="1"/>
  <c r="H40" i="19"/>
  <c r="I40" i="19" s="1"/>
  <c r="J40" i="19" s="1"/>
  <c r="K40" i="19" s="1"/>
  <c r="L40" i="19" s="1"/>
  <c r="BA40" i="19"/>
  <c r="BB40" i="19" s="1"/>
  <c r="BC40" i="19" s="1"/>
  <c r="H39" i="19"/>
  <c r="I39" i="19" s="1"/>
  <c r="J39" i="19" s="1"/>
  <c r="K39" i="19" s="1"/>
  <c r="L39" i="19" s="1"/>
  <c r="BA39" i="19"/>
  <c r="BB39" i="19" s="1"/>
  <c r="BC39" i="19" s="1"/>
  <c r="H38" i="19"/>
  <c r="I38" i="19" s="1"/>
  <c r="J38" i="19" s="1"/>
  <c r="K38" i="19" s="1"/>
  <c r="L38" i="19" s="1"/>
  <c r="BA38" i="19"/>
  <c r="BB38" i="19" s="1"/>
  <c r="BC38" i="19" s="1"/>
  <c r="H37" i="19"/>
  <c r="I37" i="19" s="1"/>
  <c r="J37" i="19" s="1"/>
  <c r="K37" i="19" s="1"/>
  <c r="L37" i="19" s="1"/>
  <c r="BA37" i="19"/>
  <c r="BB37" i="19" s="1"/>
  <c r="BC37" i="19" s="1"/>
  <c r="H36" i="19"/>
  <c r="I36" i="19" s="1"/>
  <c r="J36" i="19" s="1"/>
  <c r="K36" i="19" s="1"/>
  <c r="L36" i="19" s="1"/>
  <c r="BA36" i="19"/>
  <c r="BB36" i="19" s="1"/>
  <c r="BC36" i="19" s="1"/>
  <c r="H35" i="19"/>
  <c r="I35" i="19" s="1"/>
  <c r="J35" i="19" s="1"/>
  <c r="K35" i="19" s="1"/>
  <c r="L35" i="19" s="1"/>
  <c r="BA35" i="19"/>
  <c r="BB35" i="19" s="1"/>
  <c r="BC35" i="19" s="1"/>
  <c r="H34" i="19"/>
  <c r="I34" i="19" s="1"/>
  <c r="J34" i="19" s="1"/>
  <c r="K34" i="19" s="1"/>
  <c r="L34" i="19" s="1"/>
  <c r="BA34" i="19"/>
  <c r="BB34" i="19" s="1"/>
  <c r="BC34" i="19" s="1"/>
  <c r="H33" i="19"/>
  <c r="I33" i="19" s="1"/>
  <c r="J33" i="19" s="1"/>
  <c r="K33" i="19" s="1"/>
  <c r="L33" i="19" s="1"/>
  <c r="BA33" i="19"/>
  <c r="BB33" i="19" s="1"/>
  <c r="BC33" i="19" s="1"/>
  <c r="H32" i="19"/>
  <c r="I32" i="19" s="1"/>
  <c r="J32" i="19" s="1"/>
  <c r="K32" i="19" s="1"/>
  <c r="L32" i="19" s="1"/>
  <c r="BA32" i="19"/>
  <c r="BB32" i="19" s="1"/>
  <c r="BC32" i="19" s="1"/>
  <c r="H31" i="19"/>
  <c r="I31" i="19" s="1"/>
  <c r="J31" i="19" s="1"/>
  <c r="K31" i="19" s="1"/>
  <c r="L31" i="19" s="1"/>
  <c r="BA31" i="19"/>
  <c r="BB31" i="19" s="1"/>
  <c r="BC31" i="19" s="1"/>
  <c r="H30" i="19"/>
  <c r="I30" i="19" s="1"/>
  <c r="J30" i="19" s="1"/>
  <c r="K30" i="19" s="1"/>
  <c r="L30" i="19" s="1"/>
  <c r="BA30" i="19"/>
  <c r="BB30" i="19" s="1"/>
  <c r="BC30" i="19" s="1"/>
  <c r="H29" i="19"/>
  <c r="I29" i="19" s="1"/>
  <c r="J29" i="19" s="1"/>
  <c r="K29" i="19" s="1"/>
  <c r="L29" i="19" s="1"/>
  <c r="BA29" i="19"/>
  <c r="BB29" i="19" s="1"/>
  <c r="BC29" i="19" s="1"/>
  <c r="H28" i="19"/>
  <c r="I28" i="19" s="1"/>
  <c r="J28" i="19" s="1"/>
  <c r="K28" i="19" s="1"/>
  <c r="L28" i="19" s="1"/>
  <c r="BA28" i="19"/>
  <c r="BB28" i="19" s="1"/>
  <c r="BC28" i="19" s="1"/>
  <c r="H27" i="19"/>
  <c r="I27" i="19" s="1"/>
  <c r="J27" i="19" s="1"/>
  <c r="K27" i="19" s="1"/>
  <c r="L27" i="19" s="1"/>
  <c r="BA27" i="19"/>
  <c r="BB27" i="19" s="1"/>
  <c r="BC27" i="19" s="1"/>
  <c r="H26" i="19"/>
  <c r="I26" i="19" s="1"/>
  <c r="J26" i="19" s="1"/>
  <c r="K26" i="19" s="1"/>
  <c r="L26" i="19" s="1"/>
  <c r="BA26" i="19"/>
  <c r="BB26" i="19" s="1"/>
  <c r="BC26" i="19" s="1"/>
  <c r="H25" i="19"/>
  <c r="I25" i="19" s="1"/>
  <c r="J25" i="19" s="1"/>
  <c r="K25" i="19" s="1"/>
  <c r="L25" i="19" s="1"/>
  <c r="BA25" i="19"/>
  <c r="BB25" i="19" s="1"/>
  <c r="BC25" i="19" s="1"/>
  <c r="H24" i="19"/>
  <c r="I24" i="19" s="1"/>
  <c r="J24" i="19" s="1"/>
  <c r="K24" i="19" s="1"/>
  <c r="L24" i="19" s="1"/>
  <c r="BA24" i="19"/>
  <c r="BB24" i="19" s="1"/>
  <c r="BC24" i="19" s="1"/>
  <c r="H23" i="19"/>
  <c r="I23" i="19" s="1"/>
  <c r="J23" i="19" s="1"/>
  <c r="K23" i="19" s="1"/>
  <c r="L23" i="19" s="1"/>
  <c r="BA23" i="19"/>
  <c r="BB23" i="19" s="1"/>
  <c r="BC23" i="19" s="1"/>
  <c r="H22" i="19"/>
  <c r="I22" i="19" s="1"/>
  <c r="J22" i="19" s="1"/>
  <c r="K22" i="19" s="1"/>
  <c r="L22" i="19" s="1"/>
  <c r="BA22" i="19"/>
  <c r="BB22" i="19" s="1"/>
  <c r="BC22" i="19" s="1"/>
  <c r="H21" i="19"/>
  <c r="I21" i="19" s="1"/>
  <c r="J21" i="19" s="1"/>
  <c r="K21" i="19" s="1"/>
  <c r="L21" i="19" s="1"/>
  <c r="BA21" i="19"/>
  <c r="BB21" i="19" s="1"/>
  <c r="BC21" i="19" s="1"/>
  <c r="H20" i="19"/>
  <c r="I20" i="19" s="1"/>
  <c r="J20" i="19" s="1"/>
  <c r="K20" i="19" s="1"/>
  <c r="L20" i="19" s="1"/>
  <c r="BA20" i="19"/>
  <c r="BB20" i="19" s="1"/>
  <c r="BC20" i="19" s="1"/>
  <c r="H19" i="19"/>
  <c r="I19" i="19" s="1"/>
  <c r="J19" i="19" s="1"/>
  <c r="K19" i="19" s="1"/>
  <c r="L19" i="19" s="1"/>
  <c r="BA19" i="19"/>
  <c r="BB19" i="19" s="1"/>
  <c r="BC19" i="19" s="1"/>
  <c r="H18" i="19"/>
  <c r="I18" i="19" s="1"/>
  <c r="J18" i="19" s="1"/>
  <c r="K18" i="19" s="1"/>
  <c r="L18" i="19" s="1"/>
  <c r="BA18" i="19"/>
  <c r="BB18" i="19" s="1"/>
  <c r="BC18" i="19" s="1"/>
  <c r="H17" i="19"/>
  <c r="I17" i="19" s="1"/>
  <c r="J17" i="19" s="1"/>
  <c r="K17" i="19" s="1"/>
  <c r="L17" i="19" s="1"/>
  <c r="BA17" i="19"/>
  <c r="BB17" i="19" s="1"/>
  <c r="BC17" i="19" s="1"/>
  <c r="H16" i="19"/>
  <c r="I16" i="19" s="1"/>
  <c r="J16" i="19" s="1"/>
  <c r="K16" i="19" s="1"/>
  <c r="L16" i="19" s="1"/>
  <c r="BA16" i="19"/>
  <c r="BB16" i="19" s="1"/>
  <c r="BC16" i="19" s="1"/>
  <c r="H15" i="19"/>
  <c r="I15" i="19" s="1"/>
  <c r="J15" i="19" s="1"/>
  <c r="K15" i="19" s="1"/>
  <c r="L15" i="19" s="1"/>
  <c r="BA15" i="19"/>
  <c r="BB15" i="19" s="1"/>
  <c r="BC15" i="19" s="1"/>
  <c r="H14" i="19"/>
  <c r="I14" i="19" s="1"/>
  <c r="J14" i="19" s="1"/>
  <c r="K14" i="19" s="1"/>
  <c r="L14" i="19" s="1"/>
  <c r="BA14" i="19"/>
  <c r="BB14" i="19" s="1"/>
  <c r="BC14" i="19" s="1"/>
  <c r="H13" i="19"/>
  <c r="I13" i="19" s="1"/>
  <c r="J13" i="19" s="1"/>
  <c r="K13" i="19" s="1"/>
  <c r="L13" i="19" s="1"/>
  <c r="BA13" i="19"/>
  <c r="BB13" i="19" s="1"/>
  <c r="BC13" i="19" s="1"/>
  <c r="H12" i="19"/>
  <c r="I12" i="19" s="1"/>
  <c r="J12" i="19" s="1"/>
  <c r="K12" i="19" s="1"/>
  <c r="L12" i="19" s="1"/>
  <c r="BA12" i="19"/>
  <c r="BB12" i="19" s="1"/>
  <c r="BC12" i="19" s="1"/>
  <c r="H11" i="19"/>
  <c r="BA11" i="19"/>
  <c r="BB11" i="19" s="1"/>
  <c r="BC11" i="19" s="1"/>
  <c r="O74" i="19"/>
  <c r="P10" i="19"/>
  <c r="G74" i="19"/>
  <c r="H10" i="19"/>
  <c r="J11" i="16"/>
  <c r="H70" i="16"/>
  <c r="G74" i="16"/>
  <c r="H36" i="18"/>
  <c r="G74" i="18"/>
  <c r="H10" i="18"/>
  <c r="H74" i="34" l="1"/>
  <c r="AF74" i="34"/>
  <c r="P74" i="34"/>
  <c r="AN74" i="34"/>
  <c r="AV74" i="34"/>
  <c r="H74" i="33"/>
  <c r="I10" i="33"/>
  <c r="P74" i="33"/>
  <c r="X74" i="33"/>
  <c r="AG74" i="32"/>
  <c r="AH10" i="32"/>
  <c r="AN74" i="32"/>
  <c r="AO10" i="32"/>
  <c r="H74" i="32"/>
  <c r="I10" i="32"/>
  <c r="X74" i="32"/>
  <c r="Y10" i="32"/>
  <c r="I74" i="31"/>
  <c r="J10" i="31"/>
  <c r="AO74" i="31"/>
  <c r="AP10" i="31"/>
  <c r="R74" i="31"/>
  <c r="S10" i="31"/>
  <c r="Z74" i="31"/>
  <c r="AA10" i="31"/>
  <c r="AX74" i="31"/>
  <c r="AY10" i="31"/>
  <c r="AF74" i="31"/>
  <c r="AG10" i="31"/>
  <c r="AI74" i="30"/>
  <c r="AJ10" i="30"/>
  <c r="AJ74" i="30" s="1"/>
  <c r="Z74" i="30"/>
  <c r="AA10" i="30"/>
  <c r="H74" i="30"/>
  <c r="I10" i="30"/>
  <c r="AG74" i="29"/>
  <c r="AH10" i="29"/>
  <c r="X74" i="29"/>
  <c r="Y10" i="29"/>
  <c r="H74" i="29"/>
  <c r="I10" i="29"/>
  <c r="P74" i="29"/>
  <c r="Q10" i="29"/>
  <c r="AN74" i="29"/>
  <c r="AO10" i="29"/>
  <c r="AN74" i="28"/>
  <c r="AO10" i="28"/>
  <c r="H74" i="28"/>
  <c r="I10" i="28"/>
  <c r="X74" i="28"/>
  <c r="Y10" i="28"/>
  <c r="Q74" i="28"/>
  <c r="R10" i="28"/>
  <c r="AG74" i="27"/>
  <c r="AH10" i="27"/>
  <c r="Q74" i="27"/>
  <c r="R10" i="27"/>
  <c r="J74" i="27"/>
  <c r="K10" i="27"/>
  <c r="AP74" i="27"/>
  <c r="AQ10" i="27"/>
  <c r="X74" i="27"/>
  <c r="Y10" i="27"/>
  <c r="I41" i="26"/>
  <c r="J41" i="26" s="1"/>
  <c r="K41" i="26" s="1"/>
  <c r="L41" i="26" s="1"/>
  <c r="BA41" i="26"/>
  <c r="BB41" i="26" s="1"/>
  <c r="BC41" i="26" s="1"/>
  <c r="I20" i="26"/>
  <c r="J20" i="26" s="1"/>
  <c r="K20" i="26" s="1"/>
  <c r="L20" i="26" s="1"/>
  <c r="BA20" i="26"/>
  <c r="BB20" i="26" s="1"/>
  <c r="BC20" i="26" s="1"/>
  <c r="I16" i="26"/>
  <c r="AO10" i="26"/>
  <c r="AN74" i="26"/>
  <c r="AF74" i="26"/>
  <c r="AG10" i="26"/>
  <c r="X74" i="26"/>
  <c r="Y10" i="26"/>
  <c r="P74" i="26"/>
  <c r="Q10" i="26"/>
  <c r="H74" i="26"/>
  <c r="I10" i="26"/>
  <c r="AN74" i="25"/>
  <c r="AO10" i="25"/>
  <c r="AF74" i="25"/>
  <c r="AG10" i="25"/>
  <c r="Y10" i="25"/>
  <c r="X74" i="25"/>
  <c r="Q74" i="25"/>
  <c r="R10" i="25"/>
  <c r="H74" i="25"/>
  <c r="I10" i="25"/>
  <c r="Z74" i="24"/>
  <c r="AA10" i="24"/>
  <c r="P74" i="24"/>
  <c r="Q10" i="24"/>
  <c r="AV74" i="24"/>
  <c r="AW10" i="24"/>
  <c r="AO74" i="24"/>
  <c r="AP10" i="24"/>
  <c r="AF74" i="24"/>
  <c r="AG10" i="24"/>
  <c r="I74" i="24"/>
  <c r="J10" i="24"/>
  <c r="AN74" i="23"/>
  <c r="AO10" i="23"/>
  <c r="AF74" i="23"/>
  <c r="AG10" i="23"/>
  <c r="P74" i="23"/>
  <c r="Q10" i="23"/>
  <c r="Y74" i="23"/>
  <c r="Z10" i="23"/>
  <c r="H74" i="23"/>
  <c r="I10" i="23"/>
  <c r="AN74" i="22"/>
  <c r="AO10" i="22"/>
  <c r="Q74" i="22"/>
  <c r="R10" i="22"/>
  <c r="Z74" i="22"/>
  <c r="AA10" i="22"/>
  <c r="AF74" i="22"/>
  <c r="AG10" i="22"/>
  <c r="H74" i="22"/>
  <c r="I10" i="22"/>
  <c r="AG74" i="21"/>
  <c r="AH10" i="21"/>
  <c r="X74" i="21"/>
  <c r="Y10" i="21"/>
  <c r="Q74" i="21"/>
  <c r="R10" i="21"/>
  <c r="AN74" i="21"/>
  <c r="AO10" i="21"/>
  <c r="AN74" i="20"/>
  <c r="AO10" i="20"/>
  <c r="I74" i="20"/>
  <c r="J10" i="20"/>
  <c r="AV74" i="20"/>
  <c r="AW10" i="20"/>
  <c r="AG74" i="20"/>
  <c r="AH10" i="20"/>
  <c r="Q74" i="20"/>
  <c r="R10" i="20"/>
  <c r="X74" i="20"/>
  <c r="Y10" i="20"/>
  <c r="Q10" i="16"/>
  <c r="P74" i="16"/>
  <c r="S12" i="16"/>
  <c r="T12" i="16" s="1"/>
  <c r="BA12" i="16"/>
  <c r="BB12" i="16" s="1"/>
  <c r="BC12" i="16" s="1"/>
  <c r="S13" i="16"/>
  <c r="T13" i="16" s="1"/>
  <c r="BA13" i="16"/>
  <c r="BB13" i="16" s="1"/>
  <c r="BC13" i="16" s="1"/>
  <c r="S14" i="16"/>
  <c r="T14" i="16" s="1"/>
  <c r="BA14" i="16"/>
  <c r="BB14" i="16" s="1"/>
  <c r="BC14" i="16" s="1"/>
  <c r="S15" i="16"/>
  <c r="T15" i="16" s="1"/>
  <c r="BA15" i="16"/>
  <c r="BB15" i="16" s="1"/>
  <c r="BC15" i="16" s="1"/>
  <c r="S16" i="16"/>
  <c r="T16" i="16" s="1"/>
  <c r="BA16" i="16"/>
  <c r="BB16" i="16" s="1"/>
  <c r="BC16" i="16" s="1"/>
  <c r="S17" i="16"/>
  <c r="T17" i="16" s="1"/>
  <c r="BA17" i="16"/>
  <c r="BB17" i="16" s="1"/>
  <c r="BC17" i="16" s="1"/>
  <c r="S18" i="16"/>
  <c r="T18" i="16" s="1"/>
  <c r="BA18" i="16"/>
  <c r="BB18" i="16" s="1"/>
  <c r="BC18" i="16" s="1"/>
  <c r="S19" i="16"/>
  <c r="T19" i="16" s="1"/>
  <c r="BA19" i="16"/>
  <c r="BB19" i="16" s="1"/>
  <c r="BC19" i="16" s="1"/>
  <c r="S20" i="16"/>
  <c r="T20" i="16" s="1"/>
  <c r="BA20" i="16"/>
  <c r="BB20" i="16" s="1"/>
  <c r="BC20" i="16" s="1"/>
  <c r="S21" i="16"/>
  <c r="T21" i="16" s="1"/>
  <c r="BA21" i="16"/>
  <c r="BB21" i="16" s="1"/>
  <c r="BC21" i="16" s="1"/>
  <c r="S22" i="16"/>
  <c r="T22" i="16" s="1"/>
  <c r="BA22" i="16"/>
  <c r="BB22" i="16" s="1"/>
  <c r="BC22" i="16" s="1"/>
  <c r="S23" i="16"/>
  <c r="T23" i="16" s="1"/>
  <c r="BA23" i="16"/>
  <c r="BB23" i="16" s="1"/>
  <c r="BC23" i="16" s="1"/>
  <c r="S24" i="16"/>
  <c r="T24" i="16" s="1"/>
  <c r="BA24" i="16"/>
  <c r="BB24" i="16" s="1"/>
  <c r="BC24" i="16" s="1"/>
  <c r="S25" i="16"/>
  <c r="T25" i="16" s="1"/>
  <c r="BA25" i="16"/>
  <c r="BB25" i="16" s="1"/>
  <c r="BC25" i="16" s="1"/>
  <c r="S26" i="16"/>
  <c r="T26" i="16" s="1"/>
  <c r="BA26" i="16"/>
  <c r="BB26" i="16" s="1"/>
  <c r="BC26" i="16" s="1"/>
  <c r="S27" i="16"/>
  <c r="T27" i="16" s="1"/>
  <c r="BA27" i="16"/>
  <c r="BB27" i="16" s="1"/>
  <c r="BC27" i="16" s="1"/>
  <c r="S28" i="16"/>
  <c r="T28" i="16" s="1"/>
  <c r="BA28" i="16"/>
  <c r="BB28" i="16" s="1"/>
  <c r="BC28" i="16" s="1"/>
  <c r="S29" i="16"/>
  <c r="T29" i="16" s="1"/>
  <c r="BA29" i="16"/>
  <c r="BB29" i="16" s="1"/>
  <c r="BC29" i="16" s="1"/>
  <c r="S30" i="16"/>
  <c r="T30" i="16" s="1"/>
  <c r="BA30" i="16"/>
  <c r="BB30" i="16" s="1"/>
  <c r="BC30" i="16" s="1"/>
  <c r="S31" i="16"/>
  <c r="T31" i="16" s="1"/>
  <c r="BA31" i="16"/>
  <c r="BB31" i="16" s="1"/>
  <c r="BC31" i="16" s="1"/>
  <c r="S32" i="16"/>
  <c r="T32" i="16" s="1"/>
  <c r="BA32" i="16"/>
  <c r="BB32" i="16" s="1"/>
  <c r="BC32" i="16" s="1"/>
  <c r="S33" i="16"/>
  <c r="T33" i="16" s="1"/>
  <c r="BA33" i="16"/>
  <c r="BB33" i="16" s="1"/>
  <c r="BC33" i="16" s="1"/>
  <c r="S34" i="16"/>
  <c r="T34" i="16" s="1"/>
  <c r="BA34" i="16"/>
  <c r="BB34" i="16" s="1"/>
  <c r="BC34" i="16" s="1"/>
  <c r="S35" i="16"/>
  <c r="T35" i="16" s="1"/>
  <c r="BA35" i="16"/>
  <c r="BB35" i="16" s="1"/>
  <c r="BC35" i="16" s="1"/>
  <c r="S36" i="16"/>
  <c r="T36" i="16" s="1"/>
  <c r="BA36" i="16"/>
  <c r="BB36" i="16" s="1"/>
  <c r="BC36" i="16" s="1"/>
  <c r="S37" i="16"/>
  <c r="T37" i="16" s="1"/>
  <c r="BA37" i="16"/>
  <c r="BB37" i="16" s="1"/>
  <c r="BC37" i="16" s="1"/>
  <c r="S38" i="16"/>
  <c r="T38" i="16" s="1"/>
  <c r="BA38" i="16"/>
  <c r="BB38" i="16" s="1"/>
  <c r="BC38" i="16" s="1"/>
  <c r="S39" i="16"/>
  <c r="T39" i="16" s="1"/>
  <c r="BA39" i="16"/>
  <c r="BB39" i="16" s="1"/>
  <c r="BC39" i="16" s="1"/>
  <c r="S40" i="16"/>
  <c r="T40" i="16" s="1"/>
  <c r="BA40" i="16"/>
  <c r="BB40" i="16" s="1"/>
  <c r="BC40" i="16" s="1"/>
  <c r="S41" i="16"/>
  <c r="T41" i="16" s="1"/>
  <c r="BA41" i="16"/>
  <c r="BB41" i="16" s="1"/>
  <c r="BC41" i="16" s="1"/>
  <c r="S42" i="16"/>
  <c r="T42" i="16" s="1"/>
  <c r="BA42" i="16"/>
  <c r="BB42" i="16" s="1"/>
  <c r="BC42" i="16" s="1"/>
  <c r="S43" i="16"/>
  <c r="T43" i="16" s="1"/>
  <c r="BA43" i="16"/>
  <c r="BB43" i="16" s="1"/>
  <c r="BC43" i="16" s="1"/>
  <c r="S44" i="16"/>
  <c r="T44" i="16" s="1"/>
  <c r="BA44" i="16"/>
  <c r="BB44" i="16" s="1"/>
  <c r="BC44" i="16" s="1"/>
  <c r="S45" i="16"/>
  <c r="T45" i="16" s="1"/>
  <c r="BA45" i="16"/>
  <c r="BB45" i="16" s="1"/>
  <c r="BC45" i="16" s="1"/>
  <c r="S46" i="16"/>
  <c r="T46" i="16" s="1"/>
  <c r="BA46" i="16"/>
  <c r="BB46" i="16" s="1"/>
  <c r="BC46" i="16" s="1"/>
  <c r="S47" i="16"/>
  <c r="T47" i="16" s="1"/>
  <c r="BA47" i="16"/>
  <c r="BB47" i="16" s="1"/>
  <c r="BC47" i="16" s="1"/>
  <c r="S48" i="16"/>
  <c r="T48" i="16" s="1"/>
  <c r="BA48" i="16"/>
  <c r="BB48" i="16" s="1"/>
  <c r="BC48" i="16" s="1"/>
  <c r="S49" i="16"/>
  <c r="T49" i="16" s="1"/>
  <c r="BA49" i="16"/>
  <c r="BB49" i="16" s="1"/>
  <c r="BC49" i="16" s="1"/>
  <c r="S50" i="16"/>
  <c r="T50" i="16" s="1"/>
  <c r="BA50" i="16"/>
  <c r="BB50" i="16" s="1"/>
  <c r="BC50" i="16" s="1"/>
  <c r="S51" i="16"/>
  <c r="T51" i="16" s="1"/>
  <c r="BA51" i="16"/>
  <c r="BB51" i="16" s="1"/>
  <c r="BC51" i="16" s="1"/>
  <c r="S52" i="16"/>
  <c r="T52" i="16" s="1"/>
  <c r="BA52" i="16"/>
  <c r="BB52" i="16" s="1"/>
  <c r="BC52" i="16" s="1"/>
  <c r="S53" i="16"/>
  <c r="T53" i="16" s="1"/>
  <c r="BA53" i="16"/>
  <c r="BB53" i="16" s="1"/>
  <c r="BC53" i="16" s="1"/>
  <c r="S54" i="16"/>
  <c r="T54" i="16" s="1"/>
  <c r="BA54" i="16"/>
  <c r="BB54" i="16" s="1"/>
  <c r="BC54" i="16" s="1"/>
  <c r="S55" i="16"/>
  <c r="T55" i="16" s="1"/>
  <c r="BA55" i="16"/>
  <c r="BB55" i="16" s="1"/>
  <c r="BC55" i="16" s="1"/>
  <c r="S56" i="16"/>
  <c r="T56" i="16" s="1"/>
  <c r="BA56" i="16"/>
  <c r="BB56" i="16" s="1"/>
  <c r="BC56" i="16" s="1"/>
  <c r="S57" i="16"/>
  <c r="T57" i="16" s="1"/>
  <c r="BA57" i="16"/>
  <c r="BB57" i="16" s="1"/>
  <c r="BC57" i="16" s="1"/>
  <c r="S58" i="16"/>
  <c r="T58" i="16" s="1"/>
  <c r="BA58" i="16"/>
  <c r="BB58" i="16" s="1"/>
  <c r="BC58" i="16" s="1"/>
  <c r="S59" i="16"/>
  <c r="T59" i="16" s="1"/>
  <c r="BA59" i="16"/>
  <c r="BB59" i="16" s="1"/>
  <c r="BC59" i="16" s="1"/>
  <c r="S60" i="16"/>
  <c r="T60" i="16" s="1"/>
  <c r="BA60" i="16"/>
  <c r="BB60" i="16" s="1"/>
  <c r="BC60" i="16" s="1"/>
  <c r="S61" i="16"/>
  <c r="T61" i="16" s="1"/>
  <c r="BA61" i="16"/>
  <c r="BB61" i="16" s="1"/>
  <c r="BC61" i="16" s="1"/>
  <c r="S62" i="16"/>
  <c r="T62" i="16" s="1"/>
  <c r="BA62" i="16"/>
  <c r="BB62" i="16" s="1"/>
  <c r="BC62" i="16" s="1"/>
  <c r="S63" i="16"/>
  <c r="T63" i="16" s="1"/>
  <c r="BA63" i="16"/>
  <c r="BB63" i="16" s="1"/>
  <c r="BC63" i="16" s="1"/>
  <c r="S64" i="16"/>
  <c r="T64" i="16" s="1"/>
  <c r="BA64" i="16"/>
  <c r="BB64" i="16" s="1"/>
  <c r="BC64" i="16" s="1"/>
  <c r="S65" i="16"/>
  <c r="T65" i="16" s="1"/>
  <c r="BA65" i="16"/>
  <c r="BB65" i="16" s="1"/>
  <c r="BC65" i="16" s="1"/>
  <c r="S66" i="16"/>
  <c r="T66" i="16" s="1"/>
  <c r="BA66" i="16"/>
  <c r="BB66" i="16" s="1"/>
  <c r="BC66" i="16" s="1"/>
  <c r="S67" i="16"/>
  <c r="T67" i="16" s="1"/>
  <c r="BA67" i="16"/>
  <c r="BB67" i="16" s="1"/>
  <c r="BC67" i="16" s="1"/>
  <c r="S68" i="16"/>
  <c r="T68" i="16" s="1"/>
  <c r="BA68" i="16"/>
  <c r="BB68" i="16" s="1"/>
  <c r="BC68" i="16" s="1"/>
  <c r="S69" i="16"/>
  <c r="T69" i="16" s="1"/>
  <c r="BA69" i="16"/>
  <c r="BB69" i="16" s="1"/>
  <c r="BC69" i="16" s="1"/>
  <c r="S71" i="16"/>
  <c r="T71" i="16" s="1"/>
  <c r="BA71" i="16"/>
  <c r="BB71" i="16" s="1"/>
  <c r="BC71" i="16" s="1"/>
  <c r="S72" i="16"/>
  <c r="T72" i="16" s="1"/>
  <c r="BA72" i="16"/>
  <c r="BB72" i="16" s="1"/>
  <c r="BC72" i="16" s="1"/>
  <c r="S73" i="16"/>
  <c r="T73" i="16" s="1"/>
  <c r="BA73" i="16"/>
  <c r="BB73" i="16" s="1"/>
  <c r="BC73" i="16" s="1"/>
  <c r="Y10" i="16"/>
  <c r="X74" i="16"/>
  <c r="AG10" i="16"/>
  <c r="AF74" i="16"/>
  <c r="AO10" i="16"/>
  <c r="AN74" i="16"/>
  <c r="AW10" i="16"/>
  <c r="AV74" i="16"/>
  <c r="H74" i="19"/>
  <c r="I10" i="19"/>
  <c r="P74" i="19"/>
  <c r="Q10" i="19"/>
  <c r="K11" i="16"/>
  <c r="L11" i="16" s="1"/>
  <c r="BA11" i="16"/>
  <c r="BB11" i="16" s="1"/>
  <c r="BC11" i="16" s="1"/>
  <c r="I70" i="16"/>
  <c r="H74" i="16"/>
  <c r="I36" i="18"/>
  <c r="H74" i="18"/>
  <c r="I10" i="18"/>
  <c r="AO74" i="34" l="1"/>
  <c r="AW74" i="34"/>
  <c r="I74" i="33"/>
  <c r="J10" i="33"/>
  <c r="Q74" i="33"/>
  <c r="Y74" i="33"/>
  <c r="I74" i="32"/>
  <c r="J10" i="32"/>
  <c r="AH74" i="32"/>
  <c r="AI10" i="32"/>
  <c r="Y74" i="32"/>
  <c r="Z10" i="32"/>
  <c r="AO74" i="32"/>
  <c r="AP10" i="32"/>
  <c r="AP74" i="31"/>
  <c r="AQ10" i="31"/>
  <c r="AG74" i="31"/>
  <c r="AH10" i="31"/>
  <c r="AA74" i="31"/>
  <c r="AB10" i="31"/>
  <c r="AB74" i="31" s="1"/>
  <c r="AY74" i="31"/>
  <c r="AZ10" i="31"/>
  <c r="AZ74" i="31" s="1"/>
  <c r="S74" i="31"/>
  <c r="T10" i="31"/>
  <c r="T74" i="31" s="1"/>
  <c r="J74" i="31"/>
  <c r="K10" i="31"/>
  <c r="I74" i="30"/>
  <c r="J10" i="30"/>
  <c r="AA74" i="30"/>
  <c r="AB10" i="30"/>
  <c r="AB74" i="30" s="1"/>
  <c r="AH74" i="29"/>
  <c r="AI10" i="29"/>
  <c r="Q74" i="29"/>
  <c r="R10" i="29"/>
  <c r="Y74" i="29"/>
  <c r="Z10" i="29"/>
  <c r="I74" i="29"/>
  <c r="J10" i="29"/>
  <c r="AO74" i="29"/>
  <c r="AP10" i="29"/>
  <c r="Y74" i="28"/>
  <c r="Z10" i="28"/>
  <c r="R74" i="28"/>
  <c r="S10" i="28"/>
  <c r="I74" i="28"/>
  <c r="J10" i="28"/>
  <c r="AO74" i="28"/>
  <c r="AP10" i="28"/>
  <c r="K74" i="27"/>
  <c r="L10" i="27"/>
  <c r="AH74" i="27"/>
  <c r="AI10" i="27"/>
  <c r="R74" i="27"/>
  <c r="S10" i="27"/>
  <c r="AQ74" i="27"/>
  <c r="AR10" i="27"/>
  <c r="AR74" i="27" s="1"/>
  <c r="Y74" i="27"/>
  <c r="Z10" i="27"/>
  <c r="J16" i="26"/>
  <c r="K16" i="26" s="1"/>
  <c r="L16" i="26" s="1"/>
  <c r="BA16" i="26"/>
  <c r="BB16" i="26" s="1"/>
  <c r="BC16" i="26" s="1"/>
  <c r="AO74" i="26"/>
  <c r="AP10" i="26"/>
  <c r="AG74" i="26"/>
  <c r="AH10" i="26"/>
  <c r="Y74" i="26"/>
  <c r="Z10" i="26"/>
  <c r="R10" i="26"/>
  <c r="Q74" i="26"/>
  <c r="I74" i="26"/>
  <c r="J10" i="26"/>
  <c r="AP10" i="25"/>
  <c r="AO74" i="25"/>
  <c r="AH10" i="25"/>
  <c r="AG74" i="25"/>
  <c r="Y74" i="25"/>
  <c r="Z10" i="25"/>
  <c r="S10" i="25"/>
  <c r="R74" i="25"/>
  <c r="I74" i="25"/>
  <c r="J10" i="25"/>
  <c r="Q74" i="24"/>
  <c r="R10" i="24"/>
  <c r="AH10" i="24"/>
  <c r="AG74" i="24"/>
  <c r="AW74" i="24"/>
  <c r="AX10" i="24"/>
  <c r="AA74" i="24"/>
  <c r="AB10" i="24"/>
  <c r="AB74" i="24" s="1"/>
  <c r="K10" i="24"/>
  <c r="J74" i="24"/>
  <c r="AP74" i="24"/>
  <c r="AQ10" i="24"/>
  <c r="Q74" i="23"/>
  <c r="R10" i="23"/>
  <c r="I74" i="23"/>
  <c r="J10" i="23"/>
  <c r="AG74" i="23"/>
  <c r="AH10" i="23"/>
  <c r="Z74" i="23"/>
  <c r="AA10" i="23"/>
  <c r="AO74" i="23"/>
  <c r="AP10" i="23"/>
  <c r="R74" i="22"/>
  <c r="S10" i="22"/>
  <c r="I74" i="22"/>
  <c r="J10" i="22"/>
  <c r="AG74" i="22"/>
  <c r="AH10" i="22"/>
  <c r="AA74" i="22"/>
  <c r="AB10" i="22"/>
  <c r="AB74" i="22" s="1"/>
  <c r="AO74" i="22"/>
  <c r="AP10" i="22"/>
  <c r="R74" i="21"/>
  <c r="S10" i="21"/>
  <c r="AH74" i="21"/>
  <c r="AI10" i="21"/>
  <c r="AO74" i="21"/>
  <c r="AP10" i="21"/>
  <c r="Y74" i="21"/>
  <c r="Z10" i="21"/>
  <c r="R74" i="20"/>
  <c r="S10" i="20"/>
  <c r="AH74" i="20"/>
  <c r="AI10" i="20"/>
  <c r="AW74" i="20"/>
  <c r="AX10" i="20"/>
  <c r="J74" i="20"/>
  <c r="K10" i="20"/>
  <c r="AO74" i="20"/>
  <c r="AP10" i="20"/>
  <c r="Y74" i="20"/>
  <c r="Z10" i="20"/>
  <c r="AX10" i="16"/>
  <c r="AW74" i="16"/>
  <c r="AP10" i="16"/>
  <c r="AO74" i="16"/>
  <c r="AH10" i="16"/>
  <c r="AG74" i="16"/>
  <c r="Z10" i="16"/>
  <c r="Y74" i="16"/>
  <c r="R10" i="16"/>
  <c r="Q74" i="16"/>
  <c r="Q74" i="19"/>
  <c r="R10" i="19"/>
  <c r="I74" i="19"/>
  <c r="J10" i="19"/>
  <c r="J70" i="16"/>
  <c r="I74" i="16"/>
  <c r="J36" i="18"/>
  <c r="I74" i="18"/>
  <c r="J10" i="18"/>
  <c r="AX74" i="34" l="1"/>
  <c r="AP74" i="34"/>
  <c r="R74" i="33"/>
  <c r="Z74" i="33"/>
  <c r="J74" i="33"/>
  <c r="K10" i="33"/>
  <c r="AP74" i="32"/>
  <c r="AQ10" i="32"/>
  <c r="AI74" i="32"/>
  <c r="AJ10" i="32"/>
  <c r="AJ74" i="32" s="1"/>
  <c r="Z74" i="32"/>
  <c r="AA10" i="32"/>
  <c r="J74" i="32"/>
  <c r="K10" i="32"/>
  <c r="K74" i="31"/>
  <c r="L10" i="31"/>
  <c r="L74" i="31" s="1"/>
  <c r="AH74" i="31"/>
  <c r="AI10" i="31"/>
  <c r="AQ74" i="31"/>
  <c r="AR10" i="31"/>
  <c r="AR74" i="31" s="1"/>
  <c r="J74" i="30"/>
  <c r="K10" i="30"/>
  <c r="AP74" i="29"/>
  <c r="AQ10" i="29"/>
  <c r="R74" i="29"/>
  <c r="S10" i="29"/>
  <c r="J74" i="29"/>
  <c r="K10" i="29"/>
  <c r="Z74" i="29"/>
  <c r="AA10" i="29"/>
  <c r="AI74" i="29"/>
  <c r="AJ10" i="29"/>
  <c r="AJ74" i="29" s="1"/>
  <c r="S74" i="28"/>
  <c r="T10" i="28"/>
  <c r="T74" i="28" s="1"/>
  <c r="Z74" i="28"/>
  <c r="AA10" i="28"/>
  <c r="AP74" i="28"/>
  <c r="AQ10" i="28"/>
  <c r="J74" i="28"/>
  <c r="K10" i="28"/>
  <c r="Z74" i="27"/>
  <c r="AA10" i="27"/>
  <c r="S74" i="27"/>
  <c r="T10" i="27"/>
  <c r="T74" i="27" s="1"/>
  <c r="L74" i="27"/>
  <c r="AI74" i="27"/>
  <c r="AJ10" i="27"/>
  <c r="AJ74" i="27" s="1"/>
  <c r="AQ10" i="26"/>
  <c r="AP74" i="26"/>
  <c r="AH74" i="26"/>
  <c r="AI10" i="26"/>
  <c r="AA10" i="26"/>
  <c r="Z74" i="26"/>
  <c r="R74" i="26"/>
  <c r="S10" i="26"/>
  <c r="K10" i="26"/>
  <c r="J74" i="26"/>
  <c r="AQ10" i="25"/>
  <c r="AP74" i="25"/>
  <c r="AH74" i="25"/>
  <c r="AI10" i="25"/>
  <c r="AA10" i="25"/>
  <c r="Z74" i="25"/>
  <c r="S74" i="25"/>
  <c r="T10" i="25"/>
  <c r="T74" i="25" s="1"/>
  <c r="K10" i="25"/>
  <c r="J74" i="25"/>
  <c r="AH74" i="24"/>
  <c r="AI10" i="24"/>
  <c r="AX74" i="24"/>
  <c r="AY10" i="24"/>
  <c r="R74" i="24"/>
  <c r="S10" i="24"/>
  <c r="AR10" i="24"/>
  <c r="AR74" i="24" s="1"/>
  <c r="AQ74" i="24"/>
  <c r="K74" i="24"/>
  <c r="L10" i="24"/>
  <c r="AA74" i="23"/>
  <c r="AB10" i="23"/>
  <c r="AB74" i="23" s="1"/>
  <c r="AP74" i="23"/>
  <c r="AQ10" i="23"/>
  <c r="J74" i="23"/>
  <c r="K10" i="23"/>
  <c r="AH74" i="23"/>
  <c r="AI10" i="23"/>
  <c r="R74" i="23"/>
  <c r="S10" i="23"/>
  <c r="AH74" i="22"/>
  <c r="AI10" i="22"/>
  <c r="AP74" i="22"/>
  <c r="AQ10" i="22"/>
  <c r="J74" i="22"/>
  <c r="K10" i="22"/>
  <c r="S74" i="22"/>
  <c r="T10" i="22"/>
  <c r="T74" i="22" s="1"/>
  <c r="AI74" i="21"/>
  <c r="AJ10" i="21"/>
  <c r="AJ74" i="21" s="1"/>
  <c r="S74" i="21"/>
  <c r="T10" i="21"/>
  <c r="T74" i="21" s="1"/>
  <c r="Z74" i="21"/>
  <c r="AA10" i="21"/>
  <c r="AP74" i="21"/>
  <c r="AQ10" i="21"/>
  <c r="AX74" i="20"/>
  <c r="AY10" i="20"/>
  <c r="AI74" i="20"/>
  <c r="AJ10" i="20"/>
  <c r="AJ74" i="20" s="1"/>
  <c r="Z74" i="20"/>
  <c r="AA10" i="20"/>
  <c r="AP74" i="20"/>
  <c r="AQ10" i="20"/>
  <c r="K74" i="20"/>
  <c r="L10" i="20"/>
  <c r="L74" i="20" s="1"/>
  <c r="S74" i="20"/>
  <c r="T10" i="20"/>
  <c r="T74" i="20" s="1"/>
  <c r="S10" i="16"/>
  <c r="R74" i="16"/>
  <c r="AA10" i="16"/>
  <c r="Z74" i="16"/>
  <c r="AI10" i="16"/>
  <c r="AH74" i="16"/>
  <c r="AQ10" i="16"/>
  <c r="AP74" i="16"/>
  <c r="AY10" i="16"/>
  <c r="AX74" i="16"/>
  <c r="J74" i="19"/>
  <c r="K10" i="19"/>
  <c r="R74" i="19"/>
  <c r="S10" i="19"/>
  <c r="K70" i="16"/>
  <c r="J74" i="16"/>
  <c r="K36" i="18"/>
  <c r="J74" i="18"/>
  <c r="K10" i="18"/>
  <c r="AQ74" i="34" l="1"/>
  <c r="AR74" i="34"/>
  <c r="AY74" i="34"/>
  <c r="AZ74" i="34"/>
  <c r="AA74" i="33"/>
  <c r="AB74" i="33"/>
  <c r="S74" i="33"/>
  <c r="T74" i="33"/>
  <c r="K74" i="33"/>
  <c r="L10" i="33"/>
  <c r="K74" i="32"/>
  <c r="L10" i="32"/>
  <c r="AA74" i="32"/>
  <c r="AB10" i="32"/>
  <c r="AB74" i="32" s="1"/>
  <c r="AQ74" i="32"/>
  <c r="AI74" i="31"/>
  <c r="AJ10" i="31"/>
  <c r="K74" i="30"/>
  <c r="L10" i="30"/>
  <c r="L74" i="30" s="1"/>
  <c r="K74" i="29"/>
  <c r="L10" i="29"/>
  <c r="L74" i="29" s="1"/>
  <c r="AA74" i="29"/>
  <c r="AB10" i="29"/>
  <c r="AB74" i="29" s="1"/>
  <c r="S74" i="29"/>
  <c r="T10" i="29"/>
  <c r="T74" i="29" s="1"/>
  <c r="AQ74" i="29"/>
  <c r="AR10" i="29"/>
  <c r="AR74" i="29" s="1"/>
  <c r="K74" i="28"/>
  <c r="L10" i="28"/>
  <c r="L74" i="28" s="1"/>
  <c r="AA74" i="28"/>
  <c r="AB10" i="28"/>
  <c r="AB74" i="28" s="1"/>
  <c r="AQ74" i="28"/>
  <c r="AR10" i="28"/>
  <c r="AR74" i="28" s="1"/>
  <c r="AA74" i="27"/>
  <c r="AB10" i="27"/>
  <c r="AQ74" i="26"/>
  <c r="AR10" i="26"/>
  <c r="AR74" i="26" s="1"/>
  <c r="AI74" i="26"/>
  <c r="AJ10" i="26"/>
  <c r="AJ74" i="26" s="1"/>
  <c r="AB10" i="26"/>
  <c r="AB74" i="26" s="1"/>
  <c r="AA74" i="26"/>
  <c r="S74" i="26"/>
  <c r="T10" i="26"/>
  <c r="T74" i="26" s="1"/>
  <c r="L10" i="26"/>
  <c r="K74" i="26"/>
  <c r="AR10" i="25"/>
  <c r="AR74" i="25" s="1"/>
  <c r="AQ74" i="25"/>
  <c r="AJ10" i="25"/>
  <c r="AJ74" i="25" s="1"/>
  <c r="AI74" i="25"/>
  <c r="AB10" i="25"/>
  <c r="AB74" i="25" s="1"/>
  <c r="AA74" i="25"/>
  <c r="L10" i="25"/>
  <c r="K74" i="25"/>
  <c r="AY74" i="24"/>
  <c r="AZ10" i="24"/>
  <c r="AZ74" i="24" s="1"/>
  <c r="L74" i="24"/>
  <c r="S74" i="24"/>
  <c r="T10" i="24"/>
  <c r="T74" i="24" s="1"/>
  <c r="AI74" i="24"/>
  <c r="AJ10" i="24"/>
  <c r="AJ74" i="24" s="1"/>
  <c r="S74" i="23"/>
  <c r="T10" i="23"/>
  <c r="T74" i="23" s="1"/>
  <c r="AQ74" i="23"/>
  <c r="AR10" i="23"/>
  <c r="AR74" i="23" s="1"/>
  <c r="AI74" i="23"/>
  <c r="AJ10" i="23"/>
  <c r="AJ74" i="23" s="1"/>
  <c r="K74" i="23"/>
  <c r="L10" i="23"/>
  <c r="AQ74" i="22"/>
  <c r="AR10" i="22"/>
  <c r="AR74" i="22" s="1"/>
  <c r="K74" i="22"/>
  <c r="L10" i="22"/>
  <c r="L74" i="22" s="1"/>
  <c r="AI74" i="22"/>
  <c r="AJ10" i="22"/>
  <c r="AJ74" i="22" s="1"/>
  <c r="AQ74" i="21"/>
  <c r="AR10" i="21"/>
  <c r="AR74" i="21" s="1"/>
  <c r="AA74" i="21"/>
  <c r="AB10" i="21"/>
  <c r="AB74" i="21" s="1"/>
  <c r="AQ74" i="20"/>
  <c r="AR10" i="20"/>
  <c r="AR74" i="20" s="1"/>
  <c r="AA74" i="20"/>
  <c r="AB10" i="20"/>
  <c r="AY74" i="20"/>
  <c r="AZ10" i="20"/>
  <c r="AZ74" i="20" s="1"/>
  <c r="AZ10" i="16"/>
  <c r="AZ74" i="16" s="1"/>
  <c r="AY74" i="16"/>
  <c r="AR10" i="16"/>
  <c r="AR74" i="16" s="1"/>
  <c r="AQ74" i="16"/>
  <c r="AJ10" i="16"/>
  <c r="AJ74" i="16" s="1"/>
  <c r="AI74" i="16"/>
  <c r="AB10" i="16"/>
  <c r="AB74" i="16" s="1"/>
  <c r="AA74" i="16"/>
  <c r="T10" i="16"/>
  <c r="T74" i="16" s="1"/>
  <c r="S74" i="16"/>
  <c r="BA10" i="16"/>
  <c r="BB10" i="16" s="1"/>
  <c r="BC10" i="16" s="1"/>
  <c r="S74" i="19"/>
  <c r="T10" i="19"/>
  <c r="T74" i="19" s="1"/>
  <c r="K74" i="19"/>
  <c r="L10" i="19"/>
  <c r="L74" i="19" s="1"/>
  <c r="BA10" i="19"/>
  <c r="BB10" i="19" s="1"/>
  <c r="BC10" i="19" s="1"/>
  <c r="L70" i="16"/>
  <c r="L74" i="16" s="1"/>
  <c r="K74" i="16"/>
  <c r="BA70" i="16"/>
  <c r="BB70" i="16" s="1"/>
  <c r="BC70" i="16" s="1"/>
  <c r="L36" i="18"/>
  <c r="L74" i="18" s="1"/>
  <c r="K74" i="18"/>
  <c r="BA36" i="18"/>
  <c r="BB36" i="18" s="1"/>
  <c r="BC36" i="18" s="1"/>
  <c r="L10" i="18"/>
  <c r="BA10" i="18"/>
  <c r="BB10" i="18" s="1"/>
  <c r="BC10" i="18" s="1"/>
  <c r="BA10" i="34" l="1"/>
  <c r="BB10" i="34" s="1"/>
  <c r="BC10" i="34" s="1"/>
  <c r="L74" i="33"/>
  <c r="BA10" i="33"/>
  <c r="BB10" i="33" s="1"/>
  <c r="BC10" i="33" s="1"/>
  <c r="L74" i="32"/>
  <c r="BA10" i="32"/>
  <c r="BB10" i="32" s="1"/>
  <c r="BC10" i="32" s="1"/>
  <c r="AJ74" i="31"/>
  <c r="BA10" i="31"/>
  <c r="BB10" i="31" s="1"/>
  <c r="BC10" i="31" s="1"/>
  <c r="BA10" i="30"/>
  <c r="BB10" i="30" s="1"/>
  <c r="BC10" i="30" s="1"/>
  <c r="BA10" i="29"/>
  <c r="BB10" i="29" s="1"/>
  <c r="BC10" i="29" s="1"/>
  <c r="BA10" i="28"/>
  <c r="BB10" i="28" s="1"/>
  <c r="BC10" i="28" s="1"/>
  <c r="AB74" i="27"/>
  <c r="BA10" i="27"/>
  <c r="BB10" i="27" s="1"/>
  <c r="BC10" i="27" s="1"/>
  <c r="BA10" i="26"/>
  <c r="BB10" i="26" s="1"/>
  <c r="BC10" i="26" s="1"/>
  <c r="L74" i="26"/>
  <c r="BA10" i="25"/>
  <c r="BB10" i="25" s="1"/>
  <c r="BC10" i="25" s="1"/>
  <c r="L74" i="25"/>
  <c r="BA10" i="24"/>
  <c r="BB10" i="24" s="1"/>
  <c r="BC10" i="24" s="1"/>
  <c r="L74" i="23"/>
  <c r="BA10" i="23"/>
  <c r="BB10" i="23" s="1"/>
  <c r="BC10" i="23" s="1"/>
  <c r="BA10" i="22"/>
  <c r="BB10" i="22" s="1"/>
  <c r="BC10" i="22" s="1"/>
  <c r="BA10" i="21"/>
  <c r="BB10" i="21" s="1"/>
  <c r="BC10" i="21" s="1"/>
  <c r="AB74" i="20"/>
  <c r="BA10" i="20"/>
  <c r="BB10" i="20" s="1"/>
  <c r="BA43" i="34"/>
  <c r="BB43" i="34" s="1"/>
  <c r="BC43" i="34" s="1"/>
</calcChain>
</file>

<file path=xl/sharedStrings.xml><?xml version="1.0" encoding="utf-8"?>
<sst xmlns="http://schemas.openxmlformats.org/spreadsheetml/2006/main" count="3877" uniqueCount="287">
  <si>
    <r>
      <t xml:space="preserve">                                     A.V.C. College of Engineering, </t>
    </r>
    <r>
      <rPr>
        <b/>
        <sz val="18"/>
        <color indexed="8"/>
        <rFont val="Times New Roman"/>
        <family val="1"/>
      </rPr>
      <t>Mannampandal, Mayiladuthurai</t>
    </r>
  </si>
  <si>
    <r>
      <t xml:space="preserve">             </t>
    </r>
    <r>
      <rPr>
        <b/>
        <sz val="16"/>
        <color theme="1"/>
        <rFont val="Times New Roman"/>
        <family val="1"/>
      </rPr>
      <t xml:space="preserve">  Department of Information Technology</t>
    </r>
  </si>
  <si>
    <t xml:space="preserve">DATE  </t>
  </si>
  <si>
    <t>Grand Total()</t>
  </si>
  <si>
    <t>Att %</t>
  </si>
  <si>
    <t>DAY</t>
  </si>
  <si>
    <t>MONDAY</t>
  </si>
  <si>
    <t>TUESDAY</t>
  </si>
  <si>
    <t>WEDNESDAY</t>
  </si>
  <si>
    <t>THURSDAY</t>
  </si>
  <si>
    <t>FRIDAY</t>
  </si>
  <si>
    <t>SATURDAY</t>
  </si>
  <si>
    <t>REG NO</t>
  </si>
  <si>
    <t>NAME</t>
  </si>
  <si>
    <t>OD</t>
  </si>
  <si>
    <t>Staff Signature</t>
  </si>
  <si>
    <t>Attendance Incharge</t>
  </si>
  <si>
    <t>HoD</t>
  </si>
  <si>
    <t xml:space="preserve">        Principal</t>
  </si>
  <si>
    <t xml:space="preserve"> BATCH: 2023-2027</t>
  </si>
  <si>
    <t>KRISHNAKUMAR R</t>
  </si>
  <si>
    <t>LAKSHMIDHARANI S</t>
  </si>
  <si>
    <t>LAKSHMISRI A</t>
  </si>
  <si>
    <t>LOGESH R</t>
  </si>
  <si>
    <t>MADHANGISARAN M</t>
  </si>
  <si>
    <t>MADHESH K</t>
  </si>
  <si>
    <t>MOHAMED NAVEED M</t>
  </si>
  <si>
    <t>NAJITH KAMAL A</t>
  </si>
  <si>
    <t>NATARAJAN V</t>
  </si>
  <si>
    <t>NAVEEN R</t>
  </si>
  <si>
    <t>NILAVAN M</t>
  </si>
  <si>
    <t>PERAMANI B</t>
  </si>
  <si>
    <t>PRADEEP KUMAR R</t>
  </si>
  <si>
    <t>PRASANNA P</t>
  </si>
  <si>
    <t>PRAVIN A</t>
  </si>
  <si>
    <t>PREMKUMAR N</t>
  </si>
  <si>
    <t>PRIYADHARSHAN A</t>
  </si>
  <si>
    <t>PRIYANKA P</t>
  </si>
  <si>
    <t>RAFEELA SIREEN S</t>
  </si>
  <si>
    <t>RAGUL D</t>
  </si>
  <si>
    <t>RAGUL R</t>
  </si>
  <si>
    <t>RAGULKUMAR A</t>
  </si>
  <si>
    <t>RAJA ELAMPARITHI S</t>
  </si>
  <si>
    <t>RAJKIRAN R</t>
  </si>
  <si>
    <t>RESHMI S</t>
  </si>
  <si>
    <t>RITHIKA K</t>
  </si>
  <si>
    <t>ROHITH M</t>
  </si>
  <si>
    <t>ROSHINI M</t>
  </si>
  <si>
    <t>SAKTHIBALAN S</t>
  </si>
  <si>
    <t>SANTHAVI S</t>
  </si>
  <si>
    <t>SANTHOSH N</t>
  </si>
  <si>
    <t>SARAN KUMAR S</t>
  </si>
  <si>
    <t>SELVAGANAPATHY N</t>
  </si>
  <si>
    <t>SENTAMIZHAN B</t>
  </si>
  <si>
    <t>SHEIK ABDULLA M I</t>
  </si>
  <si>
    <t>SIVA K</t>
  </si>
  <si>
    <t>SIVARAJAGANAPATHI S</t>
  </si>
  <si>
    <t>SONASRI V</t>
  </si>
  <si>
    <t>SRIDHARAN B</t>
  </si>
  <si>
    <t>SRIDHARAN D</t>
  </si>
  <si>
    <t>SRIMANIVOLI S</t>
  </si>
  <si>
    <t>SRINATH R</t>
  </si>
  <si>
    <t>SRI SAKTHI PRIYA K</t>
  </si>
  <si>
    <t>SUNMATHI K</t>
  </si>
  <si>
    <t>SUSHMASRI R</t>
  </si>
  <si>
    <t>SUSHMITHA H A</t>
  </si>
  <si>
    <t>VAISHNAVI M</t>
  </si>
  <si>
    <t>VAISHNAVI V</t>
  </si>
  <si>
    <t>VAISHNAVY V</t>
  </si>
  <si>
    <t>VALLI C</t>
  </si>
  <si>
    <t>VASANTHRAJ R</t>
  </si>
  <si>
    <t>VEDIKA D</t>
  </si>
  <si>
    <t>VIJAYAVEL R</t>
  </si>
  <si>
    <t>VISHNUVARDHAN M</t>
  </si>
  <si>
    <t>VISHNUVARMAN R</t>
  </si>
  <si>
    <t>VISHVAPRAKASH M</t>
  </si>
  <si>
    <t>YASARDEEN P</t>
  </si>
  <si>
    <t>YAZHINI S</t>
  </si>
  <si>
    <t>HARIHARASUDHAN A</t>
  </si>
  <si>
    <t>MANOJKUMAR K</t>
  </si>
  <si>
    <t>PRAGATHES M</t>
  </si>
  <si>
    <t>SAHEE ISLAM A</t>
  </si>
  <si>
    <t>HARIHARAN S</t>
  </si>
  <si>
    <t>SG</t>
  </si>
  <si>
    <t>SJ</t>
  </si>
  <si>
    <t>VP</t>
  </si>
  <si>
    <t xml:space="preserve">Attendance From: </t>
  </si>
  <si>
    <t xml:space="preserve">Aarthi </t>
  </si>
  <si>
    <t xml:space="preserve">   Dr.K.Manikandan</t>
  </si>
  <si>
    <t>Dr.V.Padmavathi</t>
  </si>
  <si>
    <t xml:space="preserve"> Dr.P.Balasubramanian</t>
  </si>
  <si>
    <t>STA</t>
  </si>
  <si>
    <t>NS</t>
  </si>
  <si>
    <t>PA</t>
  </si>
  <si>
    <t>FNH</t>
  </si>
  <si>
    <t>BB</t>
  </si>
  <si>
    <t>OOSE</t>
  </si>
  <si>
    <t>CC / NS</t>
  </si>
  <si>
    <t>NS / PA</t>
  </si>
  <si>
    <t>APT</t>
  </si>
  <si>
    <t>NPK</t>
  </si>
  <si>
    <t>CC</t>
  </si>
  <si>
    <t>MAD</t>
  </si>
  <si>
    <t>STA / OOSE</t>
  </si>
  <si>
    <t>SS</t>
  </si>
  <si>
    <t>HSTI</t>
  </si>
  <si>
    <t>Naan Mudhalvan</t>
  </si>
  <si>
    <t>SJ,SS/
NPK,BB</t>
  </si>
  <si>
    <t>SG / VP, KM  (1,2,4) SS</t>
  </si>
  <si>
    <t>5.1.2026</t>
  </si>
  <si>
    <t>6.1.2026</t>
  </si>
  <si>
    <t>7.1.2026</t>
  </si>
  <si>
    <t>8.1.2026</t>
  </si>
  <si>
    <t>9.1.2026</t>
  </si>
  <si>
    <t>10.1.2026</t>
  </si>
  <si>
    <t>Holiday</t>
  </si>
  <si>
    <t xml:space="preserve">                  Weekly Attendance For EVEN Sem (2025 -2026) -Week </t>
  </si>
  <si>
    <t xml:space="preserve">                  Weekly Attendance For EVEN Sem (2025 -2026) -Week 01</t>
  </si>
  <si>
    <t>MA</t>
  </si>
  <si>
    <t>COD</t>
  </si>
  <si>
    <t>RV</t>
  </si>
  <si>
    <t>Total(38)</t>
  </si>
  <si>
    <t>Grand Total(38)</t>
  </si>
  <si>
    <t>KM</t>
  </si>
  <si>
    <t>a</t>
  </si>
  <si>
    <t>Total Absentees</t>
  </si>
  <si>
    <t>Attendance From: 5.1.2026 to 10.1.2026</t>
  </si>
  <si>
    <t xml:space="preserve"> CLASS/SEM : III IT-B / VI</t>
  </si>
  <si>
    <t>PREV</t>
  </si>
  <si>
    <t>Total</t>
  </si>
  <si>
    <t>Pongal Holiday</t>
  </si>
  <si>
    <t>Attendance From: 12.01.2026 to 17.01.2026</t>
  </si>
  <si>
    <t>12.1.2026</t>
  </si>
  <si>
    <t>13.1.2026</t>
  </si>
  <si>
    <t>14.1.2026</t>
  </si>
  <si>
    <t>15.1.2026</t>
  </si>
  <si>
    <t>16.1.2026</t>
  </si>
  <si>
    <t>17.1.2026</t>
  </si>
  <si>
    <t xml:space="preserve">                  Weekly Attendance For EVEN Sem (2025 -2026) -Week  02</t>
  </si>
  <si>
    <t xml:space="preserve">                  Weekly Attendance For EVEN Sem (2025 -2026) -Week 03</t>
  </si>
  <si>
    <t>19.1.2026</t>
  </si>
  <si>
    <t>20.1.2026</t>
  </si>
  <si>
    <t>21.1.2026</t>
  </si>
  <si>
    <t>22.1.2026</t>
  </si>
  <si>
    <t>23.1.2026</t>
  </si>
  <si>
    <t>24.1.2026</t>
  </si>
  <si>
    <t>CODE</t>
  </si>
  <si>
    <t>Grand Total</t>
  </si>
  <si>
    <t>Attendance From: 19.1.2026 to 24.1.2026</t>
  </si>
  <si>
    <t xml:space="preserve">                  Weekly Attendance For EVEN Sem (2025 -2026) -Week  04</t>
  </si>
  <si>
    <t>26.1.2026</t>
  </si>
  <si>
    <t>27.1.2026</t>
  </si>
  <si>
    <t>28.1.2026</t>
  </si>
  <si>
    <t>29.1.2026</t>
  </si>
  <si>
    <t>30.1.2026</t>
  </si>
  <si>
    <t>31.1.2026</t>
  </si>
  <si>
    <t>UT</t>
  </si>
  <si>
    <t>Republic Day 
Holiday</t>
  </si>
  <si>
    <t xml:space="preserve">                  Weekly Attendance For EVEN Sem (2025 -2026) -Week 05</t>
  </si>
  <si>
    <t>2.2.206</t>
  </si>
  <si>
    <t>3.2.2026</t>
  </si>
  <si>
    <t>4.2.206</t>
  </si>
  <si>
    <t>5.2.206</t>
  </si>
  <si>
    <t>6.2.206</t>
  </si>
  <si>
    <t>7.2.206</t>
  </si>
  <si>
    <t xml:space="preserve">                  Weekly Attendance For EVEN Sem (2025 -2026) -Week 06</t>
  </si>
  <si>
    <t>Attendance From: 9.2.2026 to 14.2.2026</t>
  </si>
  <si>
    <t>9.2.2026</t>
  </si>
  <si>
    <t>10.2.2026</t>
  </si>
  <si>
    <t>11.2.2026</t>
  </si>
  <si>
    <t>12.2.2026</t>
  </si>
  <si>
    <t>13.2.2026</t>
  </si>
  <si>
    <t>14.2.2026</t>
  </si>
  <si>
    <t>Naan 
Mudhalvan</t>
  </si>
  <si>
    <t>16.2.2026</t>
  </si>
  <si>
    <t>17.2.2026</t>
  </si>
  <si>
    <t>18.2.2026</t>
  </si>
  <si>
    <t>19.2.2026</t>
  </si>
  <si>
    <t>20.2.2026</t>
  </si>
  <si>
    <t>21.2.2026</t>
  </si>
  <si>
    <t xml:space="preserve">I CIA </t>
  </si>
  <si>
    <t xml:space="preserve">OOSE </t>
  </si>
  <si>
    <t>CCS356 OOSE</t>
  </si>
  <si>
    <t xml:space="preserve">                  Weekly Attendance For EVEN Sem (2025 -2026) -Week 07</t>
  </si>
  <si>
    <t>Attendance From: 16.2.2026 TO 21.2.2026</t>
  </si>
  <si>
    <t>SG / VP, KM   SS</t>
  </si>
  <si>
    <t xml:space="preserve">CCS 366 
STA  </t>
  </si>
  <si>
    <t>CCS335 
CC</t>
  </si>
  <si>
    <t>CCS354 
NS</t>
  </si>
  <si>
    <t>OBT351 
FNH</t>
  </si>
  <si>
    <r>
      <t xml:space="preserve">A.V.C. College of Engineering, </t>
    </r>
    <r>
      <rPr>
        <b/>
        <sz val="18"/>
        <color indexed="8"/>
        <rFont val="Times New Roman"/>
        <family val="1"/>
      </rPr>
      <t>Mannampandal, Mayiladuthurai</t>
    </r>
  </si>
  <si>
    <t>Department of Information Technology</t>
  </si>
  <si>
    <t>Weekly Attendance For EVEN Sem (2025 -2026) -Week 8</t>
  </si>
  <si>
    <t>Attendance From: 23.2.2026 to 28.2.2026</t>
  </si>
  <si>
    <t>23.2.2026</t>
  </si>
  <si>
    <t>24.2.2026</t>
  </si>
  <si>
    <t>25.2.2026</t>
  </si>
  <si>
    <t>26.2.2026</t>
  </si>
  <si>
    <t>27.2.2026</t>
  </si>
  <si>
    <t>28.2.2026</t>
  </si>
  <si>
    <t>Manavan</t>
  </si>
  <si>
    <t>Holidaty</t>
  </si>
  <si>
    <t xml:space="preserve">                  Weekly Attendance For EVEN Sem (2025 -2026) -Week 9</t>
  </si>
  <si>
    <t>Attendance From: 2.3.2026 to 7.3.2026</t>
  </si>
  <si>
    <t>2.3.2026</t>
  </si>
  <si>
    <t>3.3.2026</t>
  </si>
  <si>
    <t>4.3.2026</t>
  </si>
  <si>
    <t>5.3.2026</t>
  </si>
  <si>
    <t>6.3.2026</t>
  </si>
  <si>
    <t>7.3.2026</t>
  </si>
  <si>
    <t xml:space="preserve">                  Weekly Attendance For EVEN Sem (2025 -2026) -Week 10</t>
  </si>
  <si>
    <t>9.3.2026</t>
  </si>
  <si>
    <t>10.3.2026</t>
  </si>
  <si>
    <t>11.3.2026</t>
  </si>
  <si>
    <t>12.3.2026</t>
  </si>
  <si>
    <t>13.3.2026</t>
  </si>
  <si>
    <t>14.3.2026</t>
  </si>
  <si>
    <t>Attendance From: 9.3.2026 to 14.3.2026</t>
  </si>
  <si>
    <t>NM
Guest Lecture</t>
  </si>
  <si>
    <t>16.03.2026</t>
  </si>
  <si>
    <t>17.03.2026</t>
  </si>
  <si>
    <t>18.03.2026</t>
  </si>
  <si>
    <t>19.03.2026</t>
  </si>
  <si>
    <t>20.03.2026</t>
  </si>
  <si>
    <t>21.03.2026</t>
  </si>
  <si>
    <t>Holiday 
Telugu New Year</t>
  </si>
  <si>
    <t xml:space="preserve">                  Weekly Attendance For EVEN Sem (2025 -2026) -Week 11</t>
  </si>
  <si>
    <t>Attendance From: 16.03.2026 to 21.03.2026</t>
  </si>
  <si>
    <t>23.03.2026</t>
  </si>
  <si>
    <t>24.03.2026</t>
  </si>
  <si>
    <t>25.03.2026</t>
  </si>
  <si>
    <t>26.03.2026</t>
  </si>
  <si>
    <t>27.03.2026</t>
  </si>
  <si>
    <t>28.03.2026</t>
  </si>
  <si>
    <t>Cultural</t>
  </si>
  <si>
    <t>Sports Day</t>
  </si>
  <si>
    <t xml:space="preserve">                  Weekly Attendance For EVEN Sem (2025 -2026) -Week  12</t>
  </si>
  <si>
    <t>Attendance From: 23.03.2026 to 28.03.2026</t>
  </si>
  <si>
    <t>30.03.2026</t>
  </si>
  <si>
    <t>31.03.2026</t>
  </si>
  <si>
    <t>01.04.2026</t>
  </si>
  <si>
    <t>02.04.2026</t>
  </si>
  <si>
    <t>03.04.2026</t>
  </si>
  <si>
    <t>04.04.2026</t>
  </si>
  <si>
    <t xml:space="preserve">                  Weekly Attendance For EVEN Sem (2025 -2026) -Week 13</t>
  </si>
  <si>
    <t>Attendance From: 30.03.2026 to 04.04.2026</t>
  </si>
  <si>
    <t>Holiday 
Mahavir Jayanthi</t>
  </si>
  <si>
    <t>Holiday 
Good Friday</t>
  </si>
  <si>
    <t>1Holiday 
Good Friday</t>
  </si>
  <si>
    <t xml:space="preserve">Holiday 
</t>
  </si>
  <si>
    <t xml:space="preserve">                  Weekly Attendance For EVEN Sem (2025 -2026) -Week 14</t>
  </si>
  <si>
    <t>6.4.2026</t>
  </si>
  <si>
    <t>7.4.2026</t>
  </si>
  <si>
    <t>8.4.2026</t>
  </si>
  <si>
    <t>9.4.2026</t>
  </si>
  <si>
    <t>10.4.2026</t>
  </si>
  <si>
    <t xml:space="preserve">II CIA </t>
  </si>
  <si>
    <t>Attendance From: 6.4.2026 to 11.4.2025</t>
  </si>
  <si>
    <t>11.4.2026</t>
  </si>
  <si>
    <t>13.4.2026</t>
  </si>
  <si>
    <t>14.4.2026</t>
  </si>
  <si>
    <t>15.4.2026</t>
  </si>
  <si>
    <t>16.4.2026</t>
  </si>
  <si>
    <t>17.4.2026</t>
  </si>
  <si>
    <t>Holidaty
Tamil New Year</t>
  </si>
  <si>
    <t xml:space="preserve">                  Weekly Attendance For EVEN Sem (2025 -2026) -Week 15</t>
  </si>
  <si>
    <t>Attendance From: 13.4.2026  to 18.4.2026</t>
  </si>
  <si>
    <t>18.4.2026</t>
  </si>
  <si>
    <t>Attendance From: 20.4.2026 to 25.4.2026</t>
  </si>
  <si>
    <t>20.4.2026</t>
  </si>
  <si>
    <t>21.4.2026</t>
  </si>
  <si>
    <t>22.4.2026</t>
  </si>
  <si>
    <t>23.4.2026</t>
  </si>
  <si>
    <t>25.4.2026</t>
  </si>
  <si>
    <t>Election Holiday</t>
  </si>
  <si>
    <t xml:space="preserve"> Holiday</t>
  </si>
  <si>
    <t xml:space="preserve">                  Weekly Attendance For EVEN Sem (2025 -2026) -Week 16</t>
  </si>
  <si>
    <t xml:space="preserve">                  Weekly Attendance For EVEN Sem (2025 -2026) -Week 17</t>
  </si>
  <si>
    <t>Attendance From: 27.4.2026 to 02.5.2026</t>
  </si>
  <si>
    <t>24.4.2026</t>
  </si>
  <si>
    <t>27.4.2026</t>
  </si>
  <si>
    <t>28.4.2026</t>
  </si>
  <si>
    <t>29.4.2026</t>
  </si>
  <si>
    <t>30.4.2026</t>
  </si>
  <si>
    <t>1.5.2026</t>
  </si>
  <si>
    <t>2.5.2026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</si>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</sst>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409]d\-mmm\-yy;@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16"/>
      <color theme="1"/>
      <name val="Monotype Corsiva"/>
      <family val="4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  <font>
      <sz val="16"/>
      <name val="Times New Roman"/>
      <family val="1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31" fillId="0" borderId="0" applyFont="0" applyFill="0" applyBorder="0" applyAlignment="0" applyProtection="0"/>
  </cellStyleXfs>
  <cellXfs count="35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/>
    </xf>
    <xf numFmtId="0" fontId="15" fillId="0" borderId="30" xfId="0" applyFont="1" applyBorder="1" applyAlignment="1">
      <alignment horizontal="center" vertical="center"/>
    </xf>
    <xf numFmtId="0" fontId="0" fillId="0" borderId="21" xfId="0" applyBorder="1"/>
    <xf numFmtId="0" fontId="15" fillId="0" borderId="31" xfId="0" applyFont="1" applyBorder="1" applyAlignment="1">
      <alignment horizontal="center" vertical="center"/>
    </xf>
    <xf numFmtId="1" fontId="16" fillId="0" borderId="35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20" fillId="0" borderId="4" xfId="0" applyFont="1" applyBorder="1" applyAlignment="1">
      <alignment horizontal="center" vertical="center"/>
    </xf>
    <xf numFmtId="0" fontId="12" fillId="0" borderId="38" xfId="0" applyFont="1" applyBorder="1" applyAlignment="1">
      <alignment vertical="center" wrapText="1"/>
    </xf>
    <xf numFmtId="0" fontId="12" fillId="0" borderId="38" xfId="0" applyFont="1" applyBorder="1" applyAlignment="1">
      <alignment vertical="center"/>
    </xf>
    <xf numFmtId="0" fontId="0" fillId="0" borderId="24" xfId="0" applyBorder="1"/>
    <xf numFmtId="0" fontId="0" fillId="0" borderId="29" xfId="0" applyBorder="1"/>
    <xf numFmtId="0" fontId="2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12" fillId="0" borderId="38" xfId="0" applyFont="1" applyBorder="1" applyAlignment="1">
      <alignment horizontal="center" wrapText="1"/>
    </xf>
    <xf numFmtId="0" fontId="15" fillId="0" borderId="34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1" fontId="24" fillId="0" borderId="21" xfId="0" applyNumberFormat="1" applyFont="1" applyBorder="1" applyAlignment="1">
      <alignment horizontal="center" wrapText="1"/>
    </xf>
    <xf numFmtId="0" fontId="24" fillId="0" borderId="21" xfId="0" applyFont="1" applyBorder="1" applyAlignment="1">
      <alignment wrapText="1"/>
    </xf>
    <xf numFmtId="1" fontId="24" fillId="2" borderId="21" xfId="0" applyNumberFormat="1" applyFont="1" applyFill="1" applyBorder="1" applyAlignment="1">
      <alignment horizontal="center" wrapText="1"/>
    </xf>
    <xf numFmtId="0" fontId="24" fillId="2" borderId="21" xfId="0" applyFont="1" applyFill="1" applyBorder="1" applyAlignment="1">
      <alignment wrapText="1"/>
    </xf>
    <xf numFmtId="0" fontId="13" fillId="2" borderId="20" xfId="0" applyFont="1" applyFill="1" applyBorder="1" applyAlignment="1">
      <alignment horizontal="center"/>
    </xf>
    <xf numFmtId="0" fontId="0" fillId="2" borderId="21" xfId="0" applyFill="1" applyBorder="1"/>
    <xf numFmtId="0" fontId="0" fillId="2" borderId="20" xfId="0" applyFill="1" applyBorder="1"/>
    <xf numFmtId="0" fontId="15" fillId="0" borderId="4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5" fillId="2" borderId="35" xfId="0" applyFont="1" applyFill="1" applyBorder="1" applyAlignment="1">
      <alignment horizontal="center" vertical="center"/>
    </xf>
    <xf numFmtId="0" fontId="12" fillId="0" borderId="50" xfId="0" applyFont="1" applyBorder="1" applyAlignment="1">
      <alignment vertical="center" wrapText="1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15" fillId="0" borderId="30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50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1" fillId="0" borderId="40" xfId="0" applyFont="1" applyBorder="1" applyAlignment="1">
      <alignment horizontal="center"/>
    </xf>
    <xf numFmtId="0" fontId="9" fillId="0" borderId="51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 textRotation="255" wrapText="1"/>
    </xf>
    <xf numFmtId="0" fontId="25" fillId="0" borderId="6" xfId="0" applyFont="1" applyBorder="1" applyAlignment="1">
      <alignment horizontal="center" vertical="center" textRotation="255" wrapText="1"/>
    </xf>
    <xf numFmtId="0" fontId="25" fillId="0" borderId="6" xfId="0" applyFont="1" applyBorder="1" applyAlignment="1">
      <alignment horizontal="center" vertical="center" textRotation="90" wrapText="1"/>
    </xf>
    <xf numFmtId="0" fontId="25" fillId="0" borderId="7" xfId="0" applyFont="1" applyBorder="1" applyAlignment="1">
      <alignment horizontal="center" vertical="center" textRotation="90" wrapText="1"/>
    </xf>
    <xf numFmtId="0" fontId="25" fillId="0" borderId="9" xfId="0" applyFont="1" applyBorder="1" applyAlignment="1">
      <alignment horizontal="center" vertical="center" textRotation="90" wrapText="1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5" fillId="0" borderId="6" xfId="0" applyFont="1" applyBorder="1" applyAlignment="1">
      <alignment horizontal="center" textRotation="255" wrapText="1"/>
    </xf>
    <xf numFmtId="0" fontId="25" fillId="0" borderId="7" xfId="0" applyFont="1" applyBorder="1" applyAlignment="1">
      <alignment horizontal="center" textRotation="255" wrapText="1"/>
    </xf>
    <xf numFmtId="0" fontId="25" fillId="0" borderId="9" xfId="0" applyFont="1" applyBorder="1" applyAlignment="1">
      <alignment horizontal="center" textRotation="255" wrapText="1"/>
    </xf>
    <xf numFmtId="0" fontId="25" fillId="0" borderId="7" xfId="0" applyFont="1" applyBorder="1" applyAlignment="1" applyProtection="1">
      <alignment horizontal="center" vertical="center" textRotation="88" wrapText="1"/>
      <protection locked="0"/>
    </xf>
    <xf numFmtId="0" fontId="25" fillId="0" borderId="6" xfId="0" applyFont="1" applyBorder="1" applyAlignment="1" applyProtection="1">
      <alignment horizontal="center" vertical="center" textRotation="255" wrapText="1"/>
      <protection locked="0"/>
    </xf>
    <xf numFmtId="0" fontId="25" fillId="0" borderId="7" xfId="0" applyFont="1" applyBorder="1" applyAlignment="1" applyProtection="1">
      <alignment horizontal="center" vertical="center" textRotation="255" wrapText="1"/>
      <protection locked="0"/>
    </xf>
    <xf numFmtId="0" fontId="25" fillId="0" borderId="9" xfId="0" applyFont="1" applyBorder="1" applyAlignment="1">
      <alignment horizontal="center" vertical="center" textRotation="255" wrapText="1"/>
    </xf>
    <xf numFmtId="1" fontId="24" fillId="0" borderId="40" xfId="0" applyNumberFormat="1" applyFont="1" applyBorder="1" applyAlignment="1">
      <alignment horizontal="center" wrapText="1"/>
    </xf>
    <xf numFmtId="0" fontId="24" fillId="0" borderId="40" xfId="0" applyFont="1" applyBorder="1" applyAlignment="1">
      <alignment wrapText="1"/>
    </xf>
    <xf numFmtId="1" fontId="24" fillId="0" borderId="42" xfId="0" applyNumberFormat="1" applyFont="1" applyBorder="1" applyAlignment="1">
      <alignment horizontal="center" wrapText="1"/>
    </xf>
    <xf numFmtId="0" fontId="24" fillId="0" borderId="42" xfId="0" applyFont="1" applyBorder="1" applyAlignment="1">
      <alignment wrapText="1"/>
    </xf>
    <xf numFmtId="0" fontId="13" fillId="0" borderId="26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7" xfId="0" applyFont="1" applyBorder="1" applyAlignment="1">
      <alignment vertical="center" textRotation="255" wrapText="1"/>
    </xf>
    <xf numFmtId="0" fontId="25" fillId="0" borderId="9" xfId="0" applyFont="1" applyBorder="1" applyAlignment="1">
      <alignment vertical="center" textRotation="255" wrapText="1"/>
    </xf>
    <xf numFmtId="0" fontId="25" fillId="0" borderId="10" xfId="0" applyFont="1" applyBorder="1" applyAlignment="1" applyProtection="1">
      <alignment horizontal="center" vertical="center" textRotation="88" wrapText="1"/>
      <protection locked="0"/>
    </xf>
    <xf numFmtId="0" fontId="25" fillId="0" borderId="3" xfId="0" applyFont="1" applyBorder="1" applyAlignment="1" applyProtection="1">
      <alignment horizontal="center" vertical="center" textRotation="88" wrapText="1"/>
      <protection locked="0"/>
    </xf>
    <xf numFmtId="0" fontId="10" fillId="0" borderId="3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9" fillId="0" borderId="50" xfId="0" applyFont="1" applyBorder="1" applyAlignment="1">
      <alignment horizontal="center" textRotation="255"/>
    </xf>
    <xf numFmtId="0" fontId="7" fillId="0" borderId="55" xfId="0" applyFont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textRotation="88" wrapText="1"/>
      <protection locked="0"/>
    </xf>
    <xf numFmtId="0" fontId="26" fillId="0" borderId="50" xfId="0" applyFont="1" applyBorder="1" applyAlignment="1">
      <alignment horizontal="center" vertical="center" textRotation="255"/>
    </xf>
    <xf numFmtId="0" fontId="7" fillId="0" borderId="6" xfId="0" applyFont="1" applyBorder="1" applyAlignment="1">
      <alignment horizontal="center" vertical="center"/>
    </xf>
    <xf numFmtId="0" fontId="0" fillId="0" borderId="56" xfId="0" applyBorder="1"/>
    <xf numFmtId="0" fontId="0" fillId="2" borderId="56" xfId="0" applyFill="1" applyBorder="1"/>
    <xf numFmtId="1" fontId="24" fillId="0" borderId="34" xfId="0" applyNumberFormat="1" applyFont="1" applyBorder="1" applyAlignment="1">
      <alignment horizontal="center" wrapText="1"/>
    </xf>
    <xf numFmtId="0" fontId="24" fillId="0" borderId="34" xfId="0" applyFont="1" applyBorder="1" applyAlignment="1">
      <alignment wrapText="1"/>
    </xf>
    <xf numFmtId="1" fontId="24" fillId="0" borderId="57" xfId="0" applyNumberFormat="1" applyFont="1" applyBorder="1" applyAlignment="1">
      <alignment horizontal="center" wrapText="1"/>
    </xf>
    <xf numFmtId="0" fontId="24" fillId="0" borderId="57" xfId="0" applyFont="1" applyBorder="1" applyAlignment="1">
      <alignment wrapText="1"/>
    </xf>
    <xf numFmtId="1" fontId="24" fillId="2" borderId="57" xfId="0" applyNumberFormat="1" applyFont="1" applyFill="1" applyBorder="1" applyAlignment="1">
      <alignment horizontal="center" wrapText="1"/>
    </xf>
    <xf numFmtId="0" fontId="24" fillId="2" borderId="57" xfId="0" applyFont="1" applyFill="1" applyBorder="1" applyAlignment="1">
      <alignment wrapText="1"/>
    </xf>
    <xf numFmtId="0" fontId="0" fillId="0" borderId="3" xfId="0" applyBorder="1" applyAlignment="1">
      <alignment vertical="center" textRotation="90"/>
    </xf>
    <xf numFmtId="0" fontId="25" fillId="0" borderId="10" xfId="0" applyFont="1" applyBorder="1" applyAlignment="1" applyProtection="1">
      <alignment horizontal="center" vertical="center" textRotation="255" wrapText="1"/>
      <protection locked="0"/>
    </xf>
    <xf numFmtId="0" fontId="0" fillId="0" borderId="24" xfId="0" applyBorder="1" applyAlignment="1">
      <alignment vertical="center" textRotation="90"/>
    </xf>
    <xf numFmtId="0" fontId="11" fillId="0" borderId="2" xfId="0" applyFont="1" applyBorder="1" applyAlignment="1">
      <alignment vertical="center" textRotation="90"/>
    </xf>
    <xf numFmtId="0" fontId="7" fillId="0" borderId="59" xfId="0" applyFont="1" applyBorder="1" applyAlignment="1">
      <alignment horizontal="left" vertical="center"/>
    </xf>
    <xf numFmtId="0" fontId="25" fillId="0" borderId="8" xfId="0" applyFont="1" applyBorder="1" applyAlignment="1">
      <alignment horizontal="center" textRotation="255" wrapText="1"/>
    </xf>
    <xf numFmtId="0" fontId="25" fillId="0" borderId="1" xfId="0" applyFont="1" applyBorder="1" applyAlignment="1">
      <alignment vertical="center" wrapText="1"/>
    </xf>
    <xf numFmtId="0" fontId="25" fillId="0" borderId="10" xfId="0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textRotation="90"/>
    </xf>
    <xf numFmtId="0" fontId="15" fillId="0" borderId="20" xfId="0" applyFont="1" applyBorder="1" applyAlignment="1">
      <alignment horizontal="center"/>
    </xf>
    <xf numFmtId="0" fontId="12" fillId="0" borderId="4" xfId="0" applyFont="1" applyBorder="1" applyAlignment="1">
      <alignment vertical="center" wrapText="1"/>
    </xf>
    <xf numFmtId="0" fontId="25" fillId="0" borderId="4" xfId="0" applyFont="1" applyBorder="1" applyAlignment="1">
      <alignment vertical="center" textRotation="255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9" fillId="0" borderId="1" xfId="0" applyFont="1" applyBorder="1" applyAlignment="1">
      <alignment horizontal="center" textRotation="255"/>
    </xf>
    <xf numFmtId="0" fontId="9" fillId="0" borderId="2" xfId="0" applyFont="1" applyBorder="1" applyAlignment="1">
      <alignment horizontal="center" textRotation="255"/>
    </xf>
    <xf numFmtId="0" fontId="9" fillId="0" borderId="4" xfId="0" applyFont="1" applyBorder="1" applyAlignment="1">
      <alignment horizontal="center" textRotation="255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textRotation="255"/>
    </xf>
    <xf numFmtId="0" fontId="9" fillId="0" borderId="5" xfId="0" applyFont="1" applyBorder="1" applyAlignment="1">
      <alignment horizontal="center" vertical="center" textRotation="90"/>
    </xf>
    <xf numFmtId="0" fontId="9" fillId="0" borderId="24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25" fillId="0" borderId="8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textRotation="90"/>
    </xf>
    <xf numFmtId="0" fontId="11" fillId="0" borderId="2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25" fillId="0" borderId="8" xfId="0" applyFont="1" applyBorder="1" applyAlignment="1">
      <alignment horizontal="center" vertical="center" textRotation="1" wrapText="1"/>
    </xf>
    <xf numFmtId="0" fontId="25" fillId="0" borderId="2" xfId="0" applyFont="1" applyBorder="1" applyAlignment="1">
      <alignment horizontal="center" vertical="center" textRotation="1" wrapText="1"/>
    </xf>
    <xf numFmtId="0" fontId="25" fillId="0" borderId="4" xfId="0" applyFont="1" applyBorder="1" applyAlignment="1">
      <alignment horizontal="center" vertical="center" textRotation="1" wrapText="1"/>
    </xf>
    <xf numFmtId="164" fontId="7" fillId="0" borderId="3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/>
    </xf>
    <xf numFmtId="0" fontId="6" fillId="0" borderId="24" xfId="0" applyFont="1" applyBorder="1" applyAlignment="1">
      <alignment horizontal="center" vertical="center" textRotation="90"/>
    </xf>
    <xf numFmtId="9" fontId="9" fillId="0" borderId="4" xfId="0" applyNumberFormat="1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 textRotation="90" wrapText="1"/>
    </xf>
    <xf numFmtId="0" fontId="25" fillId="0" borderId="2" xfId="0" applyFont="1" applyBorder="1" applyAlignment="1">
      <alignment horizontal="center" vertical="center" textRotation="90" wrapText="1"/>
    </xf>
    <xf numFmtId="0" fontId="25" fillId="0" borderId="10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textRotation="255" wrapText="1"/>
    </xf>
    <xf numFmtId="0" fontId="25" fillId="0" borderId="2" xfId="0" applyFont="1" applyBorder="1" applyAlignment="1">
      <alignment horizontal="center" vertical="center" textRotation="255" wrapText="1"/>
    </xf>
    <xf numFmtId="0" fontId="25" fillId="0" borderId="4" xfId="0" applyFont="1" applyBorder="1" applyAlignment="1">
      <alignment horizontal="center" vertical="center" textRotation="255" wrapText="1"/>
    </xf>
    <xf numFmtId="0" fontId="25" fillId="0" borderId="8" xfId="0" applyFont="1" applyBorder="1" applyAlignment="1" applyProtection="1">
      <alignment horizontal="center" vertical="center" textRotation="3" wrapText="1"/>
      <protection locked="0"/>
    </xf>
    <xf numFmtId="0" fontId="25" fillId="0" borderId="2" xfId="0" applyFont="1" applyBorder="1" applyAlignment="1" applyProtection="1">
      <alignment horizontal="center" vertical="center" textRotation="3" wrapText="1"/>
      <protection locked="0"/>
    </xf>
    <xf numFmtId="0" fontId="25" fillId="0" borderId="4" xfId="0" applyFont="1" applyBorder="1" applyAlignment="1" applyProtection="1">
      <alignment horizontal="center" vertical="center" textRotation="3" wrapText="1"/>
      <protection locked="0"/>
    </xf>
    <xf numFmtId="0" fontId="25" fillId="0" borderId="8" xfId="0" applyFont="1" applyBorder="1" applyAlignment="1" applyProtection="1">
      <alignment horizontal="center" vertical="center" textRotation="1" wrapText="1"/>
      <protection locked="0"/>
    </xf>
    <xf numFmtId="0" fontId="25" fillId="0" borderId="2" xfId="0" applyFont="1" applyBorder="1" applyAlignment="1" applyProtection="1">
      <alignment horizontal="center" vertical="center" textRotation="1" wrapText="1"/>
      <protection locked="0"/>
    </xf>
    <xf numFmtId="0" fontId="25" fillId="0" borderId="4" xfId="0" applyFont="1" applyBorder="1" applyAlignment="1" applyProtection="1">
      <alignment horizontal="center" vertical="center" textRotation="1" wrapText="1"/>
      <protection locked="0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24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/>
    </xf>
    <xf numFmtId="0" fontId="10" fillId="0" borderId="11" xfId="0" applyFont="1" applyBorder="1" applyAlignment="1">
      <alignment horizontal="center" vertical="center" textRotation="90"/>
    </xf>
    <xf numFmtId="0" fontId="10" fillId="0" borderId="24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11" fillId="0" borderId="2" xfId="0" applyFont="1" applyBorder="1" applyAlignment="1">
      <alignment horizontal="center" vertical="center" textRotation="90"/>
    </xf>
    <xf numFmtId="0" fontId="10" fillId="0" borderId="12" xfId="0" applyFon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24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textRotation="90"/>
    </xf>
    <xf numFmtId="0" fontId="7" fillId="0" borderId="36" xfId="0" applyFont="1" applyBorder="1" applyAlignment="1">
      <alignment horizontal="center" vertical="center" textRotation="90"/>
    </xf>
    <xf numFmtId="0" fontId="7" fillId="0" borderId="29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textRotation="90" wrapText="1"/>
    </xf>
    <xf numFmtId="0" fontId="9" fillId="0" borderId="33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29" xfId="0" applyFont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center" textRotation="255" wrapText="1"/>
    </xf>
    <xf numFmtId="0" fontId="25" fillId="0" borderId="10" xfId="0" applyFont="1" applyBorder="1" applyAlignment="1">
      <alignment horizontal="center" vertical="center" textRotation="255" wrapText="1"/>
    </xf>
    <xf numFmtId="0" fontId="11" fillId="0" borderId="11" xfId="0" applyFont="1" applyBorder="1" applyAlignment="1">
      <alignment horizontal="center" vertical="center" textRotation="90"/>
    </xf>
    <xf numFmtId="0" fontId="25" fillId="0" borderId="4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8" fillId="0" borderId="5" xfId="0" applyFont="1" applyBorder="1" applyAlignment="1">
      <alignment horizontal="center" vertical="center" textRotation="90"/>
    </xf>
    <xf numFmtId="0" fontId="28" fillId="0" borderId="11" xfId="0" applyFont="1" applyBorder="1" applyAlignment="1">
      <alignment horizontal="center" vertical="center" textRotation="90"/>
    </xf>
    <xf numFmtId="0" fontId="28" fillId="0" borderId="24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textRotation="255" wrapText="1"/>
    </xf>
    <xf numFmtId="0" fontId="9" fillId="0" borderId="2" xfId="0" applyFont="1" applyBorder="1" applyAlignment="1">
      <alignment horizontal="center" textRotation="255" wrapText="1"/>
    </xf>
    <xf numFmtId="0" fontId="9" fillId="0" borderId="4" xfId="0" applyFont="1" applyBorder="1" applyAlignment="1">
      <alignment horizontal="center" textRotation="255" wrapText="1"/>
    </xf>
    <xf numFmtId="0" fontId="28" fillId="0" borderId="5" xfId="0" applyFont="1" applyBorder="1" applyAlignment="1">
      <alignment horizontal="center" vertical="center" textRotation="90" wrapText="1"/>
    </xf>
    <xf numFmtId="0" fontId="28" fillId="0" borderId="24" xfId="0" applyFont="1" applyBorder="1" applyAlignment="1">
      <alignment horizontal="center" vertical="center" textRotation="90" wrapText="1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 textRotation="3" wrapText="1"/>
    </xf>
    <xf numFmtId="0" fontId="25" fillId="0" borderId="2" xfId="0" applyFont="1" applyBorder="1" applyAlignment="1">
      <alignment horizontal="center" vertical="center" textRotation="3" wrapText="1"/>
    </xf>
    <xf numFmtId="0" fontId="25" fillId="0" borderId="10" xfId="0" applyFont="1" applyBorder="1" applyAlignment="1">
      <alignment horizontal="center" vertical="center" textRotation="3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 textRotation="4" wrapText="1"/>
    </xf>
    <xf numFmtId="0" fontId="25" fillId="0" borderId="2" xfId="0" applyFont="1" applyBorder="1" applyAlignment="1">
      <alignment horizontal="center" vertical="center" textRotation="4" wrapText="1"/>
    </xf>
    <xf numFmtId="0" fontId="25" fillId="0" borderId="4" xfId="0" applyFont="1" applyBorder="1" applyAlignment="1">
      <alignment horizontal="center" vertical="center" textRotation="4" wrapText="1"/>
    </xf>
    <xf numFmtId="0" fontId="9" fillId="0" borderId="3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9" fontId="9" fillId="0" borderId="3" xfId="0" applyNumberFormat="1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 textRotation="4" wrapText="1"/>
    </xf>
    <xf numFmtId="0" fontId="30" fillId="0" borderId="2" xfId="0" applyFont="1" applyBorder="1" applyAlignment="1">
      <alignment horizontal="center" vertical="center" textRotation="4" wrapText="1"/>
    </xf>
    <xf numFmtId="0" fontId="30" fillId="0" borderId="4" xfId="0" applyFont="1" applyBorder="1" applyAlignment="1">
      <alignment horizontal="center" vertical="center" textRotation="4" wrapText="1"/>
    </xf>
    <xf numFmtId="0" fontId="0" fillId="0" borderId="2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5" fillId="0" borderId="2" xfId="0" applyFont="1" applyBorder="1" applyAlignment="1">
      <alignment horizontal="center" textRotation="255" wrapText="1"/>
    </xf>
    <xf numFmtId="0" fontId="25" fillId="0" borderId="4" xfId="0" applyFont="1" applyBorder="1" applyAlignment="1">
      <alignment horizontal="center" textRotation="255" wrapText="1"/>
    </xf>
    <xf numFmtId="0" fontId="0" fillId="0" borderId="1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9" fontId="9" fillId="0" borderId="5" xfId="0" applyNumberFormat="1" applyFont="1" applyBorder="1" applyAlignment="1">
      <alignment horizontal="center" vertical="center" textRotation="90"/>
    </xf>
    <xf numFmtId="9" fontId="9" fillId="0" borderId="11" xfId="0" applyNumberFormat="1" applyFont="1" applyBorder="1" applyAlignment="1">
      <alignment horizontal="center" vertical="center" textRotation="90"/>
    </xf>
    <xf numFmtId="9" fontId="9" fillId="0" borderId="24" xfId="0" applyNumberFormat="1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textRotation="90" wrapText="1"/>
    </xf>
    <xf numFmtId="0" fontId="29" fillId="2" borderId="20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25" fillId="0" borderId="8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8" xfId="0" applyFont="1" applyBorder="1" applyAlignment="1">
      <alignment vertical="center" textRotation="90" wrapText="1"/>
    </xf>
    <xf numFmtId="0" fontId="25" fillId="0" borderId="2" xfId="0" applyFont="1" applyBorder="1" applyAlignment="1">
      <alignment vertical="center" textRotation="90" wrapText="1"/>
    </xf>
    <xf numFmtId="0" fontId="25" fillId="0" borderId="4" xfId="0" applyFont="1" applyBorder="1" applyAlignment="1">
      <alignment vertical="center" textRotation="90" wrapText="1"/>
    </xf>
    <xf numFmtId="0" fontId="25" fillId="0" borderId="8" xfId="0" applyFont="1" applyBorder="1" applyAlignment="1">
      <alignment vertical="center" textRotation="255" wrapText="1"/>
    </xf>
    <xf numFmtId="0" fontId="25" fillId="0" borderId="2" xfId="0" applyFont="1" applyBorder="1" applyAlignment="1">
      <alignment vertical="center" textRotation="255" wrapText="1"/>
    </xf>
    <xf numFmtId="0" fontId="9" fillId="0" borderId="5" xfId="0" applyFont="1" applyBorder="1" applyAlignment="1">
      <alignment vertical="center" textRotation="90"/>
    </xf>
    <xf numFmtId="0" fontId="9" fillId="0" borderId="24" xfId="0" applyFont="1" applyBorder="1" applyAlignment="1">
      <alignment vertical="center" textRotation="90"/>
    </xf>
    <xf numFmtId="0" fontId="9" fillId="0" borderId="11" xfId="0" applyFont="1" applyBorder="1" applyAlignment="1">
      <alignment vertical="center" textRotation="90"/>
    </xf>
    <xf numFmtId="0" fontId="6" fillId="0" borderId="12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11" fillId="0" borderId="5" xfId="0" applyFont="1" applyBorder="1" applyAlignment="1">
      <alignment vertical="center" textRotation="90"/>
    </xf>
    <xf numFmtId="0" fontId="11" fillId="0" borderId="24" xfId="0" applyFont="1" applyBorder="1" applyAlignment="1">
      <alignment vertical="center" textRotation="90"/>
    </xf>
    <xf numFmtId="0" fontId="5" fillId="0" borderId="5" xfId="0" applyFont="1" applyBorder="1" applyAlignment="1">
      <alignment vertical="center" textRotation="90" wrapText="1"/>
    </xf>
    <xf numFmtId="0" fontId="5" fillId="0" borderId="24" xfId="0" applyFont="1" applyBorder="1" applyAlignment="1">
      <alignment vertical="center" textRotation="90" wrapText="1"/>
    </xf>
    <xf numFmtId="0" fontId="12" fillId="0" borderId="8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textRotation="90"/>
    </xf>
    <xf numFmtId="0" fontId="6" fillId="0" borderId="11" xfId="0" applyFont="1" applyBorder="1" applyAlignment="1">
      <alignment vertical="center" textRotation="90"/>
    </xf>
    <xf numFmtId="0" fontId="6" fillId="0" borderId="24" xfId="0" applyFont="1" applyBorder="1" applyAlignment="1">
      <alignment vertical="center" textRotation="90"/>
    </xf>
    <xf numFmtId="9" fontId="9" fillId="0" borderId="4" xfId="0" applyNumberFormat="1" applyFont="1" applyBorder="1" applyAlignment="1">
      <alignment vertical="center" textRotation="90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25" fillId="0" borderId="8" xfId="0" applyFont="1" applyBorder="1" applyAlignment="1" applyProtection="1">
      <alignment vertical="center" wrapText="1"/>
      <protection locked="0"/>
    </xf>
    <xf numFmtId="0" fontId="25" fillId="0" borderId="2" xfId="0" applyFont="1" applyBorder="1" applyAlignment="1" applyProtection="1">
      <alignment vertical="center" wrapText="1"/>
      <protection locked="0"/>
    </xf>
    <xf numFmtId="0" fontId="25" fillId="0" borderId="4" xfId="0" applyFont="1" applyBorder="1" applyAlignment="1" applyProtection="1">
      <alignment vertical="center" wrapText="1"/>
      <protection locked="0"/>
    </xf>
    <xf numFmtId="0" fontId="9" fillId="0" borderId="2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44" fontId="7" fillId="0" borderId="2" xfId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44" fontId="7" fillId="0" borderId="4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54"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80"/>
  <sheetViews>
    <sheetView view="pageBreakPreview" topLeftCell="A60" zoomScale="85" zoomScaleNormal="70" zoomScaleSheetLayoutView="85" workbookViewId="0">
      <selection activeCell="E75" sqref="E75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116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86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109</v>
      </c>
      <c r="F5" s="177"/>
      <c r="G5" s="177"/>
      <c r="H5" s="177"/>
      <c r="I5" s="177"/>
      <c r="J5" s="177"/>
      <c r="K5" s="177"/>
      <c r="L5" s="177"/>
      <c r="M5" s="177" t="s">
        <v>110</v>
      </c>
      <c r="N5" s="177"/>
      <c r="O5" s="177"/>
      <c r="P5" s="177"/>
      <c r="Q5" s="177"/>
      <c r="R5" s="177"/>
      <c r="S5" s="177"/>
      <c r="T5" s="177"/>
      <c r="U5" s="177" t="s">
        <v>111</v>
      </c>
      <c r="V5" s="177"/>
      <c r="W5" s="177"/>
      <c r="X5" s="177"/>
      <c r="Y5" s="177"/>
      <c r="Z5" s="177"/>
      <c r="AA5" s="177"/>
      <c r="AB5" s="177"/>
      <c r="AC5" s="177" t="s">
        <v>112</v>
      </c>
      <c r="AD5" s="177"/>
      <c r="AE5" s="177"/>
      <c r="AF5" s="177"/>
      <c r="AG5" s="177"/>
      <c r="AH5" s="177"/>
      <c r="AI5" s="177"/>
      <c r="AJ5" s="177"/>
      <c r="AK5" s="177" t="s">
        <v>113</v>
      </c>
      <c r="AL5" s="177"/>
      <c r="AM5" s="177"/>
      <c r="AN5" s="177"/>
      <c r="AO5" s="177"/>
      <c r="AP5" s="177"/>
      <c r="AQ5" s="177"/>
      <c r="AR5" s="177"/>
      <c r="AS5" s="177" t="s">
        <v>114</v>
      </c>
      <c r="AT5" s="177"/>
      <c r="AU5" s="177"/>
      <c r="AV5" s="177"/>
      <c r="AW5" s="177"/>
      <c r="AX5" s="177"/>
      <c r="AY5" s="177"/>
      <c r="AZ5" s="178"/>
      <c r="BA5" s="157">
        <v>48</v>
      </c>
      <c r="BB5" s="209">
        <f>D7+BA5</f>
        <v>48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21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07"/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211"/>
      <c r="BC7" s="182"/>
    </row>
    <row r="8" spans="1:55" ht="30" customHeight="1" thickBot="1" x14ac:dyDescent="0.4">
      <c r="A8" s="165"/>
      <c r="B8" s="168"/>
      <c r="C8" s="171"/>
      <c r="D8" s="208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58" t="s">
        <v>101</v>
      </c>
      <c r="AL8" s="59" t="s">
        <v>91</v>
      </c>
      <c r="AM8" s="59" t="s">
        <v>105</v>
      </c>
      <c r="AN8" s="59" t="s">
        <v>94</v>
      </c>
      <c r="AO8" s="195" t="s">
        <v>106</v>
      </c>
      <c r="AP8" s="196"/>
      <c r="AQ8" s="196"/>
      <c r="AR8" s="197"/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57" t="s">
        <v>92</v>
      </c>
      <c r="AL9" s="56" t="s">
        <v>83</v>
      </c>
      <c r="AM9" s="56" t="s">
        <v>100</v>
      </c>
      <c r="AN9" s="56" t="s">
        <v>95</v>
      </c>
      <c r="AO9" s="198" t="s">
        <v>83</v>
      </c>
      <c r="AP9" s="199"/>
      <c r="AQ9" s="199"/>
      <c r="AR9" s="200"/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/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11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11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11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11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11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48</v>
      </c>
      <c r="BC10" s="10">
        <f>ROUND((BB10/BB$5)*100,0)</f>
        <v>100</v>
      </c>
    </row>
    <row r="11" spans="1:55" ht="15" customHeight="1" x14ac:dyDescent="0.35">
      <c r="A11" s="29">
        <v>820323205062</v>
      </c>
      <c r="B11" s="30" t="s">
        <v>21</v>
      </c>
      <c r="C11" s="11"/>
      <c r="D11" s="7"/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48</v>
      </c>
      <c r="BC11" s="10">
        <f t="shared" ref="BC11:BC73" si="8">ROUND((BB11/BB$5)*100,0)</f>
        <v>100</v>
      </c>
    </row>
    <row r="12" spans="1:55" ht="15" customHeight="1" x14ac:dyDescent="0.35">
      <c r="A12" s="29">
        <v>820323205063</v>
      </c>
      <c r="B12" s="30" t="s">
        <v>22</v>
      </c>
      <c r="C12" s="11"/>
      <c r="D12" s="7"/>
      <c r="E12" s="61">
        <v>1</v>
      </c>
      <c r="F12" s="62">
        <f t="shared" ref="F12:L12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ref="N12:T12" si="10">M12</f>
        <v>1</v>
      </c>
      <c r="O12" s="62">
        <f t="shared" si="10"/>
        <v>1</v>
      </c>
      <c r="P12" s="62">
        <f t="shared" si="10"/>
        <v>1</v>
      </c>
      <c r="Q12" s="62">
        <f t="shared" si="10"/>
        <v>1</v>
      </c>
      <c r="R12" s="62">
        <f t="shared" si="10"/>
        <v>1</v>
      </c>
      <c r="S12" s="62">
        <f t="shared" si="10"/>
        <v>1</v>
      </c>
      <c r="T12" s="63">
        <f t="shared" si="10"/>
        <v>1</v>
      </c>
      <c r="U12" s="61">
        <v>1</v>
      </c>
      <c r="V12" s="62">
        <f t="shared" ref="V12:AB12" si="11">U12</f>
        <v>1</v>
      </c>
      <c r="W12" s="62">
        <f t="shared" si="11"/>
        <v>1</v>
      </c>
      <c r="X12" s="62">
        <f t="shared" si="11"/>
        <v>1</v>
      </c>
      <c r="Y12" s="62">
        <f t="shared" si="11"/>
        <v>1</v>
      </c>
      <c r="Z12" s="62">
        <f t="shared" si="11"/>
        <v>1</v>
      </c>
      <c r="AA12" s="62">
        <f t="shared" si="11"/>
        <v>1</v>
      </c>
      <c r="AB12" s="63">
        <f t="shared" si="11"/>
        <v>1</v>
      </c>
      <c r="AC12" s="61">
        <v>1</v>
      </c>
      <c r="AD12" s="62">
        <f t="shared" ref="AD12:AJ12" si="12">AC12</f>
        <v>1</v>
      </c>
      <c r="AE12" s="62">
        <f t="shared" si="12"/>
        <v>1</v>
      </c>
      <c r="AF12" s="62">
        <f t="shared" si="12"/>
        <v>1</v>
      </c>
      <c r="AG12" s="62">
        <f t="shared" si="12"/>
        <v>1</v>
      </c>
      <c r="AH12" s="62">
        <f t="shared" si="12"/>
        <v>1</v>
      </c>
      <c r="AI12" s="62">
        <f t="shared" si="12"/>
        <v>1</v>
      </c>
      <c r="AJ12" s="63">
        <f t="shared" si="12"/>
        <v>1</v>
      </c>
      <c r="AK12" s="61">
        <v>1</v>
      </c>
      <c r="AL12" s="62">
        <f t="shared" ref="AL12:AR12" si="13">AK12</f>
        <v>1</v>
      </c>
      <c r="AM12" s="62">
        <f t="shared" si="13"/>
        <v>1</v>
      </c>
      <c r="AN12" s="62">
        <f t="shared" si="13"/>
        <v>1</v>
      </c>
      <c r="AO12" s="62">
        <f t="shared" si="13"/>
        <v>1</v>
      </c>
      <c r="AP12" s="62">
        <f t="shared" si="13"/>
        <v>1</v>
      </c>
      <c r="AQ12" s="62">
        <f t="shared" si="13"/>
        <v>1</v>
      </c>
      <c r="AR12" s="63">
        <f t="shared" si="13"/>
        <v>1</v>
      </c>
      <c r="AS12" s="61">
        <v>1</v>
      </c>
      <c r="AT12" s="62">
        <f t="shared" ref="AT12:AZ12" si="14">AS12</f>
        <v>1</v>
      </c>
      <c r="AU12" s="62">
        <f t="shared" si="14"/>
        <v>1</v>
      </c>
      <c r="AV12" s="62">
        <f t="shared" si="14"/>
        <v>1</v>
      </c>
      <c r="AW12" s="62">
        <f t="shared" si="14"/>
        <v>1</v>
      </c>
      <c r="AX12" s="62">
        <f t="shared" si="14"/>
        <v>1</v>
      </c>
      <c r="AY12" s="62">
        <f t="shared" si="14"/>
        <v>1</v>
      </c>
      <c r="AZ12" s="63">
        <f t="shared" si="14"/>
        <v>1</v>
      </c>
      <c r="BA12" s="37">
        <f t="shared" si="6"/>
        <v>48</v>
      </c>
      <c r="BB12" s="9">
        <f t="shared" si="7"/>
        <v>48</v>
      </c>
      <c r="BC12" s="10">
        <f t="shared" si="8"/>
        <v>100</v>
      </c>
    </row>
    <row r="13" spans="1:55" ht="15" customHeight="1" x14ac:dyDescent="0.35">
      <c r="A13" s="29">
        <v>820323205064</v>
      </c>
      <c r="B13" s="30" t="s">
        <v>23</v>
      </c>
      <c r="C13" s="11"/>
      <c r="D13" s="7"/>
      <c r="E13" s="61">
        <v>1</v>
      </c>
      <c r="F13" s="62">
        <f t="shared" ref="F13:L13" si="15">E13</f>
        <v>1</v>
      </c>
      <c r="G13" s="62">
        <f t="shared" si="15"/>
        <v>1</v>
      </c>
      <c r="H13" s="62">
        <f t="shared" si="15"/>
        <v>1</v>
      </c>
      <c r="I13" s="62">
        <f t="shared" si="15"/>
        <v>1</v>
      </c>
      <c r="J13" s="62">
        <f t="shared" si="15"/>
        <v>1</v>
      </c>
      <c r="K13" s="62">
        <f t="shared" si="15"/>
        <v>1</v>
      </c>
      <c r="L13" s="63">
        <f t="shared" si="15"/>
        <v>1</v>
      </c>
      <c r="M13" s="61">
        <v>1</v>
      </c>
      <c r="N13" s="62">
        <f t="shared" ref="N13:T13" si="16">M13</f>
        <v>1</v>
      </c>
      <c r="O13" s="62">
        <f t="shared" si="16"/>
        <v>1</v>
      </c>
      <c r="P13" s="62">
        <f t="shared" si="16"/>
        <v>1</v>
      </c>
      <c r="Q13" s="62">
        <f t="shared" si="16"/>
        <v>1</v>
      </c>
      <c r="R13" s="62">
        <f t="shared" si="16"/>
        <v>1</v>
      </c>
      <c r="S13" s="62">
        <f t="shared" si="16"/>
        <v>1</v>
      </c>
      <c r="T13" s="63">
        <f t="shared" si="16"/>
        <v>1</v>
      </c>
      <c r="U13" s="61">
        <v>1</v>
      </c>
      <c r="V13" s="62">
        <f t="shared" ref="V13:AB13" si="17">U13</f>
        <v>1</v>
      </c>
      <c r="W13" s="62">
        <f t="shared" si="17"/>
        <v>1</v>
      </c>
      <c r="X13" s="62">
        <f t="shared" si="17"/>
        <v>1</v>
      </c>
      <c r="Y13" s="62">
        <f t="shared" si="17"/>
        <v>1</v>
      </c>
      <c r="Z13" s="62">
        <f t="shared" si="17"/>
        <v>1</v>
      </c>
      <c r="AA13" s="62">
        <f t="shared" si="17"/>
        <v>1</v>
      </c>
      <c r="AB13" s="63">
        <f t="shared" si="17"/>
        <v>1</v>
      </c>
      <c r="AC13" s="61">
        <v>1</v>
      </c>
      <c r="AD13" s="62">
        <f t="shared" ref="AD13:AJ13" si="18">AC13</f>
        <v>1</v>
      </c>
      <c r="AE13" s="62">
        <f t="shared" si="18"/>
        <v>1</v>
      </c>
      <c r="AF13" s="62">
        <f t="shared" si="18"/>
        <v>1</v>
      </c>
      <c r="AG13" s="62">
        <f t="shared" si="18"/>
        <v>1</v>
      </c>
      <c r="AH13" s="62">
        <f t="shared" si="18"/>
        <v>1</v>
      </c>
      <c r="AI13" s="62">
        <f t="shared" si="18"/>
        <v>1</v>
      </c>
      <c r="AJ13" s="63">
        <f t="shared" si="18"/>
        <v>1</v>
      </c>
      <c r="AK13" s="61">
        <v>1</v>
      </c>
      <c r="AL13" s="62">
        <f t="shared" ref="AL13:AR13" si="19">AK13</f>
        <v>1</v>
      </c>
      <c r="AM13" s="62">
        <f t="shared" si="19"/>
        <v>1</v>
      </c>
      <c r="AN13" s="62">
        <f t="shared" si="19"/>
        <v>1</v>
      </c>
      <c r="AO13" s="62">
        <f t="shared" si="19"/>
        <v>1</v>
      </c>
      <c r="AP13" s="62">
        <f t="shared" si="19"/>
        <v>1</v>
      </c>
      <c r="AQ13" s="62">
        <f t="shared" si="19"/>
        <v>1</v>
      </c>
      <c r="AR13" s="63">
        <f t="shared" si="19"/>
        <v>1</v>
      </c>
      <c r="AS13" s="61">
        <v>1</v>
      </c>
      <c r="AT13" s="62">
        <f t="shared" ref="AT13:AZ13" si="20">AS13</f>
        <v>1</v>
      </c>
      <c r="AU13" s="62">
        <f t="shared" si="20"/>
        <v>1</v>
      </c>
      <c r="AV13" s="62">
        <f t="shared" si="20"/>
        <v>1</v>
      </c>
      <c r="AW13" s="62">
        <f t="shared" si="20"/>
        <v>1</v>
      </c>
      <c r="AX13" s="62">
        <f t="shared" si="20"/>
        <v>1</v>
      </c>
      <c r="AY13" s="62">
        <f t="shared" si="20"/>
        <v>1</v>
      </c>
      <c r="AZ13" s="63">
        <f t="shared" si="20"/>
        <v>1</v>
      </c>
      <c r="BA13" s="37">
        <f t="shared" si="6"/>
        <v>48</v>
      </c>
      <c r="BB13" s="9">
        <f t="shared" si="7"/>
        <v>48</v>
      </c>
      <c r="BC13" s="10">
        <f t="shared" si="8"/>
        <v>100</v>
      </c>
    </row>
    <row r="14" spans="1:55" ht="15" customHeight="1" x14ac:dyDescent="0.35">
      <c r="A14" s="29">
        <v>820323205065</v>
      </c>
      <c r="B14" s="30" t="s">
        <v>24</v>
      </c>
      <c r="C14" s="11"/>
      <c r="D14" s="7"/>
      <c r="E14" s="61">
        <v>1</v>
      </c>
      <c r="F14" s="62">
        <f t="shared" ref="F14:L14" si="21">E14</f>
        <v>1</v>
      </c>
      <c r="G14" s="62">
        <f t="shared" si="21"/>
        <v>1</v>
      </c>
      <c r="H14" s="62">
        <f t="shared" si="21"/>
        <v>1</v>
      </c>
      <c r="I14" s="62">
        <f t="shared" si="21"/>
        <v>1</v>
      </c>
      <c r="J14" s="62">
        <f t="shared" si="21"/>
        <v>1</v>
      </c>
      <c r="K14" s="62">
        <f t="shared" si="21"/>
        <v>1</v>
      </c>
      <c r="L14" s="63">
        <f t="shared" si="21"/>
        <v>1</v>
      </c>
      <c r="M14" s="61">
        <v>1</v>
      </c>
      <c r="N14" s="62">
        <f t="shared" ref="N14:T14" si="22">M14</f>
        <v>1</v>
      </c>
      <c r="O14" s="62">
        <f t="shared" si="22"/>
        <v>1</v>
      </c>
      <c r="P14" s="62">
        <f t="shared" si="22"/>
        <v>1</v>
      </c>
      <c r="Q14" s="62">
        <f t="shared" si="22"/>
        <v>1</v>
      </c>
      <c r="R14" s="62">
        <f t="shared" si="22"/>
        <v>1</v>
      </c>
      <c r="S14" s="62">
        <f t="shared" si="22"/>
        <v>1</v>
      </c>
      <c r="T14" s="63">
        <f t="shared" si="22"/>
        <v>1</v>
      </c>
      <c r="U14" s="61">
        <v>1</v>
      </c>
      <c r="V14" s="62">
        <f t="shared" ref="V14:AB14" si="23">U14</f>
        <v>1</v>
      </c>
      <c r="W14" s="62">
        <f t="shared" si="23"/>
        <v>1</v>
      </c>
      <c r="X14" s="62">
        <f t="shared" si="23"/>
        <v>1</v>
      </c>
      <c r="Y14" s="62">
        <f t="shared" si="23"/>
        <v>1</v>
      </c>
      <c r="Z14" s="62">
        <f t="shared" si="23"/>
        <v>1</v>
      </c>
      <c r="AA14" s="62">
        <f t="shared" si="23"/>
        <v>1</v>
      </c>
      <c r="AB14" s="63">
        <f t="shared" si="23"/>
        <v>1</v>
      </c>
      <c r="AC14" s="61">
        <v>1</v>
      </c>
      <c r="AD14" s="62">
        <f t="shared" ref="AD14:AJ14" si="24">AC14</f>
        <v>1</v>
      </c>
      <c r="AE14" s="62">
        <f t="shared" si="24"/>
        <v>1</v>
      </c>
      <c r="AF14" s="62">
        <f t="shared" si="24"/>
        <v>1</v>
      </c>
      <c r="AG14" s="62">
        <f t="shared" si="24"/>
        <v>1</v>
      </c>
      <c r="AH14" s="62">
        <f t="shared" si="24"/>
        <v>1</v>
      </c>
      <c r="AI14" s="62">
        <f t="shared" si="24"/>
        <v>1</v>
      </c>
      <c r="AJ14" s="63">
        <f t="shared" si="24"/>
        <v>1</v>
      </c>
      <c r="AK14" s="61">
        <v>1</v>
      </c>
      <c r="AL14" s="62">
        <f t="shared" ref="AL14:AR14" si="25">AK14</f>
        <v>1</v>
      </c>
      <c r="AM14" s="62">
        <f t="shared" si="25"/>
        <v>1</v>
      </c>
      <c r="AN14" s="62">
        <f t="shared" si="25"/>
        <v>1</v>
      </c>
      <c r="AO14" s="62">
        <f t="shared" si="25"/>
        <v>1</v>
      </c>
      <c r="AP14" s="62">
        <f t="shared" si="25"/>
        <v>1</v>
      </c>
      <c r="AQ14" s="62">
        <f t="shared" si="25"/>
        <v>1</v>
      </c>
      <c r="AR14" s="63">
        <f t="shared" si="25"/>
        <v>1</v>
      </c>
      <c r="AS14" s="61">
        <v>1</v>
      </c>
      <c r="AT14" s="62">
        <f t="shared" ref="AT14:AZ14" si="26">AS14</f>
        <v>1</v>
      </c>
      <c r="AU14" s="62">
        <f t="shared" si="26"/>
        <v>1</v>
      </c>
      <c r="AV14" s="62">
        <f t="shared" si="26"/>
        <v>1</v>
      </c>
      <c r="AW14" s="62">
        <f t="shared" si="26"/>
        <v>1</v>
      </c>
      <c r="AX14" s="62">
        <f t="shared" si="26"/>
        <v>1</v>
      </c>
      <c r="AY14" s="62">
        <f t="shared" si="26"/>
        <v>1</v>
      </c>
      <c r="AZ14" s="63">
        <f t="shared" si="26"/>
        <v>1</v>
      </c>
      <c r="BA14" s="37">
        <f t="shared" si="6"/>
        <v>48</v>
      </c>
      <c r="BB14" s="9">
        <f t="shared" si="7"/>
        <v>48</v>
      </c>
      <c r="BC14" s="10">
        <f t="shared" si="8"/>
        <v>100</v>
      </c>
    </row>
    <row r="15" spans="1:55" ht="15" customHeight="1" x14ac:dyDescent="0.35">
      <c r="A15" s="29">
        <v>820323205066</v>
      </c>
      <c r="B15" s="30" t="s">
        <v>25</v>
      </c>
      <c r="C15" s="11"/>
      <c r="D15" s="7"/>
      <c r="E15" s="61">
        <v>1</v>
      </c>
      <c r="F15" s="62">
        <f t="shared" ref="F15:L15" si="27">E15</f>
        <v>1</v>
      </c>
      <c r="G15" s="62">
        <f t="shared" si="27"/>
        <v>1</v>
      </c>
      <c r="H15" s="62">
        <f t="shared" si="27"/>
        <v>1</v>
      </c>
      <c r="I15" s="62">
        <f t="shared" si="27"/>
        <v>1</v>
      </c>
      <c r="J15" s="62">
        <f t="shared" si="27"/>
        <v>1</v>
      </c>
      <c r="K15" s="62">
        <f t="shared" si="27"/>
        <v>1</v>
      </c>
      <c r="L15" s="63">
        <f t="shared" si="27"/>
        <v>1</v>
      </c>
      <c r="M15" s="61">
        <v>1</v>
      </c>
      <c r="N15" s="62">
        <f t="shared" ref="N15:T15" si="28">M15</f>
        <v>1</v>
      </c>
      <c r="O15" s="62">
        <f t="shared" si="28"/>
        <v>1</v>
      </c>
      <c r="P15" s="62">
        <f t="shared" si="28"/>
        <v>1</v>
      </c>
      <c r="Q15" s="62">
        <f t="shared" si="28"/>
        <v>1</v>
      </c>
      <c r="R15" s="62">
        <f t="shared" si="28"/>
        <v>1</v>
      </c>
      <c r="S15" s="62">
        <f t="shared" si="28"/>
        <v>1</v>
      </c>
      <c r="T15" s="63">
        <f t="shared" si="28"/>
        <v>1</v>
      </c>
      <c r="U15" s="61">
        <v>1</v>
      </c>
      <c r="V15" s="62">
        <f t="shared" ref="V15:AB15" si="29">U15</f>
        <v>1</v>
      </c>
      <c r="W15" s="62">
        <f t="shared" si="29"/>
        <v>1</v>
      </c>
      <c r="X15" s="62">
        <f t="shared" si="29"/>
        <v>1</v>
      </c>
      <c r="Y15" s="62">
        <f t="shared" si="29"/>
        <v>1</v>
      </c>
      <c r="Z15" s="62">
        <f t="shared" si="29"/>
        <v>1</v>
      </c>
      <c r="AA15" s="62">
        <f t="shared" si="29"/>
        <v>1</v>
      </c>
      <c r="AB15" s="63">
        <f t="shared" si="29"/>
        <v>1</v>
      </c>
      <c r="AC15" s="61">
        <v>1</v>
      </c>
      <c r="AD15" s="62">
        <f t="shared" ref="AD15:AJ15" si="30">AC15</f>
        <v>1</v>
      </c>
      <c r="AE15" s="62">
        <f t="shared" si="30"/>
        <v>1</v>
      </c>
      <c r="AF15" s="62">
        <f t="shared" si="30"/>
        <v>1</v>
      </c>
      <c r="AG15" s="62">
        <f t="shared" si="30"/>
        <v>1</v>
      </c>
      <c r="AH15" s="62">
        <f t="shared" si="30"/>
        <v>1</v>
      </c>
      <c r="AI15" s="62">
        <f t="shared" si="30"/>
        <v>1</v>
      </c>
      <c r="AJ15" s="63">
        <f t="shared" si="30"/>
        <v>1</v>
      </c>
      <c r="AK15" s="61">
        <v>1</v>
      </c>
      <c r="AL15" s="62">
        <f t="shared" ref="AL15:AR15" si="31">AK15</f>
        <v>1</v>
      </c>
      <c r="AM15" s="62">
        <f t="shared" si="31"/>
        <v>1</v>
      </c>
      <c r="AN15" s="62">
        <f t="shared" si="31"/>
        <v>1</v>
      </c>
      <c r="AO15" s="62">
        <f t="shared" si="31"/>
        <v>1</v>
      </c>
      <c r="AP15" s="62">
        <f t="shared" si="31"/>
        <v>1</v>
      </c>
      <c r="AQ15" s="62">
        <f t="shared" si="31"/>
        <v>1</v>
      </c>
      <c r="AR15" s="63">
        <f t="shared" si="31"/>
        <v>1</v>
      </c>
      <c r="AS15" s="61">
        <v>1</v>
      </c>
      <c r="AT15" s="62">
        <f t="shared" ref="AT15:AZ15" si="32">AS15</f>
        <v>1</v>
      </c>
      <c r="AU15" s="62">
        <f t="shared" si="32"/>
        <v>1</v>
      </c>
      <c r="AV15" s="62">
        <f t="shared" si="32"/>
        <v>1</v>
      </c>
      <c r="AW15" s="62">
        <f t="shared" si="32"/>
        <v>1</v>
      </c>
      <c r="AX15" s="62">
        <f t="shared" si="32"/>
        <v>1</v>
      </c>
      <c r="AY15" s="62">
        <f t="shared" si="32"/>
        <v>1</v>
      </c>
      <c r="AZ15" s="63">
        <f t="shared" si="32"/>
        <v>1</v>
      </c>
      <c r="BA15" s="37">
        <f t="shared" si="6"/>
        <v>48</v>
      </c>
      <c r="BB15" s="9">
        <f t="shared" si="7"/>
        <v>48</v>
      </c>
      <c r="BC15" s="10">
        <f t="shared" si="8"/>
        <v>100</v>
      </c>
    </row>
    <row r="16" spans="1:55" ht="15" customHeight="1" x14ac:dyDescent="0.35">
      <c r="A16" s="29">
        <v>820323205068</v>
      </c>
      <c r="B16" s="30" t="s">
        <v>26</v>
      </c>
      <c r="C16" s="11"/>
      <c r="D16" s="7"/>
      <c r="E16" s="61">
        <v>1</v>
      </c>
      <c r="F16" s="62">
        <f t="shared" ref="F16:L16" si="33">E16</f>
        <v>1</v>
      </c>
      <c r="G16" s="62">
        <f t="shared" si="33"/>
        <v>1</v>
      </c>
      <c r="H16" s="62">
        <f t="shared" si="33"/>
        <v>1</v>
      </c>
      <c r="I16" s="62">
        <f t="shared" si="33"/>
        <v>1</v>
      </c>
      <c r="J16" s="62">
        <f t="shared" si="33"/>
        <v>1</v>
      </c>
      <c r="K16" s="62">
        <f t="shared" si="33"/>
        <v>1</v>
      </c>
      <c r="L16" s="63">
        <f t="shared" si="33"/>
        <v>1</v>
      </c>
      <c r="M16" s="61">
        <v>1</v>
      </c>
      <c r="N16" s="62">
        <f t="shared" ref="N16:T16" si="34">M16</f>
        <v>1</v>
      </c>
      <c r="O16" s="62">
        <f t="shared" si="34"/>
        <v>1</v>
      </c>
      <c r="P16" s="62">
        <f t="shared" si="34"/>
        <v>1</v>
      </c>
      <c r="Q16" s="62">
        <f t="shared" si="34"/>
        <v>1</v>
      </c>
      <c r="R16" s="62">
        <f t="shared" si="34"/>
        <v>1</v>
      </c>
      <c r="S16" s="62">
        <f t="shared" si="34"/>
        <v>1</v>
      </c>
      <c r="T16" s="63">
        <f t="shared" si="34"/>
        <v>1</v>
      </c>
      <c r="U16" s="61">
        <v>1</v>
      </c>
      <c r="V16" s="62">
        <f t="shared" ref="V16:AB16" si="35">U16</f>
        <v>1</v>
      </c>
      <c r="W16" s="62">
        <f t="shared" si="35"/>
        <v>1</v>
      </c>
      <c r="X16" s="62">
        <f t="shared" si="35"/>
        <v>1</v>
      </c>
      <c r="Y16" s="62">
        <f t="shared" si="35"/>
        <v>1</v>
      </c>
      <c r="Z16" s="62">
        <f t="shared" si="35"/>
        <v>1</v>
      </c>
      <c r="AA16" s="62">
        <f t="shared" si="35"/>
        <v>1</v>
      </c>
      <c r="AB16" s="63">
        <f t="shared" si="35"/>
        <v>1</v>
      </c>
      <c r="AC16" s="61">
        <v>1</v>
      </c>
      <c r="AD16" s="62">
        <f t="shared" ref="AD16:AJ16" si="36">AC16</f>
        <v>1</v>
      </c>
      <c r="AE16" s="62">
        <f t="shared" si="36"/>
        <v>1</v>
      </c>
      <c r="AF16" s="62">
        <f t="shared" si="36"/>
        <v>1</v>
      </c>
      <c r="AG16" s="62">
        <f t="shared" si="36"/>
        <v>1</v>
      </c>
      <c r="AH16" s="62">
        <f t="shared" si="36"/>
        <v>1</v>
      </c>
      <c r="AI16" s="62">
        <f t="shared" si="36"/>
        <v>1</v>
      </c>
      <c r="AJ16" s="63">
        <f t="shared" si="36"/>
        <v>1</v>
      </c>
      <c r="AK16" s="61">
        <v>1</v>
      </c>
      <c r="AL16" s="62">
        <f t="shared" ref="AL16:AR16" si="37">AK16</f>
        <v>1</v>
      </c>
      <c r="AM16" s="62">
        <f t="shared" si="37"/>
        <v>1</v>
      </c>
      <c r="AN16" s="62">
        <f t="shared" si="37"/>
        <v>1</v>
      </c>
      <c r="AO16" s="62">
        <f t="shared" si="37"/>
        <v>1</v>
      </c>
      <c r="AP16" s="62">
        <f t="shared" si="37"/>
        <v>1</v>
      </c>
      <c r="AQ16" s="62">
        <f t="shared" si="37"/>
        <v>1</v>
      </c>
      <c r="AR16" s="63">
        <f t="shared" si="37"/>
        <v>1</v>
      </c>
      <c r="AS16" s="61">
        <v>1</v>
      </c>
      <c r="AT16" s="62">
        <f t="shared" ref="AT16:AZ16" si="38">AS16</f>
        <v>1</v>
      </c>
      <c r="AU16" s="62">
        <f t="shared" si="38"/>
        <v>1</v>
      </c>
      <c r="AV16" s="62">
        <f t="shared" si="38"/>
        <v>1</v>
      </c>
      <c r="AW16" s="62">
        <f t="shared" si="38"/>
        <v>1</v>
      </c>
      <c r="AX16" s="62">
        <f t="shared" si="38"/>
        <v>1</v>
      </c>
      <c r="AY16" s="62">
        <f t="shared" si="38"/>
        <v>1</v>
      </c>
      <c r="AZ16" s="63">
        <f t="shared" si="38"/>
        <v>1</v>
      </c>
      <c r="BA16" s="37">
        <f t="shared" si="6"/>
        <v>48</v>
      </c>
      <c r="BB16" s="9">
        <f t="shared" si="7"/>
        <v>48</v>
      </c>
      <c r="BC16" s="10">
        <f t="shared" si="8"/>
        <v>100</v>
      </c>
    </row>
    <row r="17" spans="1:55" ht="15" customHeight="1" x14ac:dyDescent="0.35">
      <c r="A17" s="29">
        <v>820323205069</v>
      </c>
      <c r="B17" s="30" t="s">
        <v>27</v>
      </c>
      <c r="C17" s="11"/>
      <c r="D17" s="7"/>
      <c r="E17" s="61">
        <v>1</v>
      </c>
      <c r="F17" s="62">
        <f t="shared" ref="F17:L17" si="39">E17</f>
        <v>1</v>
      </c>
      <c r="G17" s="62">
        <f t="shared" si="39"/>
        <v>1</v>
      </c>
      <c r="H17" s="62">
        <f t="shared" si="39"/>
        <v>1</v>
      </c>
      <c r="I17" s="62">
        <f t="shared" si="39"/>
        <v>1</v>
      </c>
      <c r="J17" s="62">
        <f t="shared" si="39"/>
        <v>1</v>
      </c>
      <c r="K17" s="62">
        <f t="shared" si="39"/>
        <v>1</v>
      </c>
      <c r="L17" s="63">
        <f t="shared" si="39"/>
        <v>1</v>
      </c>
      <c r="M17" s="61">
        <v>1</v>
      </c>
      <c r="N17" s="62">
        <f t="shared" ref="N17:T17" si="40">M17</f>
        <v>1</v>
      </c>
      <c r="O17" s="62">
        <f t="shared" si="40"/>
        <v>1</v>
      </c>
      <c r="P17" s="62">
        <f t="shared" si="40"/>
        <v>1</v>
      </c>
      <c r="Q17" s="62">
        <f t="shared" si="40"/>
        <v>1</v>
      </c>
      <c r="R17" s="62">
        <f t="shared" si="40"/>
        <v>1</v>
      </c>
      <c r="S17" s="62">
        <f t="shared" si="40"/>
        <v>1</v>
      </c>
      <c r="T17" s="63">
        <f t="shared" si="40"/>
        <v>1</v>
      </c>
      <c r="U17" s="61">
        <v>1</v>
      </c>
      <c r="V17" s="62">
        <f t="shared" ref="V17:AB17" si="41">U17</f>
        <v>1</v>
      </c>
      <c r="W17" s="62">
        <f t="shared" si="41"/>
        <v>1</v>
      </c>
      <c r="X17" s="62">
        <f t="shared" si="41"/>
        <v>1</v>
      </c>
      <c r="Y17" s="62">
        <f t="shared" si="41"/>
        <v>1</v>
      </c>
      <c r="Z17" s="62">
        <f t="shared" si="41"/>
        <v>1</v>
      </c>
      <c r="AA17" s="62">
        <f t="shared" si="41"/>
        <v>1</v>
      </c>
      <c r="AB17" s="63">
        <f t="shared" si="41"/>
        <v>1</v>
      </c>
      <c r="AC17" s="61">
        <v>1</v>
      </c>
      <c r="AD17" s="62">
        <f t="shared" ref="AD17:AJ17" si="42">AC17</f>
        <v>1</v>
      </c>
      <c r="AE17" s="62">
        <f t="shared" si="42"/>
        <v>1</v>
      </c>
      <c r="AF17" s="62">
        <f t="shared" si="42"/>
        <v>1</v>
      </c>
      <c r="AG17" s="62">
        <f t="shared" si="42"/>
        <v>1</v>
      </c>
      <c r="AH17" s="62">
        <f t="shared" si="42"/>
        <v>1</v>
      </c>
      <c r="AI17" s="62">
        <f t="shared" si="42"/>
        <v>1</v>
      </c>
      <c r="AJ17" s="63">
        <f t="shared" si="42"/>
        <v>1</v>
      </c>
      <c r="AK17" s="61">
        <v>1</v>
      </c>
      <c r="AL17" s="62">
        <f t="shared" ref="AL17:AR17" si="43">AK17</f>
        <v>1</v>
      </c>
      <c r="AM17" s="62">
        <f t="shared" si="43"/>
        <v>1</v>
      </c>
      <c r="AN17" s="62">
        <f t="shared" si="43"/>
        <v>1</v>
      </c>
      <c r="AO17" s="62">
        <f t="shared" si="43"/>
        <v>1</v>
      </c>
      <c r="AP17" s="62">
        <f t="shared" si="43"/>
        <v>1</v>
      </c>
      <c r="AQ17" s="62">
        <f t="shared" si="43"/>
        <v>1</v>
      </c>
      <c r="AR17" s="63">
        <f t="shared" si="43"/>
        <v>1</v>
      </c>
      <c r="AS17" s="61">
        <v>1</v>
      </c>
      <c r="AT17" s="62">
        <f t="shared" ref="AT17:AZ17" si="44">AS17</f>
        <v>1</v>
      </c>
      <c r="AU17" s="62">
        <f t="shared" si="44"/>
        <v>1</v>
      </c>
      <c r="AV17" s="62">
        <f t="shared" si="44"/>
        <v>1</v>
      </c>
      <c r="AW17" s="62">
        <f t="shared" si="44"/>
        <v>1</v>
      </c>
      <c r="AX17" s="62">
        <f t="shared" si="44"/>
        <v>1</v>
      </c>
      <c r="AY17" s="62">
        <f t="shared" si="44"/>
        <v>1</v>
      </c>
      <c r="AZ17" s="63">
        <f t="shared" si="44"/>
        <v>1</v>
      </c>
      <c r="BA17" s="37">
        <f t="shared" si="6"/>
        <v>48</v>
      </c>
      <c r="BB17" s="9">
        <f t="shared" si="7"/>
        <v>48</v>
      </c>
      <c r="BC17" s="10">
        <f t="shared" si="8"/>
        <v>100</v>
      </c>
    </row>
    <row r="18" spans="1:55" ht="15" customHeight="1" x14ac:dyDescent="0.35">
      <c r="A18" s="29">
        <v>820323205070</v>
      </c>
      <c r="B18" s="30" t="s">
        <v>28</v>
      </c>
      <c r="C18" s="11"/>
      <c r="D18" s="7"/>
      <c r="E18" s="61">
        <v>1</v>
      </c>
      <c r="F18" s="62">
        <f t="shared" ref="F18:L18" si="45">E18</f>
        <v>1</v>
      </c>
      <c r="G18" s="62">
        <f t="shared" si="45"/>
        <v>1</v>
      </c>
      <c r="H18" s="62">
        <f t="shared" si="45"/>
        <v>1</v>
      </c>
      <c r="I18" s="62">
        <f t="shared" si="45"/>
        <v>1</v>
      </c>
      <c r="J18" s="62">
        <f t="shared" si="45"/>
        <v>1</v>
      </c>
      <c r="K18" s="62">
        <f t="shared" si="45"/>
        <v>1</v>
      </c>
      <c r="L18" s="63">
        <f t="shared" si="45"/>
        <v>1</v>
      </c>
      <c r="M18" s="61">
        <v>1</v>
      </c>
      <c r="N18" s="62">
        <f t="shared" ref="N18:T18" si="46">M18</f>
        <v>1</v>
      </c>
      <c r="O18" s="62">
        <f t="shared" si="46"/>
        <v>1</v>
      </c>
      <c r="P18" s="62">
        <f t="shared" si="46"/>
        <v>1</v>
      </c>
      <c r="Q18" s="62">
        <f t="shared" si="46"/>
        <v>1</v>
      </c>
      <c r="R18" s="62">
        <f t="shared" si="46"/>
        <v>1</v>
      </c>
      <c r="S18" s="62">
        <f t="shared" si="46"/>
        <v>1</v>
      </c>
      <c r="T18" s="63">
        <f t="shared" si="46"/>
        <v>1</v>
      </c>
      <c r="U18" s="61">
        <v>1</v>
      </c>
      <c r="V18" s="62">
        <f t="shared" ref="V18:AB18" si="47">U18</f>
        <v>1</v>
      </c>
      <c r="W18" s="62">
        <f t="shared" si="47"/>
        <v>1</v>
      </c>
      <c r="X18" s="62">
        <f t="shared" si="47"/>
        <v>1</v>
      </c>
      <c r="Y18" s="62">
        <f t="shared" si="47"/>
        <v>1</v>
      </c>
      <c r="Z18" s="62">
        <f t="shared" si="47"/>
        <v>1</v>
      </c>
      <c r="AA18" s="62">
        <f t="shared" si="47"/>
        <v>1</v>
      </c>
      <c r="AB18" s="63">
        <f t="shared" si="47"/>
        <v>1</v>
      </c>
      <c r="AC18" s="61">
        <v>1</v>
      </c>
      <c r="AD18" s="62">
        <f t="shared" ref="AD18:AJ18" si="48">AC18</f>
        <v>1</v>
      </c>
      <c r="AE18" s="62">
        <f t="shared" si="48"/>
        <v>1</v>
      </c>
      <c r="AF18" s="62">
        <f t="shared" si="48"/>
        <v>1</v>
      </c>
      <c r="AG18" s="62">
        <f t="shared" si="48"/>
        <v>1</v>
      </c>
      <c r="AH18" s="62">
        <f t="shared" si="48"/>
        <v>1</v>
      </c>
      <c r="AI18" s="62">
        <f t="shared" si="48"/>
        <v>1</v>
      </c>
      <c r="AJ18" s="63">
        <f t="shared" si="48"/>
        <v>1</v>
      </c>
      <c r="AK18" s="61">
        <v>1</v>
      </c>
      <c r="AL18" s="62">
        <f t="shared" ref="AL18:AR18" si="49">AK18</f>
        <v>1</v>
      </c>
      <c r="AM18" s="62">
        <f t="shared" si="49"/>
        <v>1</v>
      </c>
      <c r="AN18" s="62">
        <f t="shared" si="49"/>
        <v>1</v>
      </c>
      <c r="AO18" s="62">
        <f t="shared" si="49"/>
        <v>1</v>
      </c>
      <c r="AP18" s="62">
        <f t="shared" si="49"/>
        <v>1</v>
      </c>
      <c r="AQ18" s="62">
        <f t="shared" si="49"/>
        <v>1</v>
      </c>
      <c r="AR18" s="63">
        <f t="shared" si="49"/>
        <v>1</v>
      </c>
      <c r="AS18" s="61">
        <v>1</v>
      </c>
      <c r="AT18" s="62">
        <f t="shared" ref="AT18:AZ18" si="50">AS18</f>
        <v>1</v>
      </c>
      <c r="AU18" s="62">
        <f t="shared" si="50"/>
        <v>1</v>
      </c>
      <c r="AV18" s="62">
        <f t="shared" si="50"/>
        <v>1</v>
      </c>
      <c r="AW18" s="62">
        <f t="shared" si="50"/>
        <v>1</v>
      </c>
      <c r="AX18" s="62">
        <f t="shared" si="50"/>
        <v>1</v>
      </c>
      <c r="AY18" s="62">
        <f t="shared" si="50"/>
        <v>1</v>
      </c>
      <c r="AZ18" s="63">
        <f t="shared" si="50"/>
        <v>1</v>
      </c>
      <c r="BA18" s="37">
        <f t="shared" si="6"/>
        <v>48</v>
      </c>
      <c r="BB18" s="9">
        <f t="shared" si="7"/>
        <v>48</v>
      </c>
      <c r="BC18" s="10">
        <f t="shared" si="8"/>
        <v>100</v>
      </c>
    </row>
    <row r="19" spans="1:55" ht="15" customHeight="1" x14ac:dyDescent="0.35">
      <c r="A19" s="29">
        <v>820323205071</v>
      </c>
      <c r="B19" s="30" t="s">
        <v>29</v>
      </c>
      <c r="C19" s="11"/>
      <c r="D19" s="7"/>
      <c r="E19" s="61">
        <v>1</v>
      </c>
      <c r="F19" s="62">
        <f t="shared" ref="F19:L19" si="51">E19</f>
        <v>1</v>
      </c>
      <c r="G19" s="62">
        <f t="shared" si="51"/>
        <v>1</v>
      </c>
      <c r="H19" s="62">
        <f t="shared" si="51"/>
        <v>1</v>
      </c>
      <c r="I19" s="62">
        <f t="shared" si="51"/>
        <v>1</v>
      </c>
      <c r="J19" s="62">
        <f t="shared" si="51"/>
        <v>1</v>
      </c>
      <c r="K19" s="62">
        <f t="shared" si="51"/>
        <v>1</v>
      </c>
      <c r="L19" s="63">
        <f t="shared" si="51"/>
        <v>1</v>
      </c>
      <c r="M19" s="61">
        <v>1</v>
      </c>
      <c r="N19" s="62">
        <f t="shared" ref="N19:T19" si="52">M19</f>
        <v>1</v>
      </c>
      <c r="O19" s="62">
        <f t="shared" si="52"/>
        <v>1</v>
      </c>
      <c r="P19" s="62">
        <f t="shared" si="52"/>
        <v>1</v>
      </c>
      <c r="Q19" s="62">
        <f t="shared" si="52"/>
        <v>1</v>
      </c>
      <c r="R19" s="62">
        <f t="shared" si="52"/>
        <v>1</v>
      </c>
      <c r="S19" s="62">
        <f t="shared" si="52"/>
        <v>1</v>
      </c>
      <c r="T19" s="63">
        <f t="shared" si="52"/>
        <v>1</v>
      </c>
      <c r="U19" s="61">
        <v>1</v>
      </c>
      <c r="V19" s="62">
        <f t="shared" ref="V19:AB19" si="53">U19</f>
        <v>1</v>
      </c>
      <c r="W19" s="62">
        <f t="shared" si="53"/>
        <v>1</v>
      </c>
      <c r="X19" s="62">
        <f t="shared" si="53"/>
        <v>1</v>
      </c>
      <c r="Y19" s="62">
        <f t="shared" si="53"/>
        <v>1</v>
      </c>
      <c r="Z19" s="62">
        <f t="shared" si="53"/>
        <v>1</v>
      </c>
      <c r="AA19" s="62">
        <f t="shared" si="53"/>
        <v>1</v>
      </c>
      <c r="AB19" s="63">
        <f t="shared" si="53"/>
        <v>1</v>
      </c>
      <c r="AC19" s="61">
        <v>1</v>
      </c>
      <c r="AD19" s="62">
        <f t="shared" ref="AD19:AJ19" si="54">AC19</f>
        <v>1</v>
      </c>
      <c r="AE19" s="62">
        <f t="shared" si="54"/>
        <v>1</v>
      </c>
      <c r="AF19" s="62">
        <f t="shared" si="54"/>
        <v>1</v>
      </c>
      <c r="AG19" s="62">
        <f t="shared" si="54"/>
        <v>1</v>
      </c>
      <c r="AH19" s="62">
        <f t="shared" si="54"/>
        <v>1</v>
      </c>
      <c r="AI19" s="62">
        <f t="shared" si="54"/>
        <v>1</v>
      </c>
      <c r="AJ19" s="63">
        <f t="shared" si="54"/>
        <v>1</v>
      </c>
      <c r="AK19" s="61">
        <v>1</v>
      </c>
      <c r="AL19" s="62">
        <f t="shared" ref="AL19:AR19" si="55">AK19</f>
        <v>1</v>
      </c>
      <c r="AM19" s="62">
        <f t="shared" si="55"/>
        <v>1</v>
      </c>
      <c r="AN19" s="62">
        <f t="shared" si="55"/>
        <v>1</v>
      </c>
      <c r="AO19" s="62">
        <f t="shared" si="55"/>
        <v>1</v>
      </c>
      <c r="AP19" s="62">
        <f t="shared" si="55"/>
        <v>1</v>
      </c>
      <c r="AQ19" s="62">
        <f t="shared" si="55"/>
        <v>1</v>
      </c>
      <c r="AR19" s="63">
        <f t="shared" si="55"/>
        <v>1</v>
      </c>
      <c r="AS19" s="61">
        <v>1</v>
      </c>
      <c r="AT19" s="62">
        <f t="shared" ref="AT19:AZ19" si="56">AS19</f>
        <v>1</v>
      </c>
      <c r="AU19" s="62">
        <f t="shared" si="56"/>
        <v>1</v>
      </c>
      <c r="AV19" s="62">
        <f t="shared" si="56"/>
        <v>1</v>
      </c>
      <c r="AW19" s="62">
        <f t="shared" si="56"/>
        <v>1</v>
      </c>
      <c r="AX19" s="62">
        <f t="shared" si="56"/>
        <v>1</v>
      </c>
      <c r="AY19" s="62">
        <f t="shared" si="56"/>
        <v>1</v>
      </c>
      <c r="AZ19" s="63">
        <f t="shared" si="56"/>
        <v>1</v>
      </c>
      <c r="BA19" s="37">
        <f t="shared" si="6"/>
        <v>48</v>
      </c>
      <c r="BB19" s="9">
        <f t="shared" si="7"/>
        <v>48</v>
      </c>
      <c r="BC19" s="10">
        <f t="shared" si="8"/>
        <v>100</v>
      </c>
    </row>
    <row r="20" spans="1:55" ht="15" customHeight="1" x14ac:dyDescent="0.35">
      <c r="A20" s="29">
        <v>820323205073</v>
      </c>
      <c r="B20" s="30" t="s">
        <v>30</v>
      </c>
      <c r="C20" s="11"/>
      <c r="D20" s="7"/>
      <c r="E20" s="61">
        <v>1</v>
      </c>
      <c r="F20" s="62">
        <f t="shared" ref="F20:L20" si="57">E20</f>
        <v>1</v>
      </c>
      <c r="G20" s="62">
        <f t="shared" si="57"/>
        <v>1</v>
      </c>
      <c r="H20" s="62">
        <f t="shared" si="57"/>
        <v>1</v>
      </c>
      <c r="I20" s="62">
        <f t="shared" si="57"/>
        <v>1</v>
      </c>
      <c r="J20" s="62">
        <f t="shared" si="57"/>
        <v>1</v>
      </c>
      <c r="K20" s="62">
        <f t="shared" si="57"/>
        <v>1</v>
      </c>
      <c r="L20" s="63">
        <f t="shared" si="57"/>
        <v>1</v>
      </c>
      <c r="M20" s="61">
        <v>1</v>
      </c>
      <c r="N20" s="62">
        <f t="shared" ref="N20:T20" si="58">M20</f>
        <v>1</v>
      </c>
      <c r="O20" s="62">
        <f t="shared" si="58"/>
        <v>1</v>
      </c>
      <c r="P20" s="62">
        <f t="shared" si="58"/>
        <v>1</v>
      </c>
      <c r="Q20" s="62">
        <f t="shared" si="58"/>
        <v>1</v>
      </c>
      <c r="R20" s="62">
        <f t="shared" si="58"/>
        <v>1</v>
      </c>
      <c r="S20" s="62">
        <f t="shared" si="58"/>
        <v>1</v>
      </c>
      <c r="T20" s="63">
        <f t="shared" si="58"/>
        <v>1</v>
      </c>
      <c r="U20" s="61">
        <v>1</v>
      </c>
      <c r="V20" s="62">
        <f t="shared" ref="V20:AB20" si="59">U20</f>
        <v>1</v>
      </c>
      <c r="W20" s="62">
        <f t="shared" si="59"/>
        <v>1</v>
      </c>
      <c r="X20" s="62">
        <f t="shared" si="59"/>
        <v>1</v>
      </c>
      <c r="Y20" s="62">
        <f t="shared" si="59"/>
        <v>1</v>
      </c>
      <c r="Z20" s="62">
        <f t="shared" si="59"/>
        <v>1</v>
      </c>
      <c r="AA20" s="62">
        <f t="shared" si="59"/>
        <v>1</v>
      </c>
      <c r="AB20" s="63">
        <f t="shared" si="59"/>
        <v>1</v>
      </c>
      <c r="AC20" s="61">
        <v>1</v>
      </c>
      <c r="AD20" s="62">
        <f t="shared" ref="AD20:AJ20" si="60">AC20</f>
        <v>1</v>
      </c>
      <c r="AE20" s="62">
        <f t="shared" si="60"/>
        <v>1</v>
      </c>
      <c r="AF20" s="62">
        <f t="shared" si="60"/>
        <v>1</v>
      </c>
      <c r="AG20" s="62">
        <f t="shared" si="60"/>
        <v>1</v>
      </c>
      <c r="AH20" s="62">
        <f t="shared" si="60"/>
        <v>1</v>
      </c>
      <c r="AI20" s="62">
        <f t="shared" si="60"/>
        <v>1</v>
      </c>
      <c r="AJ20" s="63">
        <f t="shared" si="60"/>
        <v>1</v>
      </c>
      <c r="AK20" s="61">
        <v>1</v>
      </c>
      <c r="AL20" s="62">
        <f t="shared" ref="AL20:AR20" si="61">AK20</f>
        <v>1</v>
      </c>
      <c r="AM20" s="62">
        <f t="shared" si="61"/>
        <v>1</v>
      </c>
      <c r="AN20" s="62">
        <f t="shared" si="61"/>
        <v>1</v>
      </c>
      <c r="AO20" s="62">
        <f t="shared" si="61"/>
        <v>1</v>
      </c>
      <c r="AP20" s="62">
        <f t="shared" si="61"/>
        <v>1</v>
      </c>
      <c r="AQ20" s="62">
        <f t="shared" si="61"/>
        <v>1</v>
      </c>
      <c r="AR20" s="63">
        <f t="shared" si="61"/>
        <v>1</v>
      </c>
      <c r="AS20" s="61">
        <v>1</v>
      </c>
      <c r="AT20" s="62">
        <f t="shared" ref="AT20:AZ20" si="62">AS20</f>
        <v>1</v>
      </c>
      <c r="AU20" s="62">
        <f t="shared" si="62"/>
        <v>1</v>
      </c>
      <c r="AV20" s="62">
        <f t="shared" si="62"/>
        <v>1</v>
      </c>
      <c r="AW20" s="62">
        <f t="shared" si="62"/>
        <v>1</v>
      </c>
      <c r="AX20" s="62">
        <f t="shared" si="62"/>
        <v>1</v>
      </c>
      <c r="AY20" s="62">
        <f t="shared" si="62"/>
        <v>1</v>
      </c>
      <c r="AZ20" s="63">
        <f t="shared" si="62"/>
        <v>1</v>
      </c>
      <c r="BA20" s="37">
        <f t="shared" si="6"/>
        <v>48</v>
      </c>
      <c r="BB20" s="9">
        <f t="shared" si="7"/>
        <v>48</v>
      </c>
      <c r="BC20" s="10">
        <f t="shared" si="8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/>
      <c r="E21" s="61">
        <v>1</v>
      </c>
      <c r="F21" s="62">
        <f t="shared" ref="F21:L21" si="63">E21</f>
        <v>1</v>
      </c>
      <c r="G21" s="62">
        <f t="shared" si="63"/>
        <v>1</v>
      </c>
      <c r="H21" s="62">
        <f t="shared" si="63"/>
        <v>1</v>
      </c>
      <c r="I21" s="62">
        <f t="shared" si="63"/>
        <v>1</v>
      </c>
      <c r="J21" s="62">
        <f t="shared" si="63"/>
        <v>1</v>
      </c>
      <c r="K21" s="62">
        <f t="shared" si="63"/>
        <v>1</v>
      </c>
      <c r="L21" s="63">
        <f t="shared" si="63"/>
        <v>1</v>
      </c>
      <c r="M21" s="61">
        <v>1</v>
      </c>
      <c r="N21" s="62">
        <f t="shared" ref="N21:T21" si="64">M21</f>
        <v>1</v>
      </c>
      <c r="O21" s="62">
        <f t="shared" si="64"/>
        <v>1</v>
      </c>
      <c r="P21" s="62">
        <f t="shared" si="64"/>
        <v>1</v>
      </c>
      <c r="Q21" s="62">
        <f t="shared" si="64"/>
        <v>1</v>
      </c>
      <c r="R21" s="62">
        <f t="shared" si="64"/>
        <v>1</v>
      </c>
      <c r="S21" s="62">
        <f t="shared" si="64"/>
        <v>1</v>
      </c>
      <c r="T21" s="63">
        <f t="shared" si="64"/>
        <v>1</v>
      </c>
      <c r="U21" s="61">
        <v>1</v>
      </c>
      <c r="V21" s="62">
        <f t="shared" ref="V21:AB21" si="65">U21</f>
        <v>1</v>
      </c>
      <c r="W21" s="62">
        <f t="shared" si="65"/>
        <v>1</v>
      </c>
      <c r="X21" s="62">
        <f t="shared" si="65"/>
        <v>1</v>
      </c>
      <c r="Y21" s="62">
        <f t="shared" si="65"/>
        <v>1</v>
      </c>
      <c r="Z21" s="62">
        <f t="shared" si="65"/>
        <v>1</v>
      </c>
      <c r="AA21" s="62">
        <f t="shared" si="65"/>
        <v>1</v>
      </c>
      <c r="AB21" s="63">
        <f t="shared" si="65"/>
        <v>1</v>
      </c>
      <c r="AC21" s="61">
        <v>1</v>
      </c>
      <c r="AD21" s="62">
        <f t="shared" ref="AD21:AJ21" si="66">AC21</f>
        <v>1</v>
      </c>
      <c r="AE21" s="62">
        <f t="shared" si="66"/>
        <v>1</v>
      </c>
      <c r="AF21" s="62">
        <f t="shared" si="66"/>
        <v>1</v>
      </c>
      <c r="AG21" s="62">
        <f t="shared" si="66"/>
        <v>1</v>
      </c>
      <c r="AH21" s="62">
        <f t="shared" si="66"/>
        <v>1</v>
      </c>
      <c r="AI21" s="62">
        <f t="shared" si="66"/>
        <v>1</v>
      </c>
      <c r="AJ21" s="63">
        <f t="shared" si="66"/>
        <v>1</v>
      </c>
      <c r="AK21" s="61">
        <v>1</v>
      </c>
      <c r="AL21" s="62">
        <f t="shared" ref="AL21:AR21" si="67">AK21</f>
        <v>1</v>
      </c>
      <c r="AM21" s="62">
        <f t="shared" si="67"/>
        <v>1</v>
      </c>
      <c r="AN21" s="62">
        <f t="shared" si="67"/>
        <v>1</v>
      </c>
      <c r="AO21" s="62">
        <f t="shared" si="67"/>
        <v>1</v>
      </c>
      <c r="AP21" s="62">
        <f t="shared" si="67"/>
        <v>1</v>
      </c>
      <c r="AQ21" s="62">
        <f t="shared" si="67"/>
        <v>1</v>
      </c>
      <c r="AR21" s="63">
        <f t="shared" si="67"/>
        <v>1</v>
      </c>
      <c r="AS21" s="61">
        <v>1</v>
      </c>
      <c r="AT21" s="62">
        <f t="shared" ref="AT21:AZ21" si="68">AS21</f>
        <v>1</v>
      </c>
      <c r="AU21" s="62">
        <f t="shared" si="68"/>
        <v>1</v>
      </c>
      <c r="AV21" s="62">
        <f t="shared" si="68"/>
        <v>1</v>
      </c>
      <c r="AW21" s="62">
        <f t="shared" si="68"/>
        <v>1</v>
      </c>
      <c r="AX21" s="62">
        <f t="shared" si="68"/>
        <v>1</v>
      </c>
      <c r="AY21" s="62">
        <f t="shared" si="68"/>
        <v>1</v>
      </c>
      <c r="AZ21" s="63">
        <f t="shared" si="68"/>
        <v>1</v>
      </c>
      <c r="BA21" s="37">
        <f t="shared" si="6"/>
        <v>48</v>
      </c>
      <c r="BB21" s="9">
        <f t="shared" si="7"/>
        <v>48</v>
      </c>
      <c r="BC21" s="10">
        <f t="shared" si="8"/>
        <v>100</v>
      </c>
    </row>
    <row r="22" spans="1:55" ht="15" customHeight="1" x14ac:dyDescent="0.35">
      <c r="A22" s="29">
        <v>820323205075</v>
      </c>
      <c r="B22" s="30" t="s">
        <v>32</v>
      </c>
      <c r="C22" s="11"/>
      <c r="D22" s="7"/>
      <c r="E22" s="61">
        <v>1</v>
      </c>
      <c r="F22" s="62">
        <f t="shared" ref="F22:L22" si="69">E22</f>
        <v>1</v>
      </c>
      <c r="G22" s="62">
        <f t="shared" si="69"/>
        <v>1</v>
      </c>
      <c r="H22" s="62">
        <f t="shared" si="69"/>
        <v>1</v>
      </c>
      <c r="I22" s="62">
        <f t="shared" si="69"/>
        <v>1</v>
      </c>
      <c r="J22" s="62">
        <f t="shared" si="69"/>
        <v>1</v>
      </c>
      <c r="K22" s="62">
        <f t="shared" si="69"/>
        <v>1</v>
      </c>
      <c r="L22" s="63">
        <f t="shared" si="69"/>
        <v>1</v>
      </c>
      <c r="M22" s="61">
        <v>1</v>
      </c>
      <c r="N22" s="62">
        <f t="shared" ref="N22:T22" si="70">M22</f>
        <v>1</v>
      </c>
      <c r="O22" s="62">
        <f t="shared" si="70"/>
        <v>1</v>
      </c>
      <c r="P22" s="62">
        <f t="shared" si="70"/>
        <v>1</v>
      </c>
      <c r="Q22" s="62">
        <f t="shared" si="70"/>
        <v>1</v>
      </c>
      <c r="R22" s="62">
        <f t="shared" si="70"/>
        <v>1</v>
      </c>
      <c r="S22" s="62">
        <f t="shared" si="70"/>
        <v>1</v>
      </c>
      <c r="T22" s="63">
        <f t="shared" si="70"/>
        <v>1</v>
      </c>
      <c r="U22" s="61">
        <v>1</v>
      </c>
      <c r="V22" s="62">
        <f t="shared" ref="V22:AB22" si="71">U22</f>
        <v>1</v>
      </c>
      <c r="W22" s="62">
        <f t="shared" si="71"/>
        <v>1</v>
      </c>
      <c r="X22" s="62">
        <f t="shared" si="71"/>
        <v>1</v>
      </c>
      <c r="Y22" s="62">
        <f t="shared" si="71"/>
        <v>1</v>
      </c>
      <c r="Z22" s="62">
        <f t="shared" si="71"/>
        <v>1</v>
      </c>
      <c r="AA22" s="62">
        <f t="shared" si="71"/>
        <v>1</v>
      </c>
      <c r="AB22" s="63">
        <f t="shared" si="71"/>
        <v>1</v>
      </c>
      <c r="AC22" s="61">
        <v>1</v>
      </c>
      <c r="AD22" s="62">
        <f t="shared" ref="AD22:AJ22" si="72">AC22</f>
        <v>1</v>
      </c>
      <c r="AE22" s="62">
        <f t="shared" si="72"/>
        <v>1</v>
      </c>
      <c r="AF22" s="62">
        <f t="shared" si="72"/>
        <v>1</v>
      </c>
      <c r="AG22" s="62">
        <f t="shared" si="72"/>
        <v>1</v>
      </c>
      <c r="AH22" s="62">
        <f t="shared" si="72"/>
        <v>1</v>
      </c>
      <c r="AI22" s="62">
        <f t="shared" si="72"/>
        <v>1</v>
      </c>
      <c r="AJ22" s="63">
        <f t="shared" si="72"/>
        <v>1</v>
      </c>
      <c r="AK22" s="61">
        <v>1</v>
      </c>
      <c r="AL22" s="62">
        <f t="shared" ref="AL22:AR22" si="73">AK22</f>
        <v>1</v>
      </c>
      <c r="AM22" s="62">
        <f t="shared" si="73"/>
        <v>1</v>
      </c>
      <c r="AN22" s="62">
        <f t="shared" si="73"/>
        <v>1</v>
      </c>
      <c r="AO22" s="62">
        <f t="shared" si="73"/>
        <v>1</v>
      </c>
      <c r="AP22" s="62">
        <f t="shared" si="73"/>
        <v>1</v>
      </c>
      <c r="AQ22" s="62">
        <f t="shared" si="73"/>
        <v>1</v>
      </c>
      <c r="AR22" s="63">
        <f t="shared" si="73"/>
        <v>1</v>
      </c>
      <c r="AS22" s="61">
        <v>1</v>
      </c>
      <c r="AT22" s="62">
        <f t="shared" ref="AT22:AZ22" si="74">AS22</f>
        <v>1</v>
      </c>
      <c r="AU22" s="62">
        <f t="shared" si="74"/>
        <v>1</v>
      </c>
      <c r="AV22" s="62">
        <f t="shared" si="74"/>
        <v>1</v>
      </c>
      <c r="AW22" s="62">
        <f t="shared" si="74"/>
        <v>1</v>
      </c>
      <c r="AX22" s="62">
        <f t="shared" si="74"/>
        <v>1</v>
      </c>
      <c r="AY22" s="62">
        <f t="shared" si="74"/>
        <v>1</v>
      </c>
      <c r="AZ22" s="63">
        <f t="shared" si="74"/>
        <v>1</v>
      </c>
      <c r="BA22" s="37">
        <f t="shared" si="6"/>
        <v>48</v>
      </c>
      <c r="BB22" s="9">
        <f t="shared" si="7"/>
        <v>48</v>
      </c>
      <c r="BC22" s="10">
        <f t="shared" si="8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/>
      <c r="E23" s="61">
        <v>1</v>
      </c>
      <c r="F23" s="62">
        <f t="shared" ref="F23:L23" si="75">E23</f>
        <v>1</v>
      </c>
      <c r="G23" s="62">
        <f t="shared" si="75"/>
        <v>1</v>
      </c>
      <c r="H23" s="62">
        <f t="shared" si="75"/>
        <v>1</v>
      </c>
      <c r="I23" s="62">
        <f t="shared" si="75"/>
        <v>1</v>
      </c>
      <c r="J23" s="62">
        <f t="shared" si="75"/>
        <v>1</v>
      </c>
      <c r="K23" s="62">
        <f t="shared" si="75"/>
        <v>1</v>
      </c>
      <c r="L23" s="63">
        <f t="shared" si="75"/>
        <v>1</v>
      </c>
      <c r="M23" s="61">
        <v>1</v>
      </c>
      <c r="N23" s="62">
        <f t="shared" ref="N23:T23" si="76">M23</f>
        <v>1</v>
      </c>
      <c r="O23" s="62">
        <f t="shared" si="76"/>
        <v>1</v>
      </c>
      <c r="P23" s="62">
        <f t="shared" si="76"/>
        <v>1</v>
      </c>
      <c r="Q23" s="62">
        <f t="shared" si="76"/>
        <v>1</v>
      </c>
      <c r="R23" s="62">
        <f t="shared" si="76"/>
        <v>1</v>
      </c>
      <c r="S23" s="62">
        <f t="shared" si="76"/>
        <v>1</v>
      </c>
      <c r="T23" s="63">
        <f t="shared" si="76"/>
        <v>1</v>
      </c>
      <c r="U23" s="61">
        <v>1</v>
      </c>
      <c r="V23" s="62">
        <f t="shared" ref="V23:AB23" si="77">U23</f>
        <v>1</v>
      </c>
      <c r="W23" s="62">
        <f t="shared" si="77"/>
        <v>1</v>
      </c>
      <c r="X23" s="62">
        <f t="shared" si="77"/>
        <v>1</v>
      </c>
      <c r="Y23" s="62">
        <f t="shared" si="77"/>
        <v>1</v>
      </c>
      <c r="Z23" s="62">
        <f t="shared" si="77"/>
        <v>1</v>
      </c>
      <c r="AA23" s="62">
        <f t="shared" si="77"/>
        <v>1</v>
      </c>
      <c r="AB23" s="63">
        <f t="shared" si="77"/>
        <v>1</v>
      </c>
      <c r="AC23" s="61">
        <v>1</v>
      </c>
      <c r="AD23" s="62">
        <f t="shared" ref="AD23:AJ23" si="78">AC23</f>
        <v>1</v>
      </c>
      <c r="AE23" s="62">
        <f t="shared" si="78"/>
        <v>1</v>
      </c>
      <c r="AF23" s="62">
        <f t="shared" si="78"/>
        <v>1</v>
      </c>
      <c r="AG23" s="62">
        <f t="shared" si="78"/>
        <v>1</v>
      </c>
      <c r="AH23" s="62">
        <f t="shared" si="78"/>
        <v>1</v>
      </c>
      <c r="AI23" s="62">
        <f t="shared" si="78"/>
        <v>1</v>
      </c>
      <c r="AJ23" s="63">
        <f t="shared" si="78"/>
        <v>1</v>
      </c>
      <c r="AK23" s="61">
        <v>1</v>
      </c>
      <c r="AL23" s="62">
        <f t="shared" ref="AL23:AR23" si="79">AK23</f>
        <v>1</v>
      </c>
      <c r="AM23" s="62">
        <f t="shared" si="79"/>
        <v>1</v>
      </c>
      <c r="AN23" s="62">
        <f t="shared" si="79"/>
        <v>1</v>
      </c>
      <c r="AO23" s="62">
        <f t="shared" si="79"/>
        <v>1</v>
      </c>
      <c r="AP23" s="62">
        <f t="shared" si="79"/>
        <v>1</v>
      </c>
      <c r="AQ23" s="62">
        <f t="shared" si="79"/>
        <v>1</v>
      </c>
      <c r="AR23" s="63">
        <f t="shared" si="79"/>
        <v>1</v>
      </c>
      <c r="AS23" s="61">
        <v>1</v>
      </c>
      <c r="AT23" s="62">
        <f t="shared" ref="AT23:AZ23" si="80">AS23</f>
        <v>1</v>
      </c>
      <c r="AU23" s="62">
        <f t="shared" si="80"/>
        <v>1</v>
      </c>
      <c r="AV23" s="62">
        <f t="shared" si="80"/>
        <v>1</v>
      </c>
      <c r="AW23" s="62">
        <f t="shared" si="80"/>
        <v>1</v>
      </c>
      <c r="AX23" s="62">
        <f t="shared" si="80"/>
        <v>1</v>
      </c>
      <c r="AY23" s="62">
        <f t="shared" si="80"/>
        <v>1</v>
      </c>
      <c r="AZ23" s="63">
        <f t="shared" si="80"/>
        <v>1</v>
      </c>
      <c r="BA23" s="37">
        <f t="shared" si="6"/>
        <v>48</v>
      </c>
      <c r="BB23" s="9">
        <f t="shared" si="7"/>
        <v>48</v>
      </c>
      <c r="BC23" s="10">
        <f t="shared" si="8"/>
        <v>100</v>
      </c>
    </row>
    <row r="24" spans="1:55" ht="15" customHeight="1" x14ac:dyDescent="0.35">
      <c r="A24" s="29">
        <v>820323205077</v>
      </c>
      <c r="B24" s="30" t="s">
        <v>34</v>
      </c>
      <c r="C24" s="11"/>
      <c r="D24" s="7"/>
      <c r="E24" s="61">
        <v>1</v>
      </c>
      <c r="F24" s="62">
        <f t="shared" ref="F24:L24" si="81">E24</f>
        <v>1</v>
      </c>
      <c r="G24" s="62">
        <f t="shared" si="81"/>
        <v>1</v>
      </c>
      <c r="H24" s="62">
        <f t="shared" si="81"/>
        <v>1</v>
      </c>
      <c r="I24" s="62">
        <f t="shared" si="81"/>
        <v>1</v>
      </c>
      <c r="J24" s="62">
        <f t="shared" si="81"/>
        <v>1</v>
      </c>
      <c r="K24" s="62">
        <f t="shared" si="81"/>
        <v>1</v>
      </c>
      <c r="L24" s="63">
        <f t="shared" si="81"/>
        <v>1</v>
      </c>
      <c r="M24" s="61">
        <v>1</v>
      </c>
      <c r="N24" s="62">
        <f t="shared" ref="N24:T24" si="82">M24</f>
        <v>1</v>
      </c>
      <c r="O24" s="62">
        <f t="shared" si="82"/>
        <v>1</v>
      </c>
      <c r="P24" s="62">
        <f t="shared" si="82"/>
        <v>1</v>
      </c>
      <c r="Q24" s="62">
        <f t="shared" si="82"/>
        <v>1</v>
      </c>
      <c r="R24" s="62">
        <f t="shared" si="82"/>
        <v>1</v>
      </c>
      <c r="S24" s="62">
        <f t="shared" si="82"/>
        <v>1</v>
      </c>
      <c r="T24" s="63">
        <f t="shared" si="82"/>
        <v>1</v>
      </c>
      <c r="U24" s="61">
        <v>1</v>
      </c>
      <c r="V24" s="62">
        <f t="shared" ref="V24:AB24" si="83">U24</f>
        <v>1</v>
      </c>
      <c r="W24" s="62">
        <f t="shared" si="83"/>
        <v>1</v>
      </c>
      <c r="X24" s="62">
        <f t="shared" si="83"/>
        <v>1</v>
      </c>
      <c r="Y24" s="62">
        <f t="shared" si="83"/>
        <v>1</v>
      </c>
      <c r="Z24" s="62">
        <f t="shared" si="83"/>
        <v>1</v>
      </c>
      <c r="AA24" s="62">
        <f t="shared" si="83"/>
        <v>1</v>
      </c>
      <c r="AB24" s="63">
        <f t="shared" si="83"/>
        <v>1</v>
      </c>
      <c r="AC24" s="61">
        <v>1</v>
      </c>
      <c r="AD24" s="62">
        <f t="shared" ref="AD24:AJ24" si="84">AC24</f>
        <v>1</v>
      </c>
      <c r="AE24" s="62">
        <f t="shared" si="84"/>
        <v>1</v>
      </c>
      <c r="AF24" s="62">
        <f t="shared" si="84"/>
        <v>1</v>
      </c>
      <c r="AG24" s="62">
        <f t="shared" si="84"/>
        <v>1</v>
      </c>
      <c r="AH24" s="62">
        <f t="shared" si="84"/>
        <v>1</v>
      </c>
      <c r="AI24" s="62">
        <f t="shared" si="84"/>
        <v>1</v>
      </c>
      <c r="AJ24" s="63">
        <f t="shared" si="84"/>
        <v>1</v>
      </c>
      <c r="AK24" s="61">
        <v>1</v>
      </c>
      <c r="AL24" s="62">
        <f t="shared" ref="AL24:AR24" si="85">AK24</f>
        <v>1</v>
      </c>
      <c r="AM24" s="62">
        <f t="shared" si="85"/>
        <v>1</v>
      </c>
      <c r="AN24" s="62">
        <f t="shared" si="85"/>
        <v>1</v>
      </c>
      <c r="AO24" s="62">
        <f t="shared" si="85"/>
        <v>1</v>
      </c>
      <c r="AP24" s="62">
        <f t="shared" si="85"/>
        <v>1</v>
      </c>
      <c r="AQ24" s="62">
        <f t="shared" si="85"/>
        <v>1</v>
      </c>
      <c r="AR24" s="63">
        <f t="shared" si="85"/>
        <v>1</v>
      </c>
      <c r="AS24" s="61">
        <v>1</v>
      </c>
      <c r="AT24" s="62">
        <f t="shared" ref="AT24:AZ24" si="86">AS24</f>
        <v>1</v>
      </c>
      <c r="AU24" s="62">
        <f t="shared" si="86"/>
        <v>1</v>
      </c>
      <c r="AV24" s="62">
        <f t="shared" si="86"/>
        <v>1</v>
      </c>
      <c r="AW24" s="62">
        <f t="shared" si="86"/>
        <v>1</v>
      </c>
      <c r="AX24" s="62">
        <f t="shared" si="86"/>
        <v>1</v>
      </c>
      <c r="AY24" s="62">
        <f t="shared" si="86"/>
        <v>1</v>
      </c>
      <c r="AZ24" s="63">
        <f t="shared" si="86"/>
        <v>1</v>
      </c>
      <c r="BA24" s="37">
        <f t="shared" si="6"/>
        <v>48</v>
      </c>
      <c r="BB24" s="9">
        <f t="shared" si="7"/>
        <v>48</v>
      </c>
      <c r="BC24" s="10">
        <f t="shared" si="8"/>
        <v>100</v>
      </c>
    </row>
    <row r="25" spans="1:55" ht="15" customHeight="1" x14ac:dyDescent="0.35">
      <c r="A25" s="29">
        <v>820323205078</v>
      </c>
      <c r="B25" s="30" t="s">
        <v>35</v>
      </c>
      <c r="C25" s="12"/>
      <c r="D25" s="7"/>
      <c r="E25" s="61">
        <v>1</v>
      </c>
      <c r="F25" s="62">
        <f t="shared" ref="F25:L25" si="87">E25</f>
        <v>1</v>
      </c>
      <c r="G25" s="62">
        <f t="shared" si="87"/>
        <v>1</v>
      </c>
      <c r="H25" s="62">
        <f t="shared" si="87"/>
        <v>1</v>
      </c>
      <c r="I25" s="62">
        <f t="shared" si="87"/>
        <v>1</v>
      </c>
      <c r="J25" s="62">
        <f t="shared" si="87"/>
        <v>1</v>
      </c>
      <c r="K25" s="62">
        <f t="shared" si="87"/>
        <v>1</v>
      </c>
      <c r="L25" s="63">
        <f t="shared" si="87"/>
        <v>1</v>
      </c>
      <c r="M25" s="61">
        <v>1</v>
      </c>
      <c r="N25" s="62">
        <f t="shared" ref="N25:T25" si="88">M25</f>
        <v>1</v>
      </c>
      <c r="O25" s="62">
        <f t="shared" si="88"/>
        <v>1</v>
      </c>
      <c r="P25" s="62">
        <f t="shared" si="88"/>
        <v>1</v>
      </c>
      <c r="Q25" s="62">
        <f t="shared" si="88"/>
        <v>1</v>
      </c>
      <c r="R25" s="62">
        <f t="shared" si="88"/>
        <v>1</v>
      </c>
      <c r="S25" s="62">
        <f t="shared" si="88"/>
        <v>1</v>
      </c>
      <c r="T25" s="63">
        <f t="shared" si="88"/>
        <v>1</v>
      </c>
      <c r="U25" s="61">
        <v>1</v>
      </c>
      <c r="V25" s="62">
        <f t="shared" ref="V25:AB25" si="89">U25</f>
        <v>1</v>
      </c>
      <c r="W25" s="62">
        <f t="shared" si="89"/>
        <v>1</v>
      </c>
      <c r="X25" s="62">
        <f t="shared" si="89"/>
        <v>1</v>
      </c>
      <c r="Y25" s="62">
        <f t="shared" si="89"/>
        <v>1</v>
      </c>
      <c r="Z25" s="62">
        <f t="shared" si="89"/>
        <v>1</v>
      </c>
      <c r="AA25" s="62">
        <f t="shared" si="89"/>
        <v>1</v>
      </c>
      <c r="AB25" s="63">
        <f t="shared" si="89"/>
        <v>1</v>
      </c>
      <c r="AC25" s="61">
        <v>1</v>
      </c>
      <c r="AD25" s="62">
        <f t="shared" ref="AD25:AJ25" si="90">AC25</f>
        <v>1</v>
      </c>
      <c r="AE25" s="62">
        <f t="shared" si="90"/>
        <v>1</v>
      </c>
      <c r="AF25" s="62">
        <f t="shared" si="90"/>
        <v>1</v>
      </c>
      <c r="AG25" s="62">
        <f t="shared" si="90"/>
        <v>1</v>
      </c>
      <c r="AH25" s="62">
        <f t="shared" si="90"/>
        <v>1</v>
      </c>
      <c r="AI25" s="62">
        <f t="shared" si="90"/>
        <v>1</v>
      </c>
      <c r="AJ25" s="63">
        <f t="shared" si="90"/>
        <v>1</v>
      </c>
      <c r="AK25" s="61">
        <v>1</v>
      </c>
      <c r="AL25" s="62">
        <f t="shared" ref="AL25:AR25" si="91">AK25</f>
        <v>1</v>
      </c>
      <c r="AM25" s="62">
        <f t="shared" si="91"/>
        <v>1</v>
      </c>
      <c r="AN25" s="62">
        <f t="shared" si="91"/>
        <v>1</v>
      </c>
      <c r="AO25" s="62">
        <f t="shared" si="91"/>
        <v>1</v>
      </c>
      <c r="AP25" s="62">
        <f t="shared" si="91"/>
        <v>1</v>
      </c>
      <c r="AQ25" s="62">
        <f t="shared" si="91"/>
        <v>1</v>
      </c>
      <c r="AR25" s="63">
        <f t="shared" si="91"/>
        <v>1</v>
      </c>
      <c r="AS25" s="61">
        <v>1</v>
      </c>
      <c r="AT25" s="62">
        <f t="shared" ref="AT25:AZ25" si="92">AS25</f>
        <v>1</v>
      </c>
      <c r="AU25" s="62">
        <f t="shared" si="92"/>
        <v>1</v>
      </c>
      <c r="AV25" s="62">
        <f t="shared" si="92"/>
        <v>1</v>
      </c>
      <c r="AW25" s="62">
        <f t="shared" si="92"/>
        <v>1</v>
      </c>
      <c r="AX25" s="62">
        <f t="shared" si="92"/>
        <v>1</v>
      </c>
      <c r="AY25" s="62">
        <f t="shared" si="92"/>
        <v>1</v>
      </c>
      <c r="AZ25" s="63">
        <f t="shared" si="92"/>
        <v>1</v>
      </c>
      <c r="BA25" s="37">
        <f t="shared" si="6"/>
        <v>48</v>
      </c>
      <c r="BB25" s="9">
        <f t="shared" si="7"/>
        <v>48</v>
      </c>
      <c r="BC25" s="10">
        <f t="shared" si="8"/>
        <v>100</v>
      </c>
    </row>
    <row r="26" spans="1:55" ht="15" customHeight="1" x14ac:dyDescent="0.35">
      <c r="A26" s="29">
        <v>820323205079</v>
      </c>
      <c r="B26" s="30" t="s">
        <v>36</v>
      </c>
      <c r="C26" s="11"/>
      <c r="D26" s="7"/>
      <c r="E26" s="61">
        <v>1</v>
      </c>
      <c r="F26" s="62">
        <f t="shared" ref="F26:L26" si="93">E26</f>
        <v>1</v>
      </c>
      <c r="G26" s="62">
        <f t="shared" si="93"/>
        <v>1</v>
      </c>
      <c r="H26" s="62">
        <f t="shared" si="93"/>
        <v>1</v>
      </c>
      <c r="I26" s="62">
        <f t="shared" si="93"/>
        <v>1</v>
      </c>
      <c r="J26" s="62">
        <f t="shared" si="93"/>
        <v>1</v>
      </c>
      <c r="K26" s="62">
        <f t="shared" si="93"/>
        <v>1</v>
      </c>
      <c r="L26" s="63">
        <f t="shared" si="93"/>
        <v>1</v>
      </c>
      <c r="M26" s="61">
        <v>1</v>
      </c>
      <c r="N26" s="62">
        <f t="shared" ref="N26:T26" si="94">M26</f>
        <v>1</v>
      </c>
      <c r="O26" s="62">
        <f t="shared" si="94"/>
        <v>1</v>
      </c>
      <c r="P26" s="62">
        <f t="shared" si="94"/>
        <v>1</v>
      </c>
      <c r="Q26" s="62">
        <f t="shared" si="94"/>
        <v>1</v>
      </c>
      <c r="R26" s="62">
        <f t="shared" si="94"/>
        <v>1</v>
      </c>
      <c r="S26" s="62">
        <f t="shared" si="94"/>
        <v>1</v>
      </c>
      <c r="T26" s="63">
        <f t="shared" si="94"/>
        <v>1</v>
      </c>
      <c r="U26" s="61">
        <v>1</v>
      </c>
      <c r="V26" s="62">
        <f t="shared" ref="V26:AB26" si="95">U26</f>
        <v>1</v>
      </c>
      <c r="W26" s="62">
        <f t="shared" si="95"/>
        <v>1</v>
      </c>
      <c r="X26" s="62">
        <f t="shared" si="95"/>
        <v>1</v>
      </c>
      <c r="Y26" s="62">
        <f t="shared" si="95"/>
        <v>1</v>
      </c>
      <c r="Z26" s="62">
        <f t="shared" si="95"/>
        <v>1</v>
      </c>
      <c r="AA26" s="62">
        <f t="shared" si="95"/>
        <v>1</v>
      </c>
      <c r="AB26" s="63">
        <f t="shared" si="95"/>
        <v>1</v>
      </c>
      <c r="AC26" s="61">
        <v>1</v>
      </c>
      <c r="AD26" s="62">
        <f t="shared" ref="AD26:AJ26" si="96">AC26</f>
        <v>1</v>
      </c>
      <c r="AE26" s="62">
        <f t="shared" si="96"/>
        <v>1</v>
      </c>
      <c r="AF26" s="62">
        <f t="shared" si="96"/>
        <v>1</v>
      </c>
      <c r="AG26" s="62">
        <f t="shared" si="96"/>
        <v>1</v>
      </c>
      <c r="AH26" s="62">
        <f t="shared" si="96"/>
        <v>1</v>
      </c>
      <c r="AI26" s="62">
        <f t="shared" si="96"/>
        <v>1</v>
      </c>
      <c r="AJ26" s="63">
        <f t="shared" si="96"/>
        <v>1</v>
      </c>
      <c r="AK26" s="61">
        <v>1</v>
      </c>
      <c r="AL26" s="62">
        <f t="shared" ref="AL26:AR26" si="97">AK26</f>
        <v>1</v>
      </c>
      <c r="AM26" s="62">
        <f t="shared" si="97"/>
        <v>1</v>
      </c>
      <c r="AN26" s="62">
        <f t="shared" si="97"/>
        <v>1</v>
      </c>
      <c r="AO26" s="62">
        <f t="shared" si="97"/>
        <v>1</v>
      </c>
      <c r="AP26" s="62">
        <f t="shared" si="97"/>
        <v>1</v>
      </c>
      <c r="AQ26" s="62">
        <f t="shared" si="97"/>
        <v>1</v>
      </c>
      <c r="AR26" s="63">
        <f t="shared" si="97"/>
        <v>1</v>
      </c>
      <c r="AS26" s="61">
        <v>1</v>
      </c>
      <c r="AT26" s="62">
        <f t="shared" ref="AT26:AZ26" si="98">AS26</f>
        <v>1</v>
      </c>
      <c r="AU26" s="62">
        <f t="shared" si="98"/>
        <v>1</v>
      </c>
      <c r="AV26" s="62">
        <f t="shared" si="98"/>
        <v>1</v>
      </c>
      <c r="AW26" s="62">
        <f t="shared" si="98"/>
        <v>1</v>
      </c>
      <c r="AX26" s="62">
        <f t="shared" si="98"/>
        <v>1</v>
      </c>
      <c r="AY26" s="62">
        <f t="shared" si="98"/>
        <v>1</v>
      </c>
      <c r="AZ26" s="63">
        <f t="shared" si="98"/>
        <v>1</v>
      </c>
      <c r="BA26" s="37">
        <f t="shared" si="6"/>
        <v>48</v>
      </c>
      <c r="BB26" s="9">
        <f t="shared" si="7"/>
        <v>48</v>
      </c>
      <c r="BC26" s="10">
        <f t="shared" si="8"/>
        <v>100</v>
      </c>
    </row>
    <row r="27" spans="1:55" ht="15" customHeight="1" x14ac:dyDescent="0.35">
      <c r="A27" s="29">
        <v>820323205080</v>
      </c>
      <c r="B27" s="30" t="s">
        <v>37</v>
      </c>
      <c r="C27" s="11"/>
      <c r="D27" s="7"/>
      <c r="E27" s="61">
        <v>1</v>
      </c>
      <c r="F27" s="62">
        <f t="shared" ref="F27:L27" si="99">E27</f>
        <v>1</v>
      </c>
      <c r="G27" s="62">
        <f t="shared" si="99"/>
        <v>1</v>
      </c>
      <c r="H27" s="62">
        <f t="shared" si="99"/>
        <v>1</v>
      </c>
      <c r="I27" s="62">
        <f t="shared" si="99"/>
        <v>1</v>
      </c>
      <c r="J27" s="62">
        <f t="shared" si="99"/>
        <v>1</v>
      </c>
      <c r="K27" s="62">
        <f t="shared" si="99"/>
        <v>1</v>
      </c>
      <c r="L27" s="63">
        <f t="shared" si="99"/>
        <v>1</v>
      </c>
      <c r="M27" s="61">
        <v>1</v>
      </c>
      <c r="N27" s="62">
        <f t="shared" ref="N27:T27" si="100">M27</f>
        <v>1</v>
      </c>
      <c r="O27" s="62">
        <f t="shared" si="100"/>
        <v>1</v>
      </c>
      <c r="P27" s="62">
        <f t="shared" si="100"/>
        <v>1</v>
      </c>
      <c r="Q27" s="62">
        <f t="shared" si="100"/>
        <v>1</v>
      </c>
      <c r="R27" s="62">
        <f t="shared" si="100"/>
        <v>1</v>
      </c>
      <c r="S27" s="62">
        <f t="shared" si="100"/>
        <v>1</v>
      </c>
      <c r="T27" s="63">
        <f t="shared" si="100"/>
        <v>1</v>
      </c>
      <c r="U27" s="61">
        <v>1</v>
      </c>
      <c r="V27" s="62">
        <f t="shared" ref="V27:AB27" si="101">U27</f>
        <v>1</v>
      </c>
      <c r="W27" s="62">
        <f t="shared" si="101"/>
        <v>1</v>
      </c>
      <c r="X27" s="62">
        <f t="shared" si="101"/>
        <v>1</v>
      </c>
      <c r="Y27" s="62">
        <f t="shared" si="101"/>
        <v>1</v>
      </c>
      <c r="Z27" s="62">
        <f t="shared" si="101"/>
        <v>1</v>
      </c>
      <c r="AA27" s="62">
        <f t="shared" si="101"/>
        <v>1</v>
      </c>
      <c r="AB27" s="63">
        <f t="shared" si="101"/>
        <v>1</v>
      </c>
      <c r="AC27" s="61">
        <v>1</v>
      </c>
      <c r="AD27" s="62">
        <f t="shared" ref="AD27:AJ27" si="102">AC27</f>
        <v>1</v>
      </c>
      <c r="AE27" s="62">
        <f t="shared" si="102"/>
        <v>1</v>
      </c>
      <c r="AF27" s="62">
        <f t="shared" si="102"/>
        <v>1</v>
      </c>
      <c r="AG27" s="62">
        <f t="shared" si="102"/>
        <v>1</v>
      </c>
      <c r="AH27" s="62">
        <f t="shared" si="102"/>
        <v>1</v>
      </c>
      <c r="AI27" s="62">
        <f t="shared" si="102"/>
        <v>1</v>
      </c>
      <c r="AJ27" s="63">
        <f t="shared" si="102"/>
        <v>1</v>
      </c>
      <c r="AK27" s="61">
        <v>1</v>
      </c>
      <c r="AL27" s="62">
        <f t="shared" ref="AL27:AR27" si="103">AK27</f>
        <v>1</v>
      </c>
      <c r="AM27" s="62">
        <f t="shared" si="103"/>
        <v>1</v>
      </c>
      <c r="AN27" s="62">
        <f t="shared" si="103"/>
        <v>1</v>
      </c>
      <c r="AO27" s="62">
        <f t="shared" si="103"/>
        <v>1</v>
      </c>
      <c r="AP27" s="62">
        <f t="shared" si="103"/>
        <v>1</v>
      </c>
      <c r="AQ27" s="62">
        <f t="shared" si="103"/>
        <v>1</v>
      </c>
      <c r="AR27" s="63">
        <f t="shared" si="103"/>
        <v>1</v>
      </c>
      <c r="AS27" s="61">
        <v>1</v>
      </c>
      <c r="AT27" s="62">
        <f t="shared" ref="AT27:AZ27" si="104">AS27</f>
        <v>1</v>
      </c>
      <c r="AU27" s="62">
        <f t="shared" si="104"/>
        <v>1</v>
      </c>
      <c r="AV27" s="62">
        <f t="shared" si="104"/>
        <v>1</v>
      </c>
      <c r="AW27" s="62">
        <f t="shared" si="104"/>
        <v>1</v>
      </c>
      <c r="AX27" s="62">
        <f t="shared" si="104"/>
        <v>1</v>
      </c>
      <c r="AY27" s="62">
        <f t="shared" si="104"/>
        <v>1</v>
      </c>
      <c r="AZ27" s="63">
        <f t="shared" si="104"/>
        <v>1</v>
      </c>
      <c r="BA27" s="37">
        <f t="shared" si="6"/>
        <v>48</v>
      </c>
      <c r="BB27" s="9">
        <f t="shared" si="7"/>
        <v>48</v>
      </c>
      <c r="BC27" s="10">
        <f t="shared" si="8"/>
        <v>100</v>
      </c>
    </row>
    <row r="28" spans="1:55" ht="15" customHeight="1" x14ac:dyDescent="0.35">
      <c r="A28" s="29">
        <v>820323205081</v>
      </c>
      <c r="B28" s="30" t="s">
        <v>38</v>
      </c>
      <c r="C28" s="13"/>
      <c r="D28" s="7"/>
      <c r="E28" s="61">
        <v>1</v>
      </c>
      <c r="F28" s="62">
        <f t="shared" ref="F28:L28" si="105">E28</f>
        <v>1</v>
      </c>
      <c r="G28" s="62">
        <f t="shared" si="105"/>
        <v>1</v>
      </c>
      <c r="H28" s="62">
        <f t="shared" si="105"/>
        <v>1</v>
      </c>
      <c r="I28" s="62">
        <f t="shared" si="105"/>
        <v>1</v>
      </c>
      <c r="J28" s="62">
        <f t="shared" si="105"/>
        <v>1</v>
      </c>
      <c r="K28" s="62">
        <f t="shared" si="105"/>
        <v>1</v>
      </c>
      <c r="L28" s="63">
        <f t="shared" si="105"/>
        <v>1</v>
      </c>
      <c r="M28" s="61">
        <v>1</v>
      </c>
      <c r="N28" s="62">
        <f t="shared" ref="N28:T28" si="106">M28</f>
        <v>1</v>
      </c>
      <c r="O28" s="62">
        <f t="shared" si="106"/>
        <v>1</v>
      </c>
      <c r="P28" s="62">
        <f t="shared" si="106"/>
        <v>1</v>
      </c>
      <c r="Q28" s="62">
        <f t="shared" si="106"/>
        <v>1</v>
      </c>
      <c r="R28" s="62">
        <f t="shared" si="106"/>
        <v>1</v>
      </c>
      <c r="S28" s="62">
        <f t="shared" si="106"/>
        <v>1</v>
      </c>
      <c r="T28" s="63">
        <f t="shared" si="106"/>
        <v>1</v>
      </c>
      <c r="U28" s="61">
        <v>1</v>
      </c>
      <c r="V28" s="62">
        <f t="shared" ref="V28:AB28" si="107">U28</f>
        <v>1</v>
      </c>
      <c r="W28" s="62">
        <f t="shared" si="107"/>
        <v>1</v>
      </c>
      <c r="X28" s="62">
        <f t="shared" si="107"/>
        <v>1</v>
      </c>
      <c r="Y28" s="62">
        <f t="shared" si="107"/>
        <v>1</v>
      </c>
      <c r="Z28" s="62">
        <f t="shared" si="107"/>
        <v>1</v>
      </c>
      <c r="AA28" s="62">
        <f t="shared" si="107"/>
        <v>1</v>
      </c>
      <c r="AB28" s="63">
        <f t="shared" si="107"/>
        <v>1</v>
      </c>
      <c r="AC28" s="61">
        <v>1</v>
      </c>
      <c r="AD28" s="62">
        <f t="shared" ref="AD28:AJ28" si="108">AC28</f>
        <v>1</v>
      </c>
      <c r="AE28" s="62">
        <f t="shared" si="108"/>
        <v>1</v>
      </c>
      <c r="AF28" s="62">
        <f t="shared" si="108"/>
        <v>1</v>
      </c>
      <c r="AG28" s="62">
        <f t="shared" si="108"/>
        <v>1</v>
      </c>
      <c r="AH28" s="62">
        <f t="shared" si="108"/>
        <v>1</v>
      </c>
      <c r="AI28" s="62">
        <f t="shared" si="108"/>
        <v>1</v>
      </c>
      <c r="AJ28" s="63">
        <f t="shared" si="108"/>
        <v>1</v>
      </c>
      <c r="AK28" s="61">
        <v>1</v>
      </c>
      <c r="AL28" s="62">
        <f t="shared" ref="AL28:AR28" si="109">AK28</f>
        <v>1</v>
      </c>
      <c r="AM28" s="62">
        <f t="shared" si="109"/>
        <v>1</v>
      </c>
      <c r="AN28" s="62">
        <f t="shared" si="109"/>
        <v>1</v>
      </c>
      <c r="AO28" s="62">
        <f t="shared" si="109"/>
        <v>1</v>
      </c>
      <c r="AP28" s="62">
        <f t="shared" si="109"/>
        <v>1</v>
      </c>
      <c r="AQ28" s="62">
        <f t="shared" si="109"/>
        <v>1</v>
      </c>
      <c r="AR28" s="63">
        <f t="shared" si="109"/>
        <v>1</v>
      </c>
      <c r="AS28" s="61">
        <v>1</v>
      </c>
      <c r="AT28" s="62">
        <f t="shared" ref="AT28:AZ28" si="110">AS28</f>
        <v>1</v>
      </c>
      <c r="AU28" s="62">
        <f t="shared" si="110"/>
        <v>1</v>
      </c>
      <c r="AV28" s="62">
        <f t="shared" si="110"/>
        <v>1</v>
      </c>
      <c r="AW28" s="62">
        <f t="shared" si="110"/>
        <v>1</v>
      </c>
      <c r="AX28" s="62">
        <f t="shared" si="110"/>
        <v>1</v>
      </c>
      <c r="AY28" s="62">
        <f t="shared" si="110"/>
        <v>1</v>
      </c>
      <c r="AZ28" s="63">
        <f t="shared" si="110"/>
        <v>1</v>
      </c>
      <c r="BA28" s="37">
        <f t="shared" si="6"/>
        <v>48</v>
      </c>
      <c r="BB28" s="9">
        <f t="shared" si="7"/>
        <v>48</v>
      </c>
      <c r="BC28" s="10">
        <f t="shared" si="8"/>
        <v>100</v>
      </c>
    </row>
    <row r="29" spans="1:55" ht="15" customHeight="1" x14ac:dyDescent="0.35">
      <c r="A29" s="29">
        <v>820323205082</v>
      </c>
      <c r="B29" s="30" t="s">
        <v>39</v>
      </c>
      <c r="C29" s="13"/>
      <c r="D29" s="7"/>
      <c r="E29" s="61">
        <v>1</v>
      </c>
      <c r="F29" s="62">
        <f t="shared" ref="F29:L29" si="111">E29</f>
        <v>1</v>
      </c>
      <c r="G29" s="62">
        <f t="shared" si="111"/>
        <v>1</v>
      </c>
      <c r="H29" s="62">
        <f t="shared" si="111"/>
        <v>1</v>
      </c>
      <c r="I29" s="62">
        <f t="shared" si="111"/>
        <v>1</v>
      </c>
      <c r="J29" s="62">
        <f t="shared" si="111"/>
        <v>1</v>
      </c>
      <c r="K29" s="62">
        <f t="shared" si="111"/>
        <v>1</v>
      </c>
      <c r="L29" s="63">
        <f t="shared" si="111"/>
        <v>1</v>
      </c>
      <c r="M29" s="61">
        <v>1</v>
      </c>
      <c r="N29" s="62">
        <f t="shared" ref="N29:T29" si="112">M29</f>
        <v>1</v>
      </c>
      <c r="O29" s="62">
        <f t="shared" si="112"/>
        <v>1</v>
      </c>
      <c r="P29" s="62">
        <f t="shared" si="112"/>
        <v>1</v>
      </c>
      <c r="Q29" s="62">
        <f t="shared" si="112"/>
        <v>1</v>
      </c>
      <c r="R29" s="62">
        <f t="shared" si="112"/>
        <v>1</v>
      </c>
      <c r="S29" s="62">
        <f t="shared" si="112"/>
        <v>1</v>
      </c>
      <c r="T29" s="63">
        <f t="shared" si="112"/>
        <v>1</v>
      </c>
      <c r="U29" s="61">
        <v>1</v>
      </c>
      <c r="V29" s="62">
        <f t="shared" ref="V29:AB29" si="113">U29</f>
        <v>1</v>
      </c>
      <c r="W29" s="62">
        <f t="shared" si="113"/>
        <v>1</v>
      </c>
      <c r="X29" s="62">
        <f t="shared" si="113"/>
        <v>1</v>
      </c>
      <c r="Y29" s="62">
        <f t="shared" si="113"/>
        <v>1</v>
      </c>
      <c r="Z29" s="62">
        <f t="shared" si="113"/>
        <v>1</v>
      </c>
      <c r="AA29" s="62">
        <f t="shared" si="113"/>
        <v>1</v>
      </c>
      <c r="AB29" s="63">
        <f t="shared" si="113"/>
        <v>1</v>
      </c>
      <c r="AC29" s="61">
        <v>1</v>
      </c>
      <c r="AD29" s="62">
        <f t="shared" ref="AD29:AJ29" si="114">AC29</f>
        <v>1</v>
      </c>
      <c r="AE29" s="62">
        <f t="shared" si="114"/>
        <v>1</v>
      </c>
      <c r="AF29" s="62">
        <f t="shared" si="114"/>
        <v>1</v>
      </c>
      <c r="AG29" s="62">
        <f t="shared" si="114"/>
        <v>1</v>
      </c>
      <c r="AH29" s="62">
        <f t="shared" si="114"/>
        <v>1</v>
      </c>
      <c r="AI29" s="62">
        <f t="shared" si="114"/>
        <v>1</v>
      </c>
      <c r="AJ29" s="63">
        <f t="shared" si="114"/>
        <v>1</v>
      </c>
      <c r="AK29" s="61">
        <v>1</v>
      </c>
      <c r="AL29" s="62">
        <f t="shared" ref="AL29:AR29" si="115">AK29</f>
        <v>1</v>
      </c>
      <c r="AM29" s="62">
        <f t="shared" si="115"/>
        <v>1</v>
      </c>
      <c r="AN29" s="62">
        <f t="shared" si="115"/>
        <v>1</v>
      </c>
      <c r="AO29" s="62">
        <f t="shared" si="115"/>
        <v>1</v>
      </c>
      <c r="AP29" s="62">
        <f t="shared" si="115"/>
        <v>1</v>
      </c>
      <c r="AQ29" s="62">
        <f t="shared" si="115"/>
        <v>1</v>
      </c>
      <c r="AR29" s="63">
        <f t="shared" si="115"/>
        <v>1</v>
      </c>
      <c r="AS29" s="61">
        <v>1</v>
      </c>
      <c r="AT29" s="62">
        <f t="shared" ref="AT29:AZ29" si="116">AS29</f>
        <v>1</v>
      </c>
      <c r="AU29" s="62">
        <f t="shared" si="116"/>
        <v>1</v>
      </c>
      <c r="AV29" s="62">
        <f t="shared" si="116"/>
        <v>1</v>
      </c>
      <c r="AW29" s="62">
        <f t="shared" si="116"/>
        <v>1</v>
      </c>
      <c r="AX29" s="62">
        <f t="shared" si="116"/>
        <v>1</v>
      </c>
      <c r="AY29" s="62">
        <f t="shared" si="116"/>
        <v>1</v>
      </c>
      <c r="AZ29" s="63">
        <f t="shared" si="116"/>
        <v>1</v>
      </c>
      <c r="BA29" s="37">
        <f t="shared" si="6"/>
        <v>48</v>
      </c>
      <c r="BB29" s="9">
        <f t="shared" si="7"/>
        <v>48</v>
      </c>
      <c r="BC29" s="10">
        <f t="shared" si="8"/>
        <v>100</v>
      </c>
    </row>
    <row r="30" spans="1:55" ht="15" customHeight="1" x14ac:dyDescent="0.35">
      <c r="A30" s="29">
        <v>820323205083</v>
      </c>
      <c r="B30" s="30" t="s">
        <v>40</v>
      </c>
      <c r="C30" s="11"/>
      <c r="D30" s="7"/>
      <c r="E30" s="61">
        <v>1</v>
      </c>
      <c r="F30" s="62">
        <f t="shared" ref="F30:L30" si="117">E30</f>
        <v>1</v>
      </c>
      <c r="G30" s="62">
        <f t="shared" si="117"/>
        <v>1</v>
      </c>
      <c r="H30" s="62">
        <f t="shared" si="117"/>
        <v>1</v>
      </c>
      <c r="I30" s="62">
        <f t="shared" si="117"/>
        <v>1</v>
      </c>
      <c r="J30" s="62">
        <f t="shared" si="117"/>
        <v>1</v>
      </c>
      <c r="K30" s="62">
        <f t="shared" si="117"/>
        <v>1</v>
      </c>
      <c r="L30" s="63">
        <f t="shared" si="117"/>
        <v>1</v>
      </c>
      <c r="M30" s="61">
        <v>1</v>
      </c>
      <c r="N30" s="62">
        <f t="shared" ref="N30:T30" si="118">M30</f>
        <v>1</v>
      </c>
      <c r="O30" s="62">
        <f t="shared" si="118"/>
        <v>1</v>
      </c>
      <c r="P30" s="62">
        <f t="shared" si="118"/>
        <v>1</v>
      </c>
      <c r="Q30" s="62">
        <f t="shared" si="118"/>
        <v>1</v>
      </c>
      <c r="R30" s="62">
        <f t="shared" si="118"/>
        <v>1</v>
      </c>
      <c r="S30" s="62">
        <f t="shared" si="118"/>
        <v>1</v>
      </c>
      <c r="T30" s="63">
        <f t="shared" si="118"/>
        <v>1</v>
      </c>
      <c r="U30" s="61">
        <v>1</v>
      </c>
      <c r="V30" s="62">
        <f t="shared" ref="V30:AB30" si="119">U30</f>
        <v>1</v>
      </c>
      <c r="W30" s="62">
        <f t="shared" si="119"/>
        <v>1</v>
      </c>
      <c r="X30" s="62">
        <f t="shared" si="119"/>
        <v>1</v>
      </c>
      <c r="Y30" s="62">
        <f t="shared" si="119"/>
        <v>1</v>
      </c>
      <c r="Z30" s="62">
        <f t="shared" si="119"/>
        <v>1</v>
      </c>
      <c r="AA30" s="62">
        <f t="shared" si="119"/>
        <v>1</v>
      </c>
      <c r="AB30" s="63">
        <f t="shared" si="119"/>
        <v>1</v>
      </c>
      <c r="AC30" s="61">
        <v>1</v>
      </c>
      <c r="AD30" s="62">
        <f t="shared" ref="AD30:AJ30" si="120">AC30</f>
        <v>1</v>
      </c>
      <c r="AE30" s="62">
        <f t="shared" si="120"/>
        <v>1</v>
      </c>
      <c r="AF30" s="62">
        <f t="shared" si="120"/>
        <v>1</v>
      </c>
      <c r="AG30" s="62">
        <f t="shared" si="120"/>
        <v>1</v>
      </c>
      <c r="AH30" s="62">
        <f t="shared" si="120"/>
        <v>1</v>
      </c>
      <c r="AI30" s="62">
        <f t="shared" si="120"/>
        <v>1</v>
      </c>
      <c r="AJ30" s="63">
        <f t="shared" si="120"/>
        <v>1</v>
      </c>
      <c r="AK30" s="61">
        <v>1</v>
      </c>
      <c r="AL30" s="62">
        <f t="shared" ref="AL30:AR30" si="121">AK30</f>
        <v>1</v>
      </c>
      <c r="AM30" s="62">
        <f t="shared" si="121"/>
        <v>1</v>
      </c>
      <c r="AN30" s="62">
        <f t="shared" si="121"/>
        <v>1</v>
      </c>
      <c r="AO30" s="62">
        <f t="shared" si="121"/>
        <v>1</v>
      </c>
      <c r="AP30" s="62">
        <f t="shared" si="121"/>
        <v>1</v>
      </c>
      <c r="AQ30" s="62">
        <f t="shared" si="121"/>
        <v>1</v>
      </c>
      <c r="AR30" s="63">
        <f t="shared" si="121"/>
        <v>1</v>
      </c>
      <c r="AS30" s="61">
        <v>1</v>
      </c>
      <c r="AT30" s="62">
        <f t="shared" ref="AT30:AZ30" si="122">AS30</f>
        <v>1</v>
      </c>
      <c r="AU30" s="62">
        <f t="shared" si="122"/>
        <v>1</v>
      </c>
      <c r="AV30" s="62">
        <f t="shared" si="122"/>
        <v>1</v>
      </c>
      <c r="AW30" s="62">
        <f t="shared" si="122"/>
        <v>1</v>
      </c>
      <c r="AX30" s="62">
        <f t="shared" si="122"/>
        <v>1</v>
      </c>
      <c r="AY30" s="62">
        <f t="shared" si="122"/>
        <v>1</v>
      </c>
      <c r="AZ30" s="63">
        <f t="shared" si="122"/>
        <v>1</v>
      </c>
      <c r="BA30" s="37">
        <f t="shared" si="6"/>
        <v>48</v>
      </c>
      <c r="BB30" s="9">
        <f t="shared" si="7"/>
        <v>48</v>
      </c>
      <c r="BC30" s="10">
        <f t="shared" si="8"/>
        <v>100</v>
      </c>
    </row>
    <row r="31" spans="1:55" ht="15" customHeight="1" x14ac:dyDescent="0.35">
      <c r="A31" s="29">
        <v>820323205084</v>
      </c>
      <c r="B31" s="30" t="s">
        <v>41</v>
      </c>
      <c r="C31" s="11"/>
      <c r="D31" s="7"/>
      <c r="E31" s="61">
        <v>1</v>
      </c>
      <c r="F31" s="62">
        <f t="shared" ref="F31:L31" si="123">E31</f>
        <v>1</v>
      </c>
      <c r="G31" s="62">
        <f t="shared" si="123"/>
        <v>1</v>
      </c>
      <c r="H31" s="62">
        <f t="shared" si="123"/>
        <v>1</v>
      </c>
      <c r="I31" s="62">
        <f t="shared" si="123"/>
        <v>1</v>
      </c>
      <c r="J31" s="62">
        <f t="shared" si="123"/>
        <v>1</v>
      </c>
      <c r="K31" s="62">
        <f t="shared" si="123"/>
        <v>1</v>
      </c>
      <c r="L31" s="63">
        <f t="shared" si="123"/>
        <v>1</v>
      </c>
      <c r="M31" s="61">
        <v>1</v>
      </c>
      <c r="N31" s="62">
        <f t="shared" ref="N31:T31" si="124">M31</f>
        <v>1</v>
      </c>
      <c r="O31" s="62">
        <f t="shared" si="124"/>
        <v>1</v>
      </c>
      <c r="P31" s="62">
        <f t="shared" si="124"/>
        <v>1</v>
      </c>
      <c r="Q31" s="62">
        <f t="shared" si="124"/>
        <v>1</v>
      </c>
      <c r="R31" s="62">
        <f t="shared" si="124"/>
        <v>1</v>
      </c>
      <c r="S31" s="62">
        <f t="shared" si="124"/>
        <v>1</v>
      </c>
      <c r="T31" s="63">
        <f t="shared" si="124"/>
        <v>1</v>
      </c>
      <c r="U31" s="61">
        <v>1</v>
      </c>
      <c r="V31" s="62">
        <f t="shared" ref="V31:AB31" si="125">U31</f>
        <v>1</v>
      </c>
      <c r="W31" s="62">
        <f t="shared" si="125"/>
        <v>1</v>
      </c>
      <c r="X31" s="62">
        <f t="shared" si="125"/>
        <v>1</v>
      </c>
      <c r="Y31" s="62">
        <f t="shared" si="125"/>
        <v>1</v>
      </c>
      <c r="Z31" s="62">
        <f t="shared" si="125"/>
        <v>1</v>
      </c>
      <c r="AA31" s="62">
        <f t="shared" si="125"/>
        <v>1</v>
      </c>
      <c r="AB31" s="63">
        <f t="shared" si="125"/>
        <v>1</v>
      </c>
      <c r="AC31" s="61">
        <v>1</v>
      </c>
      <c r="AD31" s="62">
        <f t="shared" ref="AD31:AJ31" si="126">AC31</f>
        <v>1</v>
      </c>
      <c r="AE31" s="62">
        <f t="shared" si="126"/>
        <v>1</v>
      </c>
      <c r="AF31" s="62">
        <f t="shared" si="126"/>
        <v>1</v>
      </c>
      <c r="AG31" s="62">
        <f t="shared" si="126"/>
        <v>1</v>
      </c>
      <c r="AH31" s="62">
        <f t="shared" si="126"/>
        <v>1</v>
      </c>
      <c r="AI31" s="62">
        <f t="shared" si="126"/>
        <v>1</v>
      </c>
      <c r="AJ31" s="63">
        <f t="shared" si="126"/>
        <v>1</v>
      </c>
      <c r="AK31" s="61">
        <v>1</v>
      </c>
      <c r="AL31" s="62">
        <f t="shared" ref="AL31:AR31" si="127">AK31</f>
        <v>1</v>
      </c>
      <c r="AM31" s="62">
        <f t="shared" si="127"/>
        <v>1</v>
      </c>
      <c r="AN31" s="62">
        <f t="shared" si="127"/>
        <v>1</v>
      </c>
      <c r="AO31" s="62">
        <f t="shared" si="127"/>
        <v>1</v>
      </c>
      <c r="AP31" s="62">
        <f t="shared" si="127"/>
        <v>1</v>
      </c>
      <c r="AQ31" s="62">
        <f t="shared" si="127"/>
        <v>1</v>
      </c>
      <c r="AR31" s="63">
        <f t="shared" si="127"/>
        <v>1</v>
      </c>
      <c r="AS31" s="61">
        <v>1</v>
      </c>
      <c r="AT31" s="62">
        <f t="shared" ref="AT31:AZ31" si="128">AS31</f>
        <v>1</v>
      </c>
      <c r="AU31" s="62">
        <f t="shared" si="128"/>
        <v>1</v>
      </c>
      <c r="AV31" s="62">
        <f t="shared" si="128"/>
        <v>1</v>
      </c>
      <c r="AW31" s="62">
        <f t="shared" si="128"/>
        <v>1</v>
      </c>
      <c r="AX31" s="62">
        <f t="shared" si="128"/>
        <v>1</v>
      </c>
      <c r="AY31" s="62">
        <f t="shared" si="128"/>
        <v>1</v>
      </c>
      <c r="AZ31" s="63">
        <f t="shared" si="128"/>
        <v>1</v>
      </c>
      <c r="BA31" s="37">
        <f t="shared" si="6"/>
        <v>48</v>
      </c>
      <c r="BB31" s="9">
        <f t="shared" si="7"/>
        <v>48</v>
      </c>
      <c r="BC31" s="10">
        <f t="shared" si="8"/>
        <v>100</v>
      </c>
    </row>
    <row r="32" spans="1:55" ht="15" customHeight="1" x14ac:dyDescent="0.35">
      <c r="A32" s="29">
        <v>820323205085</v>
      </c>
      <c r="B32" s="30" t="s">
        <v>42</v>
      </c>
      <c r="C32" s="11"/>
      <c r="D32" s="7"/>
      <c r="E32" s="61">
        <v>1</v>
      </c>
      <c r="F32" s="62">
        <f t="shared" ref="F32:L32" si="129">E32</f>
        <v>1</v>
      </c>
      <c r="G32" s="62">
        <f t="shared" si="129"/>
        <v>1</v>
      </c>
      <c r="H32" s="62">
        <f t="shared" si="129"/>
        <v>1</v>
      </c>
      <c r="I32" s="62">
        <f t="shared" si="129"/>
        <v>1</v>
      </c>
      <c r="J32" s="62">
        <f t="shared" si="129"/>
        <v>1</v>
      </c>
      <c r="K32" s="62">
        <f t="shared" si="129"/>
        <v>1</v>
      </c>
      <c r="L32" s="63">
        <f t="shared" si="129"/>
        <v>1</v>
      </c>
      <c r="M32" s="61">
        <v>1</v>
      </c>
      <c r="N32" s="62">
        <f t="shared" ref="N32:T32" si="130">M32</f>
        <v>1</v>
      </c>
      <c r="O32" s="62">
        <f t="shared" si="130"/>
        <v>1</v>
      </c>
      <c r="P32" s="62">
        <f t="shared" si="130"/>
        <v>1</v>
      </c>
      <c r="Q32" s="62">
        <f t="shared" si="130"/>
        <v>1</v>
      </c>
      <c r="R32" s="62">
        <f t="shared" si="130"/>
        <v>1</v>
      </c>
      <c r="S32" s="62">
        <f t="shared" si="130"/>
        <v>1</v>
      </c>
      <c r="T32" s="63">
        <f t="shared" si="130"/>
        <v>1</v>
      </c>
      <c r="U32" s="61">
        <v>1</v>
      </c>
      <c r="V32" s="62">
        <f t="shared" ref="V32:AB32" si="131">U32</f>
        <v>1</v>
      </c>
      <c r="W32" s="62">
        <f t="shared" si="131"/>
        <v>1</v>
      </c>
      <c r="X32" s="62">
        <f t="shared" si="131"/>
        <v>1</v>
      </c>
      <c r="Y32" s="62">
        <f t="shared" si="131"/>
        <v>1</v>
      </c>
      <c r="Z32" s="62">
        <f t="shared" si="131"/>
        <v>1</v>
      </c>
      <c r="AA32" s="62">
        <f t="shared" si="131"/>
        <v>1</v>
      </c>
      <c r="AB32" s="63">
        <f t="shared" si="131"/>
        <v>1</v>
      </c>
      <c r="AC32" s="61">
        <v>1</v>
      </c>
      <c r="AD32" s="62">
        <f t="shared" ref="AD32:AJ32" si="132">AC32</f>
        <v>1</v>
      </c>
      <c r="AE32" s="62">
        <f t="shared" si="132"/>
        <v>1</v>
      </c>
      <c r="AF32" s="62">
        <f t="shared" si="132"/>
        <v>1</v>
      </c>
      <c r="AG32" s="62">
        <f t="shared" si="132"/>
        <v>1</v>
      </c>
      <c r="AH32" s="62">
        <f t="shared" si="132"/>
        <v>1</v>
      </c>
      <c r="AI32" s="62">
        <f t="shared" si="132"/>
        <v>1</v>
      </c>
      <c r="AJ32" s="63">
        <f t="shared" si="132"/>
        <v>1</v>
      </c>
      <c r="AK32" s="61">
        <v>1</v>
      </c>
      <c r="AL32" s="62">
        <f t="shared" ref="AL32:AR32" si="133">AK32</f>
        <v>1</v>
      </c>
      <c r="AM32" s="62">
        <f t="shared" si="133"/>
        <v>1</v>
      </c>
      <c r="AN32" s="62">
        <f t="shared" si="133"/>
        <v>1</v>
      </c>
      <c r="AO32" s="62">
        <f t="shared" si="133"/>
        <v>1</v>
      </c>
      <c r="AP32" s="62">
        <f t="shared" si="133"/>
        <v>1</v>
      </c>
      <c r="AQ32" s="62">
        <f t="shared" si="133"/>
        <v>1</v>
      </c>
      <c r="AR32" s="63">
        <f t="shared" si="133"/>
        <v>1</v>
      </c>
      <c r="AS32" s="61">
        <v>1</v>
      </c>
      <c r="AT32" s="62">
        <f t="shared" ref="AT32:AZ32" si="134">AS32</f>
        <v>1</v>
      </c>
      <c r="AU32" s="62">
        <f t="shared" si="134"/>
        <v>1</v>
      </c>
      <c r="AV32" s="62">
        <f t="shared" si="134"/>
        <v>1</v>
      </c>
      <c r="AW32" s="62">
        <f t="shared" si="134"/>
        <v>1</v>
      </c>
      <c r="AX32" s="62">
        <f t="shared" si="134"/>
        <v>1</v>
      </c>
      <c r="AY32" s="62">
        <f t="shared" si="134"/>
        <v>1</v>
      </c>
      <c r="AZ32" s="63">
        <f t="shared" si="134"/>
        <v>1</v>
      </c>
      <c r="BA32" s="37">
        <f t="shared" si="6"/>
        <v>48</v>
      </c>
      <c r="BB32" s="9">
        <f t="shared" si="7"/>
        <v>48</v>
      </c>
      <c r="BC32" s="10">
        <f t="shared" si="8"/>
        <v>100</v>
      </c>
    </row>
    <row r="33" spans="1:55" ht="15" customHeight="1" x14ac:dyDescent="0.35">
      <c r="A33" s="29">
        <v>820323205086</v>
      </c>
      <c r="B33" s="30" t="s">
        <v>43</v>
      </c>
      <c r="C33" s="11"/>
      <c r="D33" s="7"/>
      <c r="E33" s="61">
        <v>1</v>
      </c>
      <c r="F33" s="62">
        <f t="shared" ref="F33:L33" si="135">E33</f>
        <v>1</v>
      </c>
      <c r="G33" s="62">
        <f t="shared" si="135"/>
        <v>1</v>
      </c>
      <c r="H33" s="62">
        <f t="shared" si="135"/>
        <v>1</v>
      </c>
      <c r="I33" s="62">
        <f t="shared" si="135"/>
        <v>1</v>
      </c>
      <c r="J33" s="62">
        <f t="shared" si="135"/>
        <v>1</v>
      </c>
      <c r="K33" s="62">
        <f t="shared" si="135"/>
        <v>1</v>
      </c>
      <c r="L33" s="63">
        <f t="shared" si="135"/>
        <v>1</v>
      </c>
      <c r="M33" s="61">
        <v>1</v>
      </c>
      <c r="N33" s="62">
        <f t="shared" ref="N33:T33" si="136">M33</f>
        <v>1</v>
      </c>
      <c r="O33" s="62">
        <f t="shared" si="136"/>
        <v>1</v>
      </c>
      <c r="P33" s="62">
        <f t="shared" si="136"/>
        <v>1</v>
      </c>
      <c r="Q33" s="62">
        <f t="shared" si="136"/>
        <v>1</v>
      </c>
      <c r="R33" s="62">
        <f t="shared" si="136"/>
        <v>1</v>
      </c>
      <c r="S33" s="62">
        <f t="shared" si="136"/>
        <v>1</v>
      </c>
      <c r="T33" s="63">
        <f t="shared" si="136"/>
        <v>1</v>
      </c>
      <c r="U33" s="61">
        <v>1</v>
      </c>
      <c r="V33" s="62">
        <f t="shared" ref="V33:AB33" si="137">U33</f>
        <v>1</v>
      </c>
      <c r="W33" s="62">
        <f t="shared" si="137"/>
        <v>1</v>
      </c>
      <c r="X33" s="62">
        <f t="shared" si="137"/>
        <v>1</v>
      </c>
      <c r="Y33" s="62">
        <f t="shared" si="137"/>
        <v>1</v>
      </c>
      <c r="Z33" s="62">
        <f t="shared" si="137"/>
        <v>1</v>
      </c>
      <c r="AA33" s="62">
        <f t="shared" si="137"/>
        <v>1</v>
      </c>
      <c r="AB33" s="63">
        <f t="shared" si="137"/>
        <v>1</v>
      </c>
      <c r="AC33" s="61">
        <v>1</v>
      </c>
      <c r="AD33" s="62">
        <f t="shared" ref="AD33:AJ33" si="138">AC33</f>
        <v>1</v>
      </c>
      <c r="AE33" s="62">
        <f t="shared" si="138"/>
        <v>1</v>
      </c>
      <c r="AF33" s="62">
        <f t="shared" si="138"/>
        <v>1</v>
      </c>
      <c r="AG33" s="62">
        <f t="shared" si="138"/>
        <v>1</v>
      </c>
      <c r="AH33" s="62">
        <f t="shared" si="138"/>
        <v>1</v>
      </c>
      <c r="AI33" s="62">
        <f t="shared" si="138"/>
        <v>1</v>
      </c>
      <c r="AJ33" s="63">
        <f t="shared" si="138"/>
        <v>1</v>
      </c>
      <c r="AK33" s="61">
        <v>1</v>
      </c>
      <c r="AL33" s="62">
        <f t="shared" ref="AL33:AR33" si="139">AK33</f>
        <v>1</v>
      </c>
      <c r="AM33" s="62">
        <f t="shared" si="139"/>
        <v>1</v>
      </c>
      <c r="AN33" s="62">
        <f t="shared" si="139"/>
        <v>1</v>
      </c>
      <c r="AO33" s="62">
        <f t="shared" si="139"/>
        <v>1</v>
      </c>
      <c r="AP33" s="62">
        <f t="shared" si="139"/>
        <v>1</v>
      </c>
      <c r="AQ33" s="62">
        <f t="shared" si="139"/>
        <v>1</v>
      </c>
      <c r="AR33" s="63">
        <f t="shared" si="139"/>
        <v>1</v>
      </c>
      <c r="AS33" s="61">
        <v>1</v>
      </c>
      <c r="AT33" s="62">
        <f t="shared" ref="AT33:AZ33" si="140">AS33</f>
        <v>1</v>
      </c>
      <c r="AU33" s="62">
        <f t="shared" si="140"/>
        <v>1</v>
      </c>
      <c r="AV33" s="62">
        <f t="shared" si="140"/>
        <v>1</v>
      </c>
      <c r="AW33" s="62">
        <f t="shared" si="140"/>
        <v>1</v>
      </c>
      <c r="AX33" s="62">
        <f t="shared" si="140"/>
        <v>1</v>
      </c>
      <c r="AY33" s="62">
        <f t="shared" si="140"/>
        <v>1</v>
      </c>
      <c r="AZ33" s="63">
        <f t="shared" si="140"/>
        <v>1</v>
      </c>
      <c r="BA33" s="37">
        <f t="shared" si="6"/>
        <v>48</v>
      </c>
      <c r="BB33" s="9">
        <f t="shared" si="7"/>
        <v>48</v>
      </c>
      <c r="BC33" s="10">
        <f t="shared" si="8"/>
        <v>100</v>
      </c>
    </row>
    <row r="34" spans="1:55" ht="15" customHeight="1" x14ac:dyDescent="0.35">
      <c r="A34" s="29">
        <v>820323205087</v>
      </c>
      <c r="B34" s="30" t="s">
        <v>44</v>
      </c>
      <c r="C34" s="14"/>
      <c r="D34" s="7"/>
      <c r="E34" s="61">
        <v>1</v>
      </c>
      <c r="F34" s="62">
        <f t="shared" ref="F34:L34" si="141">E34</f>
        <v>1</v>
      </c>
      <c r="G34" s="62">
        <f t="shared" si="141"/>
        <v>1</v>
      </c>
      <c r="H34" s="62">
        <f t="shared" si="141"/>
        <v>1</v>
      </c>
      <c r="I34" s="62">
        <f t="shared" si="141"/>
        <v>1</v>
      </c>
      <c r="J34" s="62">
        <f t="shared" si="141"/>
        <v>1</v>
      </c>
      <c r="K34" s="62">
        <f t="shared" si="141"/>
        <v>1</v>
      </c>
      <c r="L34" s="63">
        <f t="shared" si="141"/>
        <v>1</v>
      </c>
      <c r="M34" s="61">
        <v>1</v>
      </c>
      <c r="N34" s="62">
        <f t="shared" ref="N34:T34" si="142">M34</f>
        <v>1</v>
      </c>
      <c r="O34" s="62">
        <f t="shared" si="142"/>
        <v>1</v>
      </c>
      <c r="P34" s="62">
        <f t="shared" si="142"/>
        <v>1</v>
      </c>
      <c r="Q34" s="62">
        <f t="shared" si="142"/>
        <v>1</v>
      </c>
      <c r="R34" s="62">
        <f t="shared" si="142"/>
        <v>1</v>
      </c>
      <c r="S34" s="62">
        <f t="shared" si="142"/>
        <v>1</v>
      </c>
      <c r="T34" s="63">
        <f t="shared" si="142"/>
        <v>1</v>
      </c>
      <c r="U34" s="61">
        <v>1</v>
      </c>
      <c r="V34" s="62">
        <f t="shared" ref="V34:AB34" si="143">U34</f>
        <v>1</v>
      </c>
      <c r="W34" s="62">
        <f t="shared" si="143"/>
        <v>1</v>
      </c>
      <c r="X34" s="62">
        <f t="shared" si="143"/>
        <v>1</v>
      </c>
      <c r="Y34" s="62">
        <f t="shared" si="143"/>
        <v>1</v>
      </c>
      <c r="Z34" s="62">
        <f t="shared" si="143"/>
        <v>1</v>
      </c>
      <c r="AA34" s="62">
        <f t="shared" si="143"/>
        <v>1</v>
      </c>
      <c r="AB34" s="63">
        <f t="shared" si="143"/>
        <v>1</v>
      </c>
      <c r="AC34" s="61">
        <v>1</v>
      </c>
      <c r="AD34" s="62">
        <f t="shared" ref="AD34:AJ34" si="144">AC34</f>
        <v>1</v>
      </c>
      <c r="AE34" s="62">
        <f t="shared" si="144"/>
        <v>1</v>
      </c>
      <c r="AF34" s="62">
        <f t="shared" si="144"/>
        <v>1</v>
      </c>
      <c r="AG34" s="62">
        <f t="shared" si="144"/>
        <v>1</v>
      </c>
      <c r="AH34" s="62">
        <f t="shared" si="144"/>
        <v>1</v>
      </c>
      <c r="AI34" s="62">
        <f t="shared" si="144"/>
        <v>1</v>
      </c>
      <c r="AJ34" s="63">
        <f t="shared" si="144"/>
        <v>1</v>
      </c>
      <c r="AK34" s="61">
        <v>1</v>
      </c>
      <c r="AL34" s="62">
        <f t="shared" ref="AL34:AR34" si="145">AK34</f>
        <v>1</v>
      </c>
      <c r="AM34" s="62">
        <f t="shared" si="145"/>
        <v>1</v>
      </c>
      <c r="AN34" s="62">
        <f t="shared" si="145"/>
        <v>1</v>
      </c>
      <c r="AO34" s="62">
        <f t="shared" si="145"/>
        <v>1</v>
      </c>
      <c r="AP34" s="62">
        <f t="shared" si="145"/>
        <v>1</v>
      </c>
      <c r="AQ34" s="62">
        <f t="shared" si="145"/>
        <v>1</v>
      </c>
      <c r="AR34" s="63">
        <f t="shared" si="145"/>
        <v>1</v>
      </c>
      <c r="AS34" s="61">
        <v>1</v>
      </c>
      <c r="AT34" s="62">
        <f t="shared" ref="AT34:AZ34" si="146">AS34</f>
        <v>1</v>
      </c>
      <c r="AU34" s="62">
        <f t="shared" si="146"/>
        <v>1</v>
      </c>
      <c r="AV34" s="62">
        <f t="shared" si="146"/>
        <v>1</v>
      </c>
      <c r="AW34" s="62">
        <f t="shared" si="146"/>
        <v>1</v>
      </c>
      <c r="AX34" s="62">
        <f t="shared" si="146"/>
        <v>1</v>
      </c>
      <c r="AY34" s="62">
        <f t="shared" si="146"/>
        <v>1</v>
      </c>
      <c r="AZ34" s="63">
        <f t="shared" si="146"/>
        <v>1</v>
      </c>
      <c r="BA34" s="37">
        <f t="shared" si="6"/>
        <v>48</v>
      </c>
      <c r="BB34" s="9">
        <f t="shared" si="7"/>
        <v>48</v>
      </c>
      <c r="BC34" s="10">
        <f t="shared" si="8"/>
        <v>100</v>
      </c>
    </row>
    <row r="35" spans="1:55" ht="15" customHeight="1" x14ac:dyDescent="0.35">
      <c r="A35" s="29">
        <v>820323205088</v>
      </c>
      <c r="B35" s="30" t="s">
        <v>45</v>
      </c>
      <c r="C35" s="14"/>
      <c r="D35" s="7"/>
      <c r="E35" s="61">
        <v>1</v>
      </c>
      <c r="F35" s="62">
        <f t="shared" ref="F35:L35" si="147">E35</f>
        <v>1</v>
      </c>
      <c r="G35" s="62">
        <f t="shared" si="147"/>
        <v>1</v>
      </c>
      <c r="H35" s="62">
        <f t="shared" si="147"/>
        <v>1</v>
      </c>
      <c r="I35" s="62">
        <f t="shared" si="147"/>
        <v>1</v>
      </c>
      <c r="J35" s="62">
        <f t="shared" si="147"/>
        <v>1</v>
      </c>
      <c r="K35" s="62">
        <f t="shared" si="147"/>
        <v>1</v>
      </c>
      <c r="L35" s="63">
        <f t="shared" si="147"/>
        <v>1</v>
      </c>
      <c r="M35" s="61">
        <v>1</v>
      </c>
      <c r="N35" s="62">
        <f t="shared" ref="N35:T35" si="148">M35</f>
        <v>1</v>
      </c>
      <c r="O35" s="62">
        <f t="shared" si="148"/>
        <v>1</v>
      </c>
      <c r="P35" s="62">
        <f t="shared" si="148"/>
        <v>1</v>
      </c>
      <c r="Q35" s="62">
        <f t="shared" si="148"/>
        <v>1</v>
      </c>
      <c r="R35" s="62">
        <f t="shared" si="148"/>
        <v>1</v>
      </c>
      <c r="S35" s="62">
        <f t="shared" si="148"/>
        <v>1</v>
      </c>
      <c r="T35" s="63">
        <f t="shared" si="148"/>
        <v>1</v>
      </c>
      <c r="U35" s="61">
        <v>1</v>
      </c>
      <c r="V35" s="62">
        <f t="shared" ref="V35:AB35" si="149">U35</f>
        <v>1</v>
      </c>
      <c r="W35" s="62">
        <f t="shared" si="149"/>
        <v>1</v>
      </c>
      <c r="X35" s="62">
        <f t="shared" si="149"/>
        <v>1</v>
      </c>
      <c r="Y35" s="62">
        <f t="shared" si="149"/>
        <v>1</v>
      </c>
      <c r="Z35" s="62">
        <f t="shared" si="149"/>
        <v>1</v>
      </c>
      <c r="AA35" s="62">
        <f t="shared" si="149"/>
        <v>1</v>
      </c>
      <c r="AB35" s="63">
        <f t="shared" si="149"/>
        <v>1</v>
      </c>
      <c r="AC35" s="61">
        <v>1</v>
      </c>
      <c r="AD35" s="62">
        <f t="shared" ref="AD35:AJ35" si="150">AC35</f>
        <v>1</v>
      </c>
      <c r="AE35" s="62">
        <f t="shared" si="150"/>
        <v>1</v>
      </c>
      <c r="AF35" s="62">
        <f t="shared" si="150"/>
        <v>1</v>
      </c>
      <c r="AG35" s="62">
        <f t="shared" si="150"/>
        <v>1</v>
      </c>
      <c r="AH35" s="62">
        <f t="shared" si="150"/>
        <v>1</v>
      </c>
      <c r="AI35" s="62">
        <f t="shared" si="150"/>
        <v>1</v>
      </c>
      <c r="AJ35" s="63">
        <f t="shared" si="150"/>
        <v>1</v>
      </c>
      <c r="AK35" s="61">
        <v>1</v>
      </c>
      <c r="AL35" s="62">
        <f t="shared" ref="AL35:AR35" si="151">AK35</f>
        <v>1</v>
      </c>
      <c r="AM35" s="62">
        <f t="shared" si="151"/>
        <v>1</v>
      </c>
      <c r="AN35" s="62">
        <f t="shared" si="151"/>
        <v>1</v>
      </c>
      <c r="AO35" s="62">
        <f t="shared" si="151"/>
        <v>1</v>
      </c>
      <c r="AP35" s="62">
        <f t="shared" si="151"/>
        <v>1</v>
      </c>
      <c r="AQ35" s="62">
        <f t="shared" si="151"/>
        <v>1</v>
      </c>
      <c r="AR35" s="63">
        <f t="shared" si="151"/>
        <v>1</v>
      </c>
      <c r="AS35" s="61">
        <v>1</v>
      </c>
      <c r="AT35" s="62">
        <f t="shared" ref="AT35:AZ35" si="152">AS35</f>
        <v>1</v>
      </c>
      <c r="AU35" s="62">
        <f t="shared" si="152"/>
        <v>1</v>
      </c>
      <c r="AV35" s="62">
        <f t="shared" si="152"/>
        <v>1</v>
      </c>
      <c r="AW35" s="62">
        <f t="shared" si="152"/>
        <v>1</v>
      </c>
      <c r="AX35" s="62">
        <f t="shared" si="152"/>
        <v>1</v>
      </c>
      <c r="AY35" s="62">
        <f t="shared" si="152"/>
        <v>1</v>
      </c>
      <c r="AZ35" s="63">
        <f t="shared" si="152"/>
        <v>1</v>
      </c>
      <c r="BA35" s="37">
        <f t="shared" si="6"/>
        <v>48</v>
      </c>
      <c r="BB35" s="9">
        <f t="shared" si="7"/>
        <v>48</v>
      </c>
      <c r="BC35" s="10">
        <f t="shared" si="8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/>
      <c r="E36" s="61">
        <v>1</v>
      </c>
      <c r="F36" s="62">
        <f t="shared" ref="F36:L36" si="153">E36</f>
        <v>1</v>
      </c>
      <c r="G36" s="62">
        <f t="shared" si="153"/>
        <v>1</v>
      </c>
      <c r="H36" s="62">
        <f t="shared" si="153"/>
        <v>1</v>
      </c>
      <c r="I36" s="62">
        <f t="shared" si="153"/>
        <v>1</v>
      </c>
      <c r="J36" s="62">
        <f t="shared" si="153"/>
        <v>1</v>
      </c>
      <c r="K36" s="62">
        <f t="shared" si="153"/>
        <v>1</v>
      </c>
      <c r="L36" s="63">
        <f t="shared" si="153"/>
        <v>1</v>
      </c>
      <c r="M36" s="61">
        <v>1</v>
      </c>
      <c r="N36" s="62">
        <f t="shared" ref="N36:T36" si="154">M36</f>
        <v>1</v>
      </c>
      <c r="O36" s="62">
        <f t="shared" si="154"/>
        <v>1</v>
      </c>
      <c r="P36" s="62">
        <f t="shared" si="154"/>
        <v>1</v>
      </c>
      <c r="Q36" s="62">
        <f t="shared" si="154"/>
        <v>1</v>
      </c>
      <c r="R36" s="62">
        <f t="shared" si="154"/>
        <v>1</v>
      </c>
      <c r="S36" s="62">
        <f t="shared" si="154"/>
        <v>1</v>
      </c>
      <c r="T36" s="63">
        <f t="shared" si="154"/>
        <v>1</v>
      </c>
      <c r="U36" s="61">
        <v>1</v>
      </c>
      <c r="V36" s="62">
        <f t="shared" ref="V36:AB36" si="155">U36</f>
        <v>1</v>
      </c>
      <c r="W36" s="62">
        <f t="shared" si="155"/>
        <v>1</v>
      </c>
      <c r="X36" s="62">
        <f t="shared" si="155"/>
        <v>1</v>
      </c>
      <c r="Y36" s="62">
        <f t="shared" si="155"/>
        <v>1</v>
      </c>
      <c r="Z36" s="62">
        <f t="shared" si="155"/>
        <v>1</v>
      </c>
      <c r="AA36" s="62">
        <f t="shared" si="155"/>
        <v>1</v>
      </c>
      <c r="AB36" s="63">
        <f t="shared" si="155"/>
        <v>1</v>
      </c>
      <c r="AC36" s="61">
        <v>1</v>
      </c>
      <c r="AD36" s="62">
        <f t="shared" ref="AD36:AJ36" si="156">AC36</f>
        <v>1</v>
      </c>
      <c r="AE36" s="62">
        <f t="shared" si="156"/>
        <v>1</v>
      </c>
      <c r="AF36" s="62">
        <f t="shared" si="156"/>
        <v>1</v>
      </c>
      <c r="AG36" s="62">
        <f t="shared" si="156"/>
        <v>1</v>
      </c>
      <c r="AH36" s="62">
        <f t="shared" si="156"/>
        <v>1</v>
      </c>
      <c r="AI36" s="62">
        <f t="shared" si="156"/>
        <v>1</v>
      </c>
      <c r="AJ36" s="63">
        <f t="shared" si="156"/>
        <v>1</v>
      </c>
      <c r="AK36" s="61">
        <v>1</v>
      </c>
      <c r="AL36" s="62">
        <f t="shared" ref="AL36:AR36" si="157">AK36</f>
        <v>1</v>
      </c>
      <c r="AM36" s="62">
        <f t="shared" si="157"/>
        <v>1</v>
      </c>
      <c r="AN36" s="62">
        <f t="shared" si="157"/>
        <v>1</v>
      </c>
      <c r="AO36" s="62">
        <f t="shared" si="157"/>
        <v>1</v>
      </c>
      <c r="AP36" s="62">
        <f t="shared" si="157"/>
        <v>1</v>
      </c>
      <c r="AQ36" s="62">
        <f t="shared" si="157"/>
        <v>1</v>
      </c>
      <c r="AR36" s="63">
        <f t="shared" si="157"/>
        <v>1</v>
      </c>
      <c r="AS36" s="61">
        <v>1</v>
      </c>
      <c r="AT36" s="62">
        <f t="shared" ref="AT36:AZ36" si="158">AS36</f>
        <v>1</v>
      </c>
      <c r="AU36" s="62">
        <f t="shared" si="158"/>
        <v>1</v>
      </c>
      <c r="AV36" s="62">
        <f t="shared" si="158"/>
        <v>1</v>
      </c>
      <c r="AW36" s="62">
        <f t="shared" si="158"/>
        <v>1</v>
      </c>
      <c r="AX36" s="62">
        <f t="shared" si="158"/>
        <v>1</v>
      </c>
      <c r="AY36" s="62">
        <f t="shared" si="158"/>
        <v>1</v>
      </c>
      <c r="AZ36" s="63">
        <f t="shared" si="158"/>
        <v>1</v>
      </c>
      <c r="BA36" s="37">
        <f t="shared" si="6"/>
        <v>48</v>
      </c>
      <c r="BB36" s="9">
        <f t="shared" si="7"/>
        <v>48</v>
      </c>
      <c r="BC36" s="10">
        <f t="shared" si="8"/>
        <v>100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/>
      <c r="E37" s="61">
        <v>1</v>
      </c>
      <c r="F37" s="62">
        <f t="shared" ref="F37:L37" si="159">E37</f>
        <v>1</v>
      </c>
      <c r="G37" s="62">
        <f t="shared" si="159"/>
        <v>1</v>
      </c>
      <c r="H37" s="62">
        <f t="shared" si="159"/>
        <v>1</v>
      </c>
      <c r="I37" s="62">
        <f t="shared" si="159"/>
        <v>1</v>
      </c>
      <c r="J37" s="62">
        <f t="shared" si="159"/>
        <v>1</v>
      </c>
      <c r="K37" s="62">
        <f t="shared" si="159"/>
        <v>1</v>
      </c>
      <c r="L37" s="63">
        <f t="shared" si="159"/>
        <v>1</v>
      </c>
      <c r="M37" s="61">
        <v>1</v>
      </c>
      <c r="N37" s="62">
        <f t="shared" ref="N37:T37" si="160">M37</f>
        <v>1</v>
      </c>
      <c r="O37" s="62">
        <f t="shared" si="160"/>
        <v>1</v>
      </c>
      <c r="P37" s="62">
        <f t="shared" si="160"/>
        <v>1</v>
      </c>
      <c r="Q37" s="62">
        <f t="shared" si="160"/>
        <v>1</v>
      </c>
      <c r="R37" s="62">
        <f t="shared" si="160"/>
        <v>1</v>
      </c>
      <c r="S37" s="62">
        <f t="shared" si="160"/>
        <v>1</v>
      </c>
      <c r="T37" s="63">
        <f t="shared" si="160"/>
        <v>1</v>
      </c>
      <c r="U37" s="61">
        <v>1</v>
      </c>
      <c r="V37" s="62">
        <f t="shared" ref="V37:AB37" si="161">U37</f>
        <v>1</v>
      </c>
      <c r="W37" s="62">
        <f t="shared" si="161"/>
        <v>1</v>
      </c>
      <c r="X37" s="62">
        <f t="shared" si="161"/>
        <v>1</v>
      </c>
      <c r="Y37" s="62">
        <f t="shared" si="161"/>
        <v>1</v>
      </c>
      <c r="Z37" s="62">
        <f t="shared" si="161"/>
        <v>1</v>
      </c>
      <c r="AA37" s="62">
        <f t="shared" si="161"/>
        <v>1</v>
      </c>
      <c r="AB37" s="63">
        <f t="shared" si="161"/>
        <v>1</v>
      </c>
      <c r="AC37" s="61">
        <v>1</v>
      </c>
      <c r="AD37" s="62">
        <f t="shared" ref="AD37:AJ37" si="162">AC37</f>
        <v>1</v>
      </c>
      <c r="AE37" s="62">
        <f t="shared" si="162"/>
        <v>1</v>
      </c>
      <c r="AF37" s="62">
        <f t="shared" si="162"/>
        <v>1</v>
      </c>
      <c r="AG37" s="62">
        <f t="shared" si="162"/>
        <v>1</v>
      </c>
      <c r="AH37" s="62">
        <f t="shared" si="162"/>
        <v>1</v>
      </c>
      <c r="AI37" s="62">
        <f t="shared" si="162"/>
        <v>1</v>
      </c>
      <c r="AJ37" s="63">
        <f t="shared" si="162"/>
        <v>1</v>
      </c>
      <c r="AK37" s="61">
        <v>1</v>
      </c>
      <c r="AL37" s="62">
        <f t="shared" ref="AL37:AR37" si="163">AK37</f>
        <v>1</v>
      </c>
      <c r="AM37" s="62">
        <f t="shared" si="163"/>
        <v>1</v>
      </c>
      <c r="AN37" s="62">
        <f t="shared" si="163"/>
        <v>1</v>
      </c>
      <c r="AO37" s="62">
        <f t="shared" si="163"/>
        <v>1</v>
      </c>
      <c r="AP37" s="62">
        <f t="shared" si="163"/>
        <v>1</v>
      </c>
      <c r="AQ37" s="62">
        <f t="shared" si="163"/>
        <v>1</v>
      </c>
      <c r="AR37" s="63">
        <f t="shared" si="163"/>
        <v>1</v>
      </c>
      <c r="AS37" s="61">
        <v>1</v>
      </c>
      <c r="AT37" s="62">
        <f t="shared" ref="AT37:AZ37" si="164">AS37</f>
        <v>1</v>
      </c>
      <c r="AU37" s="62">
        <f t="shared" si="164"/>
        <v>1</v>
      </c>
      <c r="AV37" s="62">
        <f t="shared" si="164"/>
        <v>1</v>
      </c>
      <c r="AW37" s="62">
        <f t="shared" si="164"/>
        <v>1</v>
      </c>
      <c r="AX37" s="62">
        <f t="shared" si="164"/>
        <v>1</v>
      </c>
      <c r="AY37" s="62">
        <f t="shared" si="164"/>
        <v>1</v>
      </c>
      <c r="AZ37" s="63">
        <f t="shared" si="164"/>
        <v>1</v>
      </c>
      <c r="BA37" s="38">
        <f t="shared" si="6"/>
        <v>48</v>
      </c>
      <c r="BB37" s="9">
        <f t="shared" si="7"/>
        <v>48</v>
      </c>
      <c r="BC37" s="10">
        <f t="shared" si="8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/>
      <c r="E38" s="61">
        <v>1</v>
      </c>
      <c r="F38" s="62">
        <f t="shared" ref="F38:L38" si="165">E38</f>
        <v>1</v>
      </c>
      <c r="G38" s="62">
        <f t="shared" si="165"/>
        <v>1</v>
      </c>
      <c r="H38" s="62">
        <f t="shared" si="165"/>
        <v>1</v>
      </c>
      <c r="I38" s="62">
        <f t="shared" si="165"/>
        <v>1</v>
      </c>
      <c r="J38" s="62">
        <f t="shared" si="165"/>
        <v>1</v>
      </c>
      <c r="K38" s="62">
        <f t="shared" si="165"/>
        <v>1</v>
      </c>
      <c r="L38" s="63">
        <f t="shared" si="165"/>
        <v>1</v>
      </c>
      <c r="M38" s="61">
        <v>1</v>
      </c>
      <c r="N38" s="62">
        <f t="shared" ref="N38:T38" si="166">M38</f>
        <v>1</v>
      </c>
      <c r="O38" s="62">
        <f t="shared" si="166"/>
        <v>1</v>
      </c>
      <c r="P38" s="62">
        <f t="shared" si="166"/>
        <v>1</v>
      </c>
      <c r="Q38" s="62">
        <f t="shared" si="166"/>
        <v>1</v>
      </c>
      <c r="R38" s="62">
        <f t="shared" si="166"/>
        <v>1</v>
      </c>
      <c r="S38" s="62">
        <f t="shared" si="166"/>
        <v>1</v>
      </c>
      <c r="T38" s="63">
        <f t="shared" si="166"/>
        <v>1</v>
      </c>
      <c r="U38" s="61">
        <v>1</v>
      </c>
      <c r="V38" s="62">
        <f t="shared" ref="V38:AB38" si="167">U38</f>
        <v>1</v>
      </c>
      <c r="W38" s="62">
        <f t="shared" si="167"/>
        <v>1</v>
      </c>
      <c r="X38" s="62">
        <f t="shared" si="167"/>
        <v>1</v>
      </c>
      <c r="Y38" s="62">
        <f t="shared" si="167"/>
        <v>1</v>
      </c>
      <c r="Z38" s="62">
        <f t="shared" si="167"/>
        <v>1</v>
      </c>
      <c r="AA38" s="62">
        <f t="shared" si="167"/>
        <v>1</v>
      </c>
      <c r="AB38" s="63">
        <f t="shared" si="167"/>
        <v>1</v>
      </c>
      <c r="AC38" s="61">
        <v>1</v>
      </c>
      <c r="AD38" s="62">
        <f t="shared" ref="AD38:AJ38" si="168">AC38</f>
        <v>1</v>
      </c>
      <c r="AE38" s="62">
        <f t="shared" si="168"/>
        <v>1</v>
      </c>
      <c r="AF38" s="62">
        <f t="shared" si="168"/>
        <v>1</v>
      </c>
      <c r="AG38" s="62">
        <f t="shared" si="168"/>
        <v>1</v>
      </c>
      <c r="AH38" s="62">
        <f t="shared" si="168"/>
        <v>1</v>
      </c>
      <c r="AI38" s="62">
        <f t="shared" si="168"/>
        <v>1</v>
      </c>
      <c r="AJ38" s="63">
        <f t="shared" si="168"/>
        <v>1</v>
      </c>
      <c r="AK38" s="61">
        <v>1</v>
      </c>
      <c r="AL38" s="62">
        <f t="shared" ref="AL38:AR38" si="169">AK38</f>
        <v>1</v>
      </c>
      <c r="AM38" s="62">
        <f t="shared" si="169"/>
        <v>1</v>
      </c>
      <c r="AN38" s="62">
        <f t="shared" si="169"/>
        <v>1</v>
      </c>
      <c r="AO38" s="62">
        <f t="shared" si="169"/>
        <v>1</v>
      </c>
      <c r="AP38" s="62">
        <f t="shared" si="169"/>
        <v>1</v>
      </c>
      <c r="AQ38" s="62">
        <f t="shared" si="169"/>
        <v>1</v>
      </c>
      <c r="AR38" s="63">
        <f t="shared" si="169"/>
        <v>1</v>
      </c>
      <c r="AS38" s="61">
        <v>1</v>
      </c>
      <c r="AT38" s="62">
        <f t="shared" ref="AT38:AZ38" si="170">AS38</f>
        <v>1</v>
      </c>
      <c r="AU38" s="62">
        <f t="shared" si="170"/>
        <v>1</v>
      </c>
      <c r="AV38" s="62">
        <f t="shared" si="170"/>
        <v>1</v>
      </c>
      <c r="AW38" s="62">
        <f t="shared" si="170"/>
        <v>1</v>
      </c>
      <c r="AX38" s="62">
        <f t="shared" si="170"/>
        <v>1</v>
      </c>
      <c r="AY38" s="62">
        <f t="shared" si="170"/>
        <v>1</v>
      </c>
      <c r="AZ38" s="63">
        <f t="shared" si="170"/>
        <v>1</v>
      </c>
      <c r="BA38" s="36">
        <f>SUM(E38:AZ38)</f>
        <v>48</v>
      </c>
      <c r="BB38" s="9">
        <f t="shared" si="7"/>
        <v>48</v>
      </c>
      <c r="BC38" s="10">
        <f t="shared" si="8"/>
        <v>100</v>
      </c>
    </row>
    <row r="39" spans="1:55" ht="15" customHeight="1" x14ac:dyDescent="0.35">
      <c r="A39" s="29">
        <v>820323205092</v>
      </c>
      <c r="B39" s="30" t="s">
        <v>49</v>
      </c>
      <c r="C39" s="11"/>
      <c r="D39" s="46"/>
      <c r="E39" s="61">
        <v>1</v>
      </c>
      <c r="F39" s="62">
        <f t="shared" ref="F39:L39" si="171">E39</f>
        <v>1</v>
      </c>
      <c r="G39" s="62">
        <f t="shared" si="171"/>
        <v>1</v>
      </c>
      <c r="H39" s="62">
        <f t="shared" si="171"/>
        <v>1</v>
      </c>
      <c r="I39" s="62">
        <f t="shared" si="171"/>
        <v>1</v>
      </c>
      <c r="J39" s="62">
        <f t="shared" si="171"/>
        <v>1</v>
      </c>
      <c r="K39" s="62">
        <f t="shared" si="171"/>
        <v>1</v>
      </c>
      <c r="L39" s="63">
        <f t="shared" si="171"/>
        <v>1</v>
      </c>
      <c r="M39" s="61">
        <v>1</v>
      </c>
      <c r="N39" s="62">
        <f t="shared" ref="N39:T39" si="172">M39</f>
        <v>1</v>
      </c>
      <c r="O39" s="62">
        <f t="shared" si="172"/>
        <v>1</v>
      </c>
      <c r="P39" s="62">
        <f t="shared" si="172"/>
        <v>1</v>
      </c>
      <c r="Q39" s="62">
        <f t="shared" si="172"/>
        <v>1</v>
      </c>
      <c r="R39" s="62">
        <f t="shared" si="172"/>
        <v>1</v>
      </c>
      <c r="S39" s="62">
        <f t="shared" si="172"/>
        <v>1</v>
      </c>
      <c r="T39" s="63">
        <f t="shared" si="172"/>
        <v>1</v>
      </c>
      <c r="U39" s="61">
        <v>1</v>
      </c>
      <c r="V39" s="62">
        <f t="shared" ref="V39:AB39" si="173">U39</f>
        <v>1</v>
      </c>
      <c r="W39" s="62">
        <f t="shared" si="173"/>
        <v>1</v>
      </c>
      <c r="X39" s="62">
        <f t="shared" si="173"/>
        <v>1</v>
      </c>
      <c r="Y39" s="62">
        <f t="shared" si="173"/>
        <v>1</v>
      </c>
      <c r="Z39" s="62">
        <f t="shared" si="173"/>
        <v>1</v>
      </c>
      <c r="AA39" s="62">
        <f t="shared" si="173"/>
        <v>1</v>
      </c>
      <c r="AB39" s="63">
        <f t="shared" si="173"/>
        <v>1</v>
      </c>
      <c r="AC39" s="61">
        <v>1</v>
      </c>
      <c r="AD39" s="62">
        <f t="shared" ref="AD39:AJ39" si="174">AC39</f>
        <v>1</v>
      </c>
      <c r="AE39" s="62">
        <f t="shared" si="174"/>
        <v>1</v>
      </c>
      <c r="AF39" s="62">
        <f t="shared" si="174"/>
        <v>1</v>
      </c>
      <c r="AG39" s="62">
        <f t="shared" si="174"/>
        <v>1</v>
      </c>
      <c r="AH39" s="62">
        <f t="shared" si="174"/>
        <v>1</v>
      </c>
      <c r="AI39" s="62">
        <f t="shared" si="174"/>
        <v>1</v>
      </c>
      <c r="AJ39" s="63">
        <f t="shared" si="174"/>
        <v>1</v>
      </c>
      <c r="AK39" s="61">
        <v>1</v>
      </c>
      <c r="AL39" s="62">
        <f t="shared" ref="AL39:AR39" si="175">AK39</f>
        <v>1</v>
      </c>
      <c r="AM39" s="62">
        <f t="shared" si="175"/>
        <v>1</v>
      </c>
      <c r="AN39" s="62">
        <f t="shared" si="175"/>
        <v>1</v>
      </c>
      <c r="AO39" s="62">
        <f t="shared" si="175"/>
        <v>1</v>
      </c>
      <c r="AP39" s="62">
        <f t="shared" si="175"/>
        <v>1</v>
      </c>
      <c r="AQ39" s="62">
        <f t="shared" si="175"/>
        <v>1</v>
      </c>
      <c r="AR39" s="63">
        <f t="shared" si="175"/>
        <v>1</v>
      </c>
      <c r="AS39" s="61">
        <v>1</v>
      </c>
      <c r="AT39" s="62">
        <f t="shared" ref="AT39:AZ39" si="176">AS39</f>
        <v>1</v>
      </c>
      <c r="AU39" s="62">
        <f t="shared" si="176"/>
        <v>1</v>
      </c>
      <c r="AV39" s="62">
        <f t="shared" si="176"/>
        <v>1</v>
      </c>
      <c r="AW39" s="62">
        <f t="shared" si="176"/>
        <v>1</v>
      </c>
      <c r="AX39" s="62">
        <f t="shared" si="176"/>
        <v>1</v>
      </c>
      <c r="AY39" s="62">
        <f t="shared" si="176"/>
        <v>1</v>
      </c>
      <c r="AZ39" s="63">
        <f t="shared" si="176"/>
        <v>1</v>
      </c>
      <c r="BA39" s="37">
        <f t="shared" ref="BA39:BA73" si="177">SUM(E39:AZ39)</f>
        <v>48</v>
      </c>
      <c r="BB39" s="9">
        <f t="shared" si="7"/>
        <v>48</v>
      </c>
      <c r="BC39" s="10">
        <f t="shared" si="8"/>
        <v>100</v>
      </c>
    </row>
    <row r="40" spans="1:55" ht="15" customHeight="1" x14ac:dyDescent="0.35">
      <c r="A40" s="29">
        <v>820323205093</v>
      </c>
      <c r="B40" s="30" t="s">
        <v>50</v>
      </c>
      <c r="C40" s="11"/>
      <c r="D40" s="46"/>
      <c r="E40" s="61">
        <v>1</v>
      </c>
      <c r="F40" s="62">
        <f t="shared" ref="F40:L40" si="178">E40</f>
        <v>1</v>
      </c>
      <c r="G40" s="62">
        <f t="shared" si="178"/>
        <v>1</v>
      </c>
      <c r="H40" s="62">
        <f t="shared" si="178"/>
        <v>1</v>
      </c>
      <c r="I40" s="62">
        <f t="shared" si="178"/>
        <v>1</v>
      </c>
      <c r="J40" s="62">
        <f t="shared" si="178"/>
        <v>1</v>
      </c>
      <c r="K40" s="62">
        <f t="shared" si="178"/>
        <v>1</v>
      </c>
      <c r="L40" s="63">
        <f t="shared" si="178"/>
        <v>1</v>
      </c>
      <c r="M40" s="61">
        <v>1</v>
      </c>
      <c r="N40" s="62">
        <f t="shared" ref="N40:T40" si="179">M40</f>
        <v>1</v>
      </c>
      <c r="O40" s="62">
        <f t="shared" si="179"/>
        <v>1</v>
      </c>
      <c r="P40" s="62">
        <f t="shared" si="179"/>
        <v>1</v>
      </c>
      <c r="Q40" s="62">
        <f t="shared" si="179"/>
        <v>1</v>
      </c>
      <c r="R40" s="62">
        <f t="shared" si="179"/>
        <v>1</v>
      </c>
      <c r="S40" s="62">
        <f t="shared" si="179"/>
        <v>1</v>
      </c>
      <c r="T40" s="63">
        <f t="shared" si="179"/>
        <v>1</v>
      </c>
      <c r="U40" s="61">
        <v>1</v>
      </c>
      <c r="V40" s="62">
        <f t="shared" ref="V40:AB40" si="180">U40</f>
        <v>1</v>
      </c>
      <c r="W40" s="62">
        <f t="shared" si="180"/>
        <v>1</v>
      </c>
      <c r="X40" s="62">
        <f t="shared" si="180"/>
        <v>1</v>
      </c>
      <c r="Y40" s="62">
        <f t="shared" si="180"/>
        <v>1</v>
      </c>
      <c r="Z40" s="62">
        <f t="shared" si="180"/>
        <v>1</v>
      </c>
      <c r="AA40" s="62">
        <f t="shared" si="180"/>
        <v>1</v>
      </c>
      <c r="AB40" s="63">
        <f t="shared" si="180"/>
        <v>1</v>
      </c>
      <c r="AC40" s="61">
        <v>1</v>
      </c>
      <c r="AD40" s="62">
        <f t="shared" ref="AD40:AJ40" si="181">AC40</f>
        <v>1</v>
      </c>
      <c r="AE40" s="62">
        <f t="shared" si="181"/>
        <v>1</v>
      </c>
      <c r="AF40" s="62">
        <f t="shared" si="181"/>
        <v>1</v>
      </c>
      <c r="AG40" s="62">
        <f t="shared" si="181"/>
        <v>1</v>
      </c>
      <c r="AH40" s="62">
        <f t="shared" si="181"/>
        <v>1</v>
      </c>
      <c r="AI40" s="62">
        <f t="shared" si="181"/>
        <v>1</v>
      </c>
      <c r="AJ40" s="63">
        <f t="shared" si="181"/>
        <v>1</v>
      </c>
      <c r="AK40" s="61">
        <v>1</v>
      </c>
      <c r="AL40" s="62">
        <f t="shared" ref="AL40:AR40" si="182">AK40</f>
        <v>1</v>
      </c>
      <c r="AM40" s="62">
        <f t="shared" si="182"/>
        <v>1</v>
      </c>
      <c r="AN40" s="62">
        <f t="shared" si="182"/>
        <v>1</v>
      </c>
      <c r="AO40" s="62">
        <f t="shared" si="182"/>
        <v>1</v>
      </c>
      <c r="AP40" s="62">
        <f t="shared" si="182"/>
        <v>1</v>
      </c>
      <c r="AQ40" s="62">
        <f t="shared" si="182"/>
        <v>1</v>
      </c>
      <c r="AR40" s="63">
        <f t="shared" si="182"/>
        <v>1</v>
      </c>
      <c r="AS40" s="61">
        <v>1</v>
      </c>
      <c r="AT40" s="62">
        <f t="shared" ref="AT40:AZ40" si="183">AS40</f>
        <v>1</v>
      </c>
      <c r="AU40" s="62">
        <f t="shared" si="183"/>
        <v>1</v>
      </c>
      <c r="AV40" s="62">
        <f t="shared" si="183"/>
        <v>1</v>
      </c>
      <c r="AW40" s="62">
        <f t="shared" si="183"/>
        <v>1</v>
      </c>
      <c r="AX40" s="62">
        <f t="shared" si="183"/>
        <v>1</v>
      </c>
      <c r="AY40" s="62">
        <f t="shared" si="183"/>
        <v>1</v>
      </c>
      <c r="AZ40" s="63">
        <f t="shared" si="183"/>
        <v>1</v>
      </c>
      <c r="BA40" s="37">
        <f t="shared" si="177"/>
        <v>48</v>
      </c>
      <c r="BB40" s="9">
        <f t="shared" si="7"/>
        <v>48</v>
      </c>
      <c r="BC40" s="10">
        <f t="shared" si="8"/>
        <v>100</v>
      </c>
    </row>
    <row r="41" spans="1:55" ht="15" customHeight="1" x14ac:dyDescent="0.35">
      <c r="A41" s="29">
        <v>820323205094</v>
      </c>
      <c r="B41" s="30" t="s">
        <v>51</v>
      </c>
      <c r="C41" s="11"/>
      <c r="D41" s="46"/>
      <c r="E41" s="61">
        <v>1</v>
      </c>
      <c r="F41" s="62">
        <f t="shared" ref="F41:L41" si="184">E41</f>
        <v>1</v>
      </c>
      <c r="G41" s="62">
        <f t="shared" si="184"/>
        <v>1</v>
      </c>
      <c r="H41" s="62">
        <f t="shared" si="184"/>
        <v>1</v>
      </c>
      <c r="I41" s="62">
        <f t="shared" si="184"/>
        <v>1</v>
      </c>
      <c r="J41" s="62">
        <f t="shared" si="184"/>
        <v>1</v>
      </c>
      <c r="K41" s="62">
        <f t="shared" si="184"/>
        <v>1</v>
      </c>
      <c r="L41" s="63">
        <f t="shared" si="184"/>
        <v>1</v>
      </c>
      <c r="M41" s="61">
        <v>1</v>
      </c>
      <c r="N41" s="62">
        <f t="shared" ref="N41:T41" si="185">M41</f>
        <v>1</v>
      </c>
      <c r="O41" s="62">
        <f t="shared" si="185"/>
        <v>1</v>
      </c>
      <c r="P41" s="62">
        <f t="shared" si="185"/>
        <v>1</v>
      </c>
      <c r="Q41" s="62">
        <f t="shared" si="185"/>
        <v>1</v>
      </c>
      <c r="R41" s="62">
        <f t="shared" si="185"/>
        <v>1</v>
      </c>
      <c r="S41" s="62">
        <f t="shared" si="185"/>
        <v>1</v>
      </c>
      <c r="T41" s="63">
        <f t="shared" si="185"/>
        <v>1</v>
      </c>
      <c r="U41" s="61">
        <v>1</v>
      </c>
      <c r="V41" s="62">
        <f t="shared" ref="V41:AB41" si="186">U41</f>
        <v>1</v>
      </c>
      <c r="W41" s="62">
        <f t="shared" si="186"/>
        <v>1</v>
      </c>
      <c r="X41" s="62">
        <f t="shared" si="186"/>
        <v>1</v>
      </c>
      <c r="Y41" s="62">
        <f t="shared" si="186"/>
        <v>1</v>
      </c>
      <c r="Z41" s="62">
        <f t="shared" si="186"/>
        <v>1</v>
      </c>
      <c r="AA41" s="62">
        <f t="shared" si="186"/>
        <v>1</v>
      </c>
      <c r="AB41" s="63">
        <f t="shared" si="186"/>
        <v>1</v>
      </c>
      <c r="AC41" s="61">
        <v>1</v>
      </c>
      <c r="AD41" s="62">
        <f t="shared" ref="AD41:AJ41" si="187">AC41</f>
        <v>1</v>
      </c>
      <c r="AE41" s="62">
        <f t="shared" si="187"/>
        <v>1</v>
      </c>
      <c r="AF41" s="62">
        <f t="shared" si="187"/>
        <v>1</v>
      </c>
      <c r="AG41" s="62">
        <f t="shared" si="187"/>
        <v>1</v>
      </c>
      <c r="AH41" s="62">
        <f t="shared" si="187"/>
        <v>1</v>
      </c>
      <c r="AI41" s="62">
        <f t="shared" si="187"/>
        <v>1</v>
      </c>
      <c r="AJ41" s="63">
        <f t="shared" si="187"/>
        <v>1</v>
      </c>
      <c r="AK41" s="61">
        <v>1</v>
      </c>
      <c r="AL41" s="62">
        <f t="shared" ref="AL41:AR41" si="188">AK41</f>
        <v>1</v>
      </c>
      <c r="AM41" s="62">
        <f t="shared" si="188"/>
        <v>1</v>
      </c>
      <c r="AN41" s="62">
        <f t="shared" si="188"/>
        <v>1</v>
      </c>
      <c r="AO41" s="62">
        <f t="shared" si="188"/>
        <v>1</v>
      </c>
      <c r="AP41" s="62">
        <f t="shared" si="188"/>
        <v>1</v>
      </c>
      <c r="AQ41" s="62">
        <f t="shared" si="188"/>
        <v>1</v>
      </c>
      <c r="AR41" s="63">
        <f t="shared" si="188"/>
        <v>1</v>
      </c>
      <c r="AS41" s="61">
        <v>1</v>
      </c>
      <c r="AT41" s="62">
        <f t="shared" ref="AT41:AZ41" si="189">AS41</f>
        <v>1</v>
      </c>
      <c r="AU41" s="62">
        <f t="shared" si="189"/>
        <v>1</v>
      </c>
      <c r="AV41" s="62">
        <f t="shared" si="189"/>
        <v>1</v>
      </c>
      <c r="AW41" s="62">
        <f t="shared" si="189"/>
        <v>1</v>
      </c>
      <c r="AX41" s="62">
        <f t="shared" si="189"/>
        <v>1</v>
      </c>
      <c r="AY41" s="62">
        <f t="shared" si="189"/>
        <v>1</v>
      </c>
      <c r="AZ41" s="63">
        <f t="shared" si="189"/>
        <v>1</v>
      </c>
      <c r="BA41" s="37">
        <f t="shared" si="177"/>
        <v>48</v>
      </c>
      <c r="BB41" s="9">
        <f t="shared" si="7"/>
        <v>48</v>
      </c>
      <c r="BC41" s="10">
        <f t="shared" si="8"/>
        <v>100</v>
      </c>
    </row>
    <row r="42" spans="1:55" ht="15" customHeight="1" x14ac:dyDescent="0.35">
      <c r="A42" s="29">
        <v>820323205095</v>
      </c>
      <c r="B42" s="30" t="s">
        <v>52</v>
      </c>
      <c r="C42" s="11"/>
      <c r="D42" s="46"/>
      <c r="E42" s="61">
        <v>1</v>
      </c>
      <c r="F42" s="62">
        <f t="shared" ref="F42:L42" si="190">E42</f>
        <v>1</v>
      </c>
      <c r="G42" s="62">
        <f t="shared" si="190"/>
        <v>1</v>
      </c>
      <c r="H42" s="62">
        <f t="shared" si="190"/>
        <v>1</v>
      </c>
      <c r="I42" s="62">
        <f t="shared" si="190"/>
        <v>1</v>
      </c>
      <c r="J42" s="62">
        <f t="shared" si="190"/>
        <v>1</v>
      </c>
      <c r="K42" s="62">
        <f t="shared" si="190"/>
        <v>1</v>
      </c>
      <c r="L42" s="63">
        <f t="shared" si="190"/>
        <v>1</v>
      </c>
      <c r="M42" s="61">
        <v>1</v>
      </c>
      <c r="N42" s="62">
        <f t="shared" ref="N42:T42" si="191">M42</f>
        <v>1</v>
      </c>
      <c r="O42" s="62">
        <f t="shared" si="191"/>
        <v>1</v>
      </c>
      <c r="P42" s="62">
        <f t="shared" si="191"/>
        <v>1</v>
      </c>
      <c r="Q42" s="62">
        <f t="shared" si="191"/>
        <v>1</v>
      </c>
      <c r="R42" s="62">
        <f t="shared" si="191"/>
        <v>1</v>
      </c>
      <c r="S42" s="62">
        <f t="shared" si="191"/>
        <v>1</v>
      </c>
      <c r="T42" s="63">
        <f t="shared" si="191"/>
        <v>1</v>
      </c>
      <c r="U42" s="61">
        <v>1</v>
      </c>
      <c r="V42" s="62">
        <f t="shared" ref="V42:AB42" si="192">U42</f>
        <v>1</v>
      </c>
      <c r="W42" s="62">
        <f t="shared" si="192"/>
        <v>1</v>
      </c>
      <c r="X42" s="62">
        <f t="shared" si="192"/>
        <v>1</v>
      </c>
      <c r="Y42" s="62">
        <f t="shared" si="192"/>
        <v>1</v>
      </c>
      <c r="Z42" s="62">
        <f t="shared" si="192"/>
        <v>1</v>
      </c>
      <c r="AA42" s="62">
        <f t="shared" si="192"/>
        <v>1</v>
      </c>
      <c r="AB42" s="63">
        <f t="shared" si="192"/>
        <v>1</v>
      </c>
      <c r="AC42" s="61">
        <v>1</v>
      </c>
      <c r="AD42" s="62">
        <f t="shared" ref="AD42:AJ42" si="193">AC42</f>
        <v>1</v>
      </c>
      <c r="AE42" s="62">
        <f t="shared" si="193"/>
        <v>1</v>
      </c>
      <c r="AF42" s="62">
        <f t="shared" si="193"/>
        <v>1</v>
      </c>
      <c r="AG42" s="62">
        <f t="shared" si="193"/>
        <v>1</v>
      </c>
      <c r="AH42" s="62">
        <f t="shared" si="193"/>
        <v>1</v>
      </c>
      <c r="AI42" s="62">
        <f t="shared" si="193"/>
        <v>1</v>
      </c>
      <c r="AJ42" s="63">
        <f t="shared" si="193"/>
        <v>1</v>
      </c>
      <c r="AK42" s="61">
        <v>1</v>
      </c>
      <c r="AL42" s="62">
        <f t="shared" ref="AL42:AR42" si="194">AK42</f>
        <v>1</v>
      </c>
      <c r="AM42" s="62">
        <f t="shared" si="194"/>
        <v>1</v>
      </c>
      <c r="AN42" s="62">
        <f t="shared" si="194"/>
        <v>1</v>
      </c>
      <c r="AO42" s="62">
        <f t="shared" si="194"/>
        <v>1</v>
      </c>
      <c r="AP42" s="62">
        <f t="shared" si="194"/>
        <v>1</v>
      </c>
      <c r="AQ42" s="62">
        <f t="shared" si="194"/>
        <v>1</v>
      </c>
      <c r="AR42" s="63">
        <f t="shared" si="194"/>
        <v>1</v>
      </c>
      <c r="AS42" s="61">
        <v>1</v>
      </c>
      <c r="AT42" s="62">
        <f t="shared" ref="AT42:AZ42" si="195">AS42</f>
        <v>1</v>
      </c>
      <c r="AU42" s="62">
        <f t="shared" si="195"/>
        <v>1</v>
      </c>
      <c r="AV42" s="62">
        <f t="shared" si="195"/>
        <v>1</v>
      </c>
      <c r="AW42" s="62">
        <f t="shared" si="195"/>
        <v>1</v>
      </c>
      <c r="AX42" s="62">
        <f t="shared" si="195"/>
        <v>1</v>
      </c>
      <c r="AY42" s="62">
        <f t="shared" si="195"/>
        <v>1</v>
      </c>
      <c r="AZ42" s="63">
        <f t="shared" si="195"/>
        <v>1</v>
      </c>
      <c r="BA42" s="37">
        <f t="shared" si="177"/>
        <v>48</v>
      </c>
      <c r="BB42" s="9">
        <f t="shared" si="7"/>
        <v>48</v>
      </c>
      <c r="BC42" s="10">
        <f t="shared" si="8"/>
        <v>100</v>
      </c>
    </row>
    <row r="43" spans="1:55" ht="15" customHeight="1" x14ac:dyDescent="0.35">
      <c r="A43" s="29">
        <v>820323205096</v>
      </c>
      <c r="B43" s="30" t="s">
        <v>53</v>
      </c>
      <c r="C43" s="11"/>
      <c r="D43" s="46"/>
      <c r="E43" s="61">
        <v>1</v>
      </c>
      <c r="F43" s="62">
        <f t="shared" ref="F43:L43" si="196">E43</f>
        <v>1</v>
      </c>
      <c r="G43" s="62">
        <f t="shared" si="196"/>
        <v>1</v>
      </c>
      <c r="H43" s="62">
        <f t="shared" si="196"/>
        <v>1</v>
      </c>
      <c r="I43" s="62">
        <f t="shared" si="196"/>
        <v>1</v>
      </c>
      <c r="J43" s="62">
        <f t="shared" si="196"/>
        <v>1</v>
      </c>
      <c r="K43" s="62">
        <f t="shared" si="196"/>
        <v>1</v>
      </c>
      <c r="L43" s="63">
        <f t="shared" si="196"/>
        <v>1</v>
      </c>
      <c r="M43" s="61">
        <v>1</v>
      </c>
      <c r="N43" s="62">
        <f t="shared" ref="N43:T43" si="197">M43</f>
        <v>1</v>
      </c>
      <c r="O43" s="62">
        <f t="shared" si="197"/>
        <v>1</v>
      </c>
      <c r="P43" s="62">
        <f t="shared" si="197"/>
        <v>1</v>
      </c>
      <c r="Q43" s="62">
        <f t="shared" si="197"/>
        <v>1</v>
      </c>
      <c r="R43" s="62">
        <f t="shared" si="197"/>
        <v>1</v>
      </c>
      <c r="S43" s="62">
        <f t="shared" si="197"/>
        <v>1</v>
      </c>
      <c r="T43" s="63">
        <f t="shared" si="197"/>
        <v>1</v>
      </c>
      <c r="U43" s="61">
        <v>1</v>
      </c>
      <c r="V43" s="62">
        <f t="shared" ref="V43:AB43" si="198">U43</f>
        <v>1</v>
      </c>
      <c r="W43" s="62">
        <f t="shared" si="198"/>
        <v>1</v>
      </c>
      <c r="X43" s="62">
        <f t="shared" si="198"/>
        <v>1</v>
      </c>
      <c r="Y43" s="62">
        <f t="shared" si="198"/>
        <v>1</v>
      </c>
      <c r="Z43" s="62">
        <f t="shared" si="198"/>
        <v>1</v>
      </c>
      <c r="AA43" s="62">
        <f t="shared" si="198"/>
        <v>1</v>
      </c>
      <c r="AB43" s="63">
        <f t="shared" si="198"/>
        <v>1</v>
      </c>
      <c r="AC43" s="61">
        <v>1</v>
      </c>
      <c r="AD43" s="62">
        <f t="shared" ref="AD43:AJ43" si="199">AC43</f>
        <v>1</v>
      </c>
      <c r="AE43" s="62">
        <f t="shared" si="199"/>
        <v>1</v>
      </c>
      <c r="AF43" s="62">
        <f t="shared" si="199"/>
        <v>1</v>
      </c>
      <c r="AG43" s="62">
        <f t="shared" si="199"/>
        <v>1</v>
      </c>
      <c r="AH43" s="62">
        <f t="shared" si="199"/>
        <v>1</v>
      </c>
      <c r="AI43" s="62">
        <f t="shared" si="199"/>
        <v>1</v>
      </c>
      <c r="AJ43" s="63">
        <f t="shared" si="199"/>
        <v>1</v>
      </c>
      <c r="AK43" s="61">
        <v>1</v>
      </c>
      <c r="AL43" s="62">
        <f t="shared" ref="AL43:AR43" si="200">AK43</f>
        <v>1</v>
      </c>
      <c r="AM43" s="62">
        <f t="shared" si="200"/>
        <v>1</v>
      </c>
      <c r="AN43" s="62">
        <f t="shared" si="200"/>
        <v>1</v>
      </c>
      <c r="AO43" s="62">
        <f t="shared" si="200"/>
        <v>1</v>
      </c>
      <c r="AP43" s="62">
        <f t="shared" si="200"/>
        <v>1</v>
      </c>
      <c r="AQ43" s="62">
        <f t="shared" si="200"/>
        <v>1</v>
      </c>
      <c r="AR43" s="63">
        <f t="shared" si="200"/>
        <v>1</v>
      </c>
      <c r="AS43" s="61">
        <v>1</v>
      </c>
      <c r="AT43" s="62">
        <f t="shared" ref="AT43:AZ43" si="201">AS43</f>
        <v>1</v>
      </c>
      <c r="AU43" s="62">
        <f t="shared" si="201"/>
        <v>1</v>
      </c>
      <c r="AV43" s="62">
        <f t="shared" si="201"/>
        <v>1</v>
      </c>
      <c r="AW43" s="62">
        <f t="shared" si="201"/>
        <v>1</v>
      </c>
      <c r="AX43" s="62">
        <f t="shared" si="201"/>
        <v>1</v>
      </c>
      <c r="AY43" s="62">
        <f t="shared" si="201"/>
        <v>1</v>
      </c>
      <c r="AZ43" s="63">
        <f t="shared" si="201"/>
        <v>1</v>
      </c>
      <c r="BA43" s="37">
        <f t="shared" si="177"/>
        <v>48</v>
      </c>
      <c r="BB43" s="9">
        <f t="shared" si="7"/>
        <v>48</v>
      </c>
      <c r="BC43" s="10">
        <f t="shared" si="8"/>
        <v>100</v>
      </c>
    </row>
    <row r="44" spans="1:55" ht="15" customHeight="1" x14ac:dyDescent="0.35">
      <c r="A44" s="29">
        <v>820323205097</v>
      </c>
      <c r="B44" s="30" t="s">
        <v>54</v>
      </c>
      <c r="C44" s="11"/>
      <c r="D44" s="46"/>
      <c r="E44" s="61">
        <v>1</v>
      </c>
      <c r="F44" s="62">
        <f t="shared" ref="F44:L44" si="202">E44</f>
        <v>1</v>
      </c>
      <c r="G44" s="62">
        <f t="shared" si="202"/>
        <v>1</v>
      </c>
      <c r="H44" s="62">
        <f t="shared" si="202"/>
        <v>1</v>
      </c>
      <c r="I44" s="62">
        <f t="shared" si="202"/>
        <v>1</v>
      </c>
      <c r="J44" s="62">
        <f t="shared" si="202"/>
        <v>1</v>
      </c>
      <c r="K44" s="62">
        <f t="shared" si="202"/>
        <v>1</v>
      </c>
      <c r="L44" s="63">
        <f t="shared" si="202"/>
        <v>1</v>
      </c>
      <c r="M44" s="61">
        <v>1</v>
      </c>
      <c r="N44" s="62">
        <f t="shared" ref="N44:T44" si="203">M44</f>
        <v>1</v>
      </c>
      <c r="O44" s="62">
        <f t="shared" si="203"/>
        <v>1</v>
      </c>
      <c r="P44" s="62">
        <f t="shared" si="203"/>
        <v>1</v>
      </c>
      <c r="Q44" s="62">
        <f t="shared" si="203"/>
        <v>1</v>
      </c>
      <c r="R44" s="62">
        <f t="shared" si="203"/>
        <v>1</v>
      </c>
      <c r="S44" s="62">
        <f t="shared" si="203"/>
        <v>1</v>
      </c>
      <c r="T44" s="63">
        <f t="shared" si="203"/>
        <v>1</v>
      </c>
      <c r="U44" s="61">
        <v>1</v>
      </c>
      <c r="V44" s="62">
        <f t="shared" ref="V44:AB44" si="204">U44</f>
        <v>1</v>
      </c>
      <c r="W44" s="62">
        <f t="shared" si="204"/>
        <v>1</v>
      </c>
      <c r="X44" s="62">
        <f t="shared" si="204"/>
        <v>1</v>
      </c>
      <c r="Y44" s="62">
        <f t="shared" si="204"/>
        <v>1</v>
      </c>
      <c r="Z44" s="62">
        <f t="shared" si="204"/>
        <v>1</v>
      </c>
      <c r="AA44" s="62">
        <f t="shared" si="204"/>
        <v>1</v>
      </c>
      <c r="AB44" s="63">
        <f t="shared" si="204"/>
        <v>1</v>
      </c>
      <c r="AC44" s="61">
        <v>1</v>
      </c>
      <c r="AD44" s="62">
        <f t="shared" ref="AD44:AJ44" si="205">AC44</f>
        <v>1</v>
      </c>
      <c r="AE44" s="62">
        <f t="shared" si="205"/>
        <v>1</v>
      </c>
      <c r="AF44" s="62">
        <f t="shared" si="205"/>
        <v>1</v>
      </c>
      <c r="AG44" s="62">
        <f t="shared" si="205"/>
        <v>1</v>
      </c>
      <c r="AH44" s="62">
        <f t="shared" si="205"/>
        <v>1</v>
      </c>
      <c r="AI44" s="62">
        <f t="shared" si="205"/>
        <v>1</v>
      </c>
      <c r="AJ44" s="63">
        <f t="shared" si="205"/>
        <v>1</v>
      </c>
      <c r="AK44" s="61">
        <v>1</v>
      </c>
      <c r="AL44" s="62">
        <f t="shared" ref="AL44:AR44" si="206">AK44</f>
        <v>1</v>
      </c>
      <c r="AM44" s="62">
        <f t="shared" si="206"/>
        <v>1</v>
      </c>
      <c r="AN44" s="62">
        <f t="shared" si="206"/>
        <v>1</v>
      </c>
      <c r="AO44" s="62">
        <f t="shared" si="206"/>
        <v>1</v>
      </c>
      <c r="AP44" s="62">
        <f t="shared" si="206"/>
        <v>1</v>
      </c>
      <c r="AQ44" s="62">
        <f t="shared" si="206"/>
        <v>1</v>
      </c>
      <c r="AR44" s="63">
        <f t="shared" si="206"/>
        <v>1</v>
      </c>
      <c r="AS44" s="61">
        <v>1</v>
      </c>
      <c r="AT44" s="62">
        <f t="shared" ref="AT44:AZ44" si="207">AS44</f>
        <v>1</v>
      </c>
      <c r="AU44" s="62">
        <f t="shared" si="207"/>
        <v>1</v>
      </c>
      <c r="AV44" s="62">
        <f t="shared" si="207"/>
        <v>1</v>
      </c>
      <c r="AW44" s="62">
        <f t="shared" si="207"/>
        <v>1</v>
      </c>
      <c r="AX44" s="62">
        <f t="shared" si="207"/>
        <v>1</v>
      </c>
      <c r="AY44" s="62">
        <f t="shared" si="207"/>
        <v>1</v>
      </c>
      <c r="AZ44" s="63">
        <f t="shared" si="207"/>
        <v>1</v>
      </c>
      <c r="BA44" s="37">
        <f t="shared" si="177"/>
        <v>48</v>
      </c>
      <c r="BB44" s="9">
        <f t="shared" si="7"/>
        <v>48</v>
      </c>
      <c r="BC44" s="10">
        <f t="shared" si="8"/>
        <v>100</v>
      </c>
    </row>
    <row r="45" spans="1:55" ht="15" customHeight="1" x14ac:dyDescent="0.35">
      <c r="A45" s="29">
        <v>820323205098</v>
      </c>
      <c r="B45" s="30" t="s">
        <v>55</v>
      </c>
      <c r="C45" s="11"/>
      <c r="D45" s="46"/>
      <c r="E45" s="61">
        <v>1</v>
      </c>
      <c r="F45" s="62">
        <f t="shared" ref="F45:L45" si="208">E45</f>
        <v>1</v>
      </c>
      <c r="G45" s="62">
        <f t="shared" si="208"/>
        <v>1</v>
      </c>
      <c r="H45" s="62">
        <f t="shared" si="208"/>
        <v>1</v>
      </c>
      <c r="I45" s="62">
        <f t="shared" si="208"/>
        <v>1</v>
      </c>
      <c r="J45" s="62">
        <f t="shared" si="208"/>
        <v>1</v>
      </c>
      <c r="K45" s="62">
        <f t="shared" si="208"/>
        <v>1</v>
      </c>
      <c r="L45" s="63">
        <f t="shared" si="208"/>
        <v>1</v>
      </c>
      <c r="M45" s="61">
        <v>1</v>
      </c>
      <c r="N45" s="62">
        <f t="shared" ref="N45:T45" si="209">M45</f>
        <v>1</v>
      </c>
      <c r="O45" s="62">
        <f t="shared" si="209"/>
        <v>1</v>
      </c>
      <c r="P45" s="62">
        <f t="shared" si="209"/>
        <v>1</v>
      </c>
      <c r="Q45" s="62">
        <f t="shared" si="209"/>
        <v>1</v>
      </c>
      <c r="R45" s="62">
        <f t="shared" si="209"/>
        <v>1</v>
      </c>
      <c r="S45" s="62">
        <f t="shared" si="209"/>
        <v>1</v>
      </c>
      <c r="T45" s="63">
        <f t="shared" si="209"/>
        <v>1</v>
      </c>
      <c r="U45" s="61">
        <v>1</v>
      </c>
      <c r="V45" s="62">
        <f t="shared" ref="V45:AB45" si="210">U45</f>
        <v>1</v>
      </c>
      <c r="W45" s="62">
        <f t="shared" si="210"/>
        <v>1</v>
      </c>
      <c r="X45" s="62">
        <f t="shared" si="210"/>
        <v>1</v>
      </c>
      <c r="Y45" s="62">
        <f t="shared" si="210"/>
        <v>1</v>
      </c>
      <c r="Z45" s="62">
        <f t="shared" si="210"/>
        <v>1</v>
      </c>
      <c r="AA45" s="62">
        <f t="shared" si="210"/>
        <v>1</v>
      </c>
      <c r="AB45" s="63">
        <f t="shared" si="210"/>
        <v>1</v>
      </c>
      <c r="AC45" s="61">
        <v>1</v>
      </c>
      <c r="AD45" s="62">
        <f t="shared" ref="AD45:AJ45" si="211">AC45</f>
        <v>1</v>
      </c>
      <c r="AE45" s="62">
        <f t="shared" si="211"/>
        <v>1</v>
      </c>
      <c r="AF45" s="62">
        <f t="shared" si="211"/>
        <v>1</v>
      </c>
      <c r="AG45" s="62">
        <f t="shared" si="211"/>
        <v>1</v>
      </c>
      <c r="AH45" s="62">
        <f t="shared" si="211"/>
        <v>1</v>
      </c>
      <c r="AI45" s="62">
        <f t="shared" si="211"/>
        <v>1</v>
      </c>
      <c r="AJ45" s="63">
        <f t="shared" si="211"/>
        <v>1</v>
      </c>
      <c r="AK45" s="61">
        <v>1</v>
      </c>
      <c r="AL45" s="62">
        <f t="shared" ref="AL45:AR45" si="212">AK45</f>
        <v>1</v>
      </c>
      <c r="AM45" s="62">
        <f t="shared" si="212"/>
        <v>1</v>
      </c>
      <c r="AN45" s="62">
        <f t="shared" si="212"/>
        <v>1</v>
      </c>
      <c r="AO45" s="62">
        <f t="shared" si="212"/>
        <v>1</v>
      </c>
      <c r="AP45" s="62">
        <f t="shared" si="212"/>
        <v>1</v>
      </c>
      <c r="AQ45" s="62">
        <f t="shared" si="212"/>
        <v>1</v>
      </c>
      <c r="AR45" s="63">
        <f t="shared" si="212"/>
        <v>1</v>
      </c>
      <c r="AS45" s="61">
        <v>1</v>
      </c>
      <c r="AT45" s="62">
        <f t="shared" ref="AT45:AZ45" si="213">AS45</f>
        <v>1</v>
      </c>
      <c r="AU45" s="62">
        <f t="shared" si="213"/>
        <v>1</v>
      </c>
      <c r="AV45" s="62">
        <f t="shared" si="213"/>
        <v>1</v>
      </c>
      <c r="AW45" s="62">
        <f t="shared" si="213"/>
        <v>1</v>
      </c>
      <c r="AX45" s="62">
        <f t="shared" si="213"/>
        <v>1</v>
      </c>
      <c r="AY45" s="62">
        <f t="shared" si="213"/>
        <v>1</v>
      </c>
      <c r="AZ45" s="63">
        <f t="shared" si="213"/>
        <v>1</v>
      </c>
      <c r="BA45" s="37">
        <f t="shared" si="177"/>
        <v>48</v>
      </c>
      <c r="BB45" s="9">
        <f t="shared" si="7"/>
        <v>48</v>
      </c>
      <c r="BC45" s="10">
        <f t="shared" si="8"/>
        <v>100</v>
      </c>
    </row>
    <row r="46" spans="1:55" ht="15" customHeight="1" x14ac:dyDescent="0.35">
      <c r="A46" s="29">
        <v>820323205099</v>
      </c>
      <c r="B46" s="30" t="s">
        <v>56</v>
      </c>
      <c r="C46" s="11"/>
      <c r="D46" s="46"/>
      <c r="E46" s="61">
        <v>1</v>
      </c>
      <c r="F46" s="62">
        <f t="shared" ref="F46:L46" si="214">E46</f>
        <v>1</v>
      </c>
      <c r="G46" s="62">
        <f t="shared" si="214"/>
        <v>1</v>
      </c>
      <c r="H46" s="62">
        <f t="shared" si="214"/>
        <v>1</v>
      </c>
      <c r="I46" s="62">
        <f t="shared" si="214"/>
        <v>1</v>
      </c>
      <c r="J46" s="62">
        <f t="shared" si="214"/>
        <v>1</v>
      </c>
      <c r="K46" s="62">
        <f t="shared" si="214"/>
        <v>1</v>
      </c>
      <c r="L46" s="63">
        <f t="shared" si="214"/>
        <v>1</v>
      </c>
      <c r="M46" s="61">
        <v>1</v>
      </c>
      <c r="N46" s="62">
        <f t="shared" ref="N46:T46" si="215">M46</f>
        <v>1</v>
      </c>
      <c r="O46" s="62">
        <f t="shared" si="215"/>
        <v>1</v>
      </c>
      <c r="P46" s="62">
        <f t="shared" si="215"/>
        <v>1</v>
      </c>
      <c r="Q46" s="62">
        <f t="shared" si="215"/>
        <v>1</v>
      </c>
      <c r="R46" s="62">
        <f t="shared" si="215"/>
        <v>1</v>
      </c>
      <c r="S46" s="62">
        <f t="shared" si="215"/>
        <v>1</v>
      </c>
      <c r="T46" s="63">
        <f t="shared" si="215"/>
        <v>1</v>
      </c>
      <c r="U46" s="61">
        <v>1</v>
      </c>
      <c r="V46" s="62">
        <f t="shared" ref="V46:AB46" si="216">U46</f>
        <v>1</v>
      </c>
      <c r="W46" s="62">
        <f t="shared" si="216"/>
        <v>1</v>
      </c>
      <c r="X46" s="62">
        <f t="shared" si="216"/>
        <v>1</v>
      </c>
      <c r="Y46" s="62">
        <f t="shared" si="216"/>
        <v>1</v>
      </c>
      <c r="Z46" s="62">
        <f t="shared" si="216"/>
        <v>1</v>
      </c>
      <c r="AA46" s="62">
        <f t="shared" si="216"/>
        <v>1</v>
      </c>
      <c r="AB46" s="63">
        <f t="shared" si="216"/>
        <v>1</v>
      </c>
      <c r="AC46" s="61">
        <v>1</v>
      </c>
      <c r="AD46" s="62">
        <f t="shared" ref="AD46:AJ46" si="217">AC46</f>
        <v>1</v>
      </c>
      <c r="AE46" s="62">
        <f t="shared" si="217"/>
        <v>1</v>
      </c>
      <c r="AF46" s="62">
        <f t="shared" si="217"/>
        <v>1</v>
      </c>
      <c r="AG46" s="62">
        <f t="shared" si="217"/>
        <v>1</v>
      </c>
      <c r="AH46" s="62">
        <f t="shared" si="217"/>
        <v>1</v>
      </c>
      <c r="AI46" s="62">
        <f t="shared" si="217"/>
        <v>1</v>
      </c>
      <c r="AJ46" s="63">
        <f t="shared" si="217"/>
        <v>1</v>
      </c>
      <c r="AK46" s="61">
        <v>1</v>
      </c>
      <c r="AL46" s="62">
        <f t="shared" ref="AL46:AR46" si="218">AK46</f>
        <v>1</v>
      </c>
      <c r="AM46" s="62">
        <f t="shared" si="218"/>
        <v>1</v>
      </c>
      <c r="AN46" s="62">
        <f t="shared" si="218"/>
        <v>1</v>
      </c>
      <c r="AO46" s="62">
        <f t="shared" si="218"/>
        <v>1</v>
      </c>
      <c r="AP46" s="62">
        <f t="shared" si="218"/>
        <v>1</v>
      </c>
      <c r="AQ46" s="62">
        <f t="shared" si="218"/>
        <v>1</v>
      </c>
      <c r="AR46" s="63">
        <f t="shared" si="218"/>
        <v>1</v>
      </c>
      <c r="AS46" s="61">
        <v>1</v>
      </c>
      <c r="AT46" s="62">
        <f t="shared" ref="AT46:AZ46" si="219">AS46</f>
        <v>1</v>
      </c>
      <c r="AU46" s="62">
        <f t="shared" si="219"/>
        <v>1</v>
      </c>
      <c r="AV46" s="62">
        <f t="shared" si="219"/>
        <v>1</v>
      </c>
      <c r="AW46" s="62">
        <f t="shared" si="219"/>
        <v>1</v>
      </c>
      <c r="AX46" s="62">
        <f t="shared" si="219"/>
        <v>1</v>
      </c>
      <c r="AY46" s="62">
        <f t="shared" si="219"/>
        <v>1</v>
      </c>
      <c r="AZ46" s="63">
        <f t="shared" si="219"/>
        <v>1</v>
      </c>
      <c r="BA46" s="37">
        <f t="shared" si="177"/>
        <v>48</v>
      </c>
      <c r="BB46" s="9">
        <f t="shared" si="7"/>
        <v>48</v>
      </c>
      <c r="BC46" s="10">
        <f t="shared" si="8"/>
        <v>100</v>
      </c>
    </row>
    <row r="47" spans="1:55" ht="15" customHeight="1" x14ac:dyDescent="0.35">
      <c r="A47" s="29">
        <v>820323205100</v>
      </c>
      <c r="B47" s="30" t="s">
        <v>57</v>
      </c>
      <c r="C47" s="11"/>
      <c r="D47" s="46"/>
      <c r="E47" s="61">
        <v>1</v>
      </c>
      <c r="F47" s="62">
        <f t="shared" ref="F47:L47" si="220">E47</f>
        <v>1</v>
      </c>
      <c r="G47" s="62">
        <f t="shared" si="220"/>
        <v>1</v>
      </c>
      <c r="H47" s="62">
        <f t="shared" si="220"/>
        <v>1</v>
      </c>
      <c r="I47" s="62">
        <f t="shared" si="220"/>
        <v>1</v>
      </c>
      <c r="J47" s="62">
        <f t="shared" si="220"/>
        <v>1</v>
      </c>
      <c r="K47" s="62">
        <f t="shared" si="220"/>
        <v>1</v>
      </c>
      <c r="L47" s="63">
        <f t="shared" si="220"/>
        <v>1</v>
      </c>
      <c r="M47" s="61">
        <v>1</v>
      </c>
      <c r="N47" s="62">
        <f t="shared" ref="N47:T47" si="221">M47</f>
        <v>1</v>
      </c>
      <c r="O47" s="62">
        <f t="shared" si="221"/>
        <v>1</v>
      </c>
      <c r="P47" s="62">
        <f t="shared" si="221"/>
        <v>1</v>
      </c>
      <c r="Q47" s="62">
        <f t="shared" si="221"/>
        <v>1</v>
      </c>
      <c r="R47" s="62">
        <f t="shared" si="221"/>
        <v>1</v>
      </c>
      <c r="S47" s="62">
        <f t="shared" si="221"/>
        <v>1</v>
      </c>
      <c r="T47" s="63">
        <f t="shared" si="221"/>
        <v>1</v>
      </c>
      <c r="U47" s="61">
        <v>1</v>
      </c>
      <c r="V47" s="62">
        <f t="shared" ref="V47:AB47" si="222">U47</f>
        <v>1</v>
      </c>
      <c r="W47" s="62">
        <f t="shared" si="222"/>
        <v>1</v>
      </c>
      <c r="X47" s="62">
        <f t="shared" si="222"/>
        <v>1</v>
      </c>
      <c r="Y47" s="62">
        <f t="shared" si="222"/>
        <v>1</v>
      </c>
      <c r="Z47" s="62">
        <f t="shared" si="222"/>
        <v>1</v>
      </c>
      <c r="AA47" s="62">
        <f t="shared" si="222"/>
        <v>1</v>
      </c>
      <c r="AB47" s="63">
        <f t="shared" si="222"/>
        <v>1</v>
      </c>
      <c r="AC47" s="61">
        <v>1</v>
      </c>
      <c r="AD47" s="62">
        <f t="shared" ref="AD47:AJ47" si="223">AC47</f>
        <v>1</v>
      </c>
      <c r="AE47" s="62">
        <f t="shared" si="223"/>
        <v>1</v>
      </c>
      <c r="AF47" s="62">
        <f t="shared" si="223"/>
        <v>1</v>
      </c>
      <c r="AG47" s="62">
        <f t="shared" si="223"/>
        <v>1</v>
      </c>
      <c r="AH47" s="62">
        <f t="shared" si="223"/>
        <v>1</v>
      </c>
      <c r="AI47" s="62">
        <f t="shared" si="223"/>
        <v>1</v>
      </c>
      <c r="AJ47" s="63">
        <f t="shared" si="223"/>
        <v>1</v>
      </c>
      <c r="AK47" s="61">
        <v>1</v>
      </c>
      <c r="AL47" s="62">
        <f t="shared" ref="AL47:AR47" si="224">AK47</f>
        <v>1</v>
      </c>
      <c r="AM47" s="62">
        <f t="shared" si="224"/>
        <v>1</v>
      </c>
      <c r="AN47" s="62">
        <f t="shared" si="224"/>
        <v>1</v>
      </c>
      <c r="AO47" s="62">
        <f t="shared" si="224"/>
        <v>1</v>
      </c>
      <c r="AP47" s="62">
        <f t="shared" si="224"/>
        <v>1</v>
      </c>
      <c r="AQ47" s="62">
        <f t="shared" si="224"/>
        <v>1</v>
      </c>
      <c r="AR47" s="63">
        <f t="shared" si="224"/>
        <v>1</v>
      </c>
      <c r="AS47" s="61">
        <v>1</v>
      </c>
      <c r="AT47" s="62">
        <f t="shared" ref="AT47:AZ47" si="225">AS47</f>
        <v>1</v>
      </c>
      <c r="AU47" s="62">
        <f t="shared" si="225"/>
        <v>1</v>
      </c>
      <c r="AV47" s="62">
        <f t="shared" si="225"/>
        <v>1</v>
      </c>
      <c r="AW47" s="62">
        <f t="shared" si="225"/>
        <v>1</v>
      </c>
      <c r="AX47" s="62">
        <f t="shared" si="225"/>
        <v>1</v>
      </c>
      <c r="AY47" s="62">
        <f t="shared" si="225"/>
        <v>1</v>
      </c>
      <c r="AZ47" s="63">
        <f t="shared" si="225"/>
        <v>1</v>
      </c>
      <c r="BA47" s="37">
        <f t="shared" si="177"/>
        <v>48</v>
      </c>
      <c r="BB47" s="9">
        <f t="shared" si="7"/>
        <v>48</v>
      </c>
      <c r="BC47" s="10">
        <f t="shared" si="8"/>
        <v>100</v>
      </c>
    </row>
    <row r="48" spans="1:55" ht="15" customHeight="1" x14ac:dyDescent="0.35">
      <c r="A48" s="29">
        <v>820323205101</v>
      </c>
      <c r="B48" s="30" t="s">
        <v>58</v>
      </c>
      <c r="C48" s="11"/>
      <c r="D48" s="46"/>
      <c r="E48" s="61">
        <v>1</v>
      </c>
      <c r="F48" s="62">
        <f t="shared" ref="F48:L48" si="226">E48</f>
        <v>1</v>
      </c>
      <c r="G48" s="62">
        <f t="shared" si="226"/>
        <v>1</v>
      </c>
      <c r="H48" s="62">
        <f t="shared" si="226"/>
        <v>1</v>
      </c>
      <c r="I48" s="62">
        <f t="shared" si="226"/>
        <v>1</v>
      </c>
      <c r="J48" s="62">
        <f t="shared" si="226"/>
        <v>1</v>
      </c>
      <c r="K48" s="62">
        <f t="shared" si="226"/>
        <v>1</v>
      </c>
      <c r="L48" s="63">
        <f t="shared" si="226"/>
        <v>1</v>
      </c>
      <c r="M48" s="61">
        <v>1</v>
      </c>
      <c r="N48" s="62">
        <f t="shared" ref="N48:T48" si="227">M48</f>
        <v>1</v>
      </c>
      <c r="O48" s="62">
        <f t="shared" si="227"/>
        <v>1</v>
      </c>
      <c r="P48" s="62">
        <f t="shared" si="227"/>
        <v>1</v>
      </c>
      <c r="Q48" s="62">
        <f t="shared" si="227"/>
        <v>1</v>
      </c>
      <c r="R48" s="62">
        <f t="shared" si="227"/>
        <v>1</v>
      </c>
      <c r="S48" s="62">
        <f t="shared" si="227"/>
        <v>1</v>
      </c>
      <c r="T48" s="63">
        <f t="shared" si="227"/>
        <v>1</v>
      </c>
      <c r="U48" s="61">
        <v>1</v>
      </c>
      <c r="V48" s="62">
        <f t="shared" ref="V48:AB48" si="228">U48</f>
        <v>1</v>
      </c>
      <c r="W48" s="62">
        <f t="shared" si="228"/>
        <v>1</v>
      </c>
      <c r="X48" s="62">
        <f t="shared" si="228"/>
        <v>1</v>
      </c>
      <c r="Y48" s="62">
        <f t="shared" si="228"/>
        <v>1</v>
      </c>
      <c r="Z48" s="62">
        <f t="shared" si="228"/>
        <v>1</v>
      </c>
      <c r="AA48" s="62">
        <f t="shared" si="228"/>
        <v>1</v>
      </c>
      <c r="AB48" s="63">
        <f t="shared" si="228"/>
        <v>1</v>
      </c>
      <c r="AC48" s="61">
        <v>1</v>
      </c>
      <c r="AD48" s="62">
        <f t="shared" ref="AD48:AJ48" si="229">AC48</f>
        <v>1</v>
      </c>
      <c r="AE48" s="62">
        <f t="shared" si="229"/>
        <v>1</v>
      </c>
      <c r="AF48" s="62">
        <f t="shared" si="229"/>
        <v>1</v>
      </c>
      <c r="AG48" s="62">
        <f t="shared" si="229"/>
        <v>1</v>
      </c>
      <c r="AH48" s="62">
        <f t="shared" si="229"/>
        <v>1</v>
      </c>
      <c r="AI48" s="62">
        <f t="shared" si="229"/>
        <v>1</v>
      </c>
      <c r="AJ48" s="63">
        <f t="shared" si="229"/>
        <v>1</v>
      </c>
      <c r="AK48" s="61">
        <v>1</v>
      </c>
      <c r="AL48" s="62">
        <f t="shared" ref="AL48:AR48" si="230">AK48</f>
        <v>1</v>
      </c>
      <c r="AM48" s="62">
        <f t="shared" si="230"/>
        <v>1</v>
      </c>
      <c r="AN48" s="62">
        <f t="shared" si="230"/>
        <v>1</v>
      </c>
      <c r="AO48" s="62">
        <f t="shared" si="230"/>
        <v>1</v>
      </c>
      <c r="AP48" s="62">
        <f t="shared" si="230"/>
        <v>1</v>
      </c>
      <c r="AQ48" s="62">
        <f t="shared" si="230"/>
        <v>1</v>
      </c>
      <c r="AR48" s="63">
        <f t="shared" si="230"/>
        <v>1</v>
      </c>
      <c r="AS48" s="61">
        <v>1</v>
      </c>
      <c r="AT48" s="62">
        <f t="shared" ref="AT48:AZ48" si="231">AS48</f>
        <v>1</v>
      </c>
      <c r="AU48" s="62">
        <f t="shared" si="231"/>
        <v>1</v>
      </c>
      <c r="AV48" s="62">
        <f t="shared" si="231"/>
        <v>1</v>
      </c>
      <c r="AW48" s="62">
        <f t="shared" si="231"/>
        <v>1</v>
      </c>
      <c r="AX48" s="62">
        <f t="shared" si="231"/>
        <v>1</v>
      </c>
      <c r="AY48" s="62">
        <f t="shared" si="231"/>
        <v>1</v>
      </c>
      <c r="AZ48" s="63">
        <f t="shared" si="231"/>
        <v>1</v>
      </c>
      <c r="BA48" s="37">
        <f t="shared" si="177"/>
        <v>48</v>
      </c>
      <c r="BB48" s="9">
        <f t="shared" si="7"/>
        <v>48</v>
      </c>
      <c r="BC48" s="10">
        <f t="shared" si="8"/>
        <v>100</v>
      </c>
    </row>
    <row r="49" spans="1:55" ht="15" customHeight="1" x14ac:dyDescent="0.35">
      <c r="A49" s="29">
        <v>820323205102</v>
      </c>
      <c r="B49" s="30" t="s">
        <v>59</v>
      </c>
      <c r="C49" s="11"/>
      <c r="D49" s="46"/>
      <c r="E49" s="61">
        <v>1</v>
      </c>
      <c r="F49" s="62">
        <f t="shared" ref="F49:L49" si="232">E49</f>
        <v>1</v>
      </c>
      <c r="G49" s="62">
        <f t="shared" si="232"/>
        <v>1</v>
      </c>
      <c r="H49" s="62">
        <f t="shared" si="232"/>
        <v>1</v>
      </c>
      <c r="I49" s="62">
        <f t="shared" si="232"/>
        <v>1</v>
      </c>
      <c r="J49" s="62">
        <f t="shared" si="232"/>
        <v>1</v>
      </c>
      <c r="K49" s="62">
        <f t="shared" si="232"/>
        <v>1</v>
      </c>
      <c r="L49" s="63">
        <f t="shared" si="232"/>
        <v>1</v>
      </c>
      <c r="M49" s="61">
        <v>1</v>
      </c>
      <c r="N49" s="62">
        <f t="shared" ref="N49:T49" si="233">M49</f>
        <v>1</v>
      </c>
      <c r="O49" s="62">
        <f t="shared" si="233"/>
        <v>1</v>
      </c>
      <c r="P49" s="62">
        <f t="shared" si="233"/>
        <v>1</v>
      </c>
      <c r="Q49" s="62">
        <f t="shared" si="233"/>
        <v>1</v>
      </c>
      <c r="R49" s="62">
        <f t="shared" si="233"/>
        <v>1</v>
      </c>
      <c r="S49" s="62">
        <f t="shared" si="233"/>
        <v>1</v>
      </c>
      <c r="T49" s="63">
        <f t="shared" si="233"/>
        <v>1</v>
      </c>
      <c r="U49" s="61">
        <v>1</v>
      </c>
      <c r="V49" s="62">
        <f t="shared" ref="V49:AB49" si="234">U49</f>
        <v>1</v>
      </c>
      <c r="W49" s="62">
        <f t="shared" si="234"/>
        <v>1</v>
      </c>
      <c r="X49" s="62">
        <f t="shared" si="234"/>
        <v>1</v>
      </c>
      <c r="Y49" s="62">
        <f t="shared" si="234"/>
        <v>1</v>
      </c>
      <c r="Z49" s="62">
        <f t="shared" si="234"/>
        <v>1</v>
      </c>
      <c r="AA49" s="62">
        <f t="shared" si="234"/>
        <v>1</v>
      </c>
      <c r="AB49" s="63">
        <f t="shared" si="234"/>
        <v>1</v>
      </c>
      <c r="AC49" s="61">
        <v>1</v>
      </c>
      <c r="AD49" s="62">
        <f t="shared" ref="AD49:AJ49" si="235">AC49</f>
        <v>1</v>
      </c>
      <c r="AE49" s="62">
        <f t="shared" si="235"/>
        <v>1</v>
      </c>
      <c r="AF49" s="62">
        <f t="shared" si="235"/>
        <v>1</v>
      </c>
      <c r="AG49" s="62">
        <f t="shared" si="235"/>
        <v>1</v>
      </c>
      <c r="AH49" s="62">
        <f t="shared" si="235"/>
        <v>1</v>
      </c>
      <c r="AI49" s="62">
        <f t="shared" si="235"/>
        <v>1</v>
      </c>
      <c r="AJ49" s="63">
        <f t="shared" si="235"/>
        <v>1</v>
      </c>
      <c r="AK49" s="61">
        <v>1</v>
      </c>
      <c r="AL49" s="62">
        <f t="shared" ref="AL49:AR49" si="236">AK49</f>
        <v>1</v>
      </c>
      <c r="AM49" s="62">
        <f t="shared" si="236"/>
        <v>1</v>
      </c>
      <c r="AN49" s="62">
        <f t="shared" si="236"/>
        <v>1</v>
      </c>
      <c r="AO49" s="62">
        <f t="shared" si="236"/>
        <v>1</v>
      </c>
      <c r="AP49" s="62">
        <f t="shared" si="236"/>
        <v>1</v>
      </c>
      <c r="AQ49" s="62">
        <f t="shared" si="236"/>
        <v>1</v>
      </c>
      <c r="AR49" s="63">
        <f t="shared" si="236"/>
        <v>1</v>
      </c>
      <c r="AS49" s="61">
        <v>1</v>
      </c>
      <c r="AT49" s="62">
        <f t="shared" ref="AT49:AZ49" si="237">AS49</f>
        <v>1</v>
      </c>
      <c r="AU49" s="62">
        <f t="shared" si="237"/>
        <v>1</v>
      </c>
      <c r="AV49" s="62">
        <f t="shared" si="237"/>
        <v>1</v>
      </c>
      <c r="AW49" s="62">
        <f t="shared" si="237"/>
        <v>1</v>
      </c>
      <c r="AX49" s="62">
        <f t="shared" si="237"/>
        <v>1</v>
      </c>
      <c r="AY49" s="62">
        <f t="shared" si="237"/>
        <v>1</v>
      </c>
      <c r="AZ49" s="63">
        <f t="shared" si="237"/>
        <v>1</v>
      </c>
      <c r="BA49" s="37">
        <f t="shared" si="177"/>
        <v>48</v>
      </c>
      <c r="BB49" s="9">
        <f t="shared" si="7"/>
        <v>48</v>
      </c>
      <c r="BC49" s="10">
        <f t="shared" si="8"/>
        <v>100</v>
      </c>
    </row>
    <row r="50" spans="1:55" ht="15" customHeight="1" x14ac:dyDescent="0.35">
      <c r="A50" s="29">
        <v>820323205103</v>
      </c>
      <c r="B50" s="30" t="s">
        <v>60</v>
      </c>
      <c r="C50" s="11"/>
      <c r="D50" s="46"/>
      <c r="E50" s="61">
        <v>1</v>
      </c>
      <c r="F50" s="62">
        <f t="shared" ref="F50:L50" si="238">E50</f>
        <v>1</v>
      </c>
      <c r="G50" s="62">
        <f t="shared" si="238"/>
        <v>1</v>
      </c>
      <c r="H50" s="62">
        <f t="shared" si="238"/>
        <v>1</v>
      </c>
      <c r="I50" s="62">
        <f t="shared" si="238"/>
        <v>1</v>
      </c>
      <c r="J50" s="62">
        <f t="shared" si="238"/>
        <v>1</v>
      </c>
      <c r="K50" s="62">
        <f t="shared" si="238"/>
        <v>1</v>
      </c>
      <c r="L50" s="63">
        <f t="shared" si="238"/>
        <v>1</v>
      </c>
      <c r="M50" s="61">
        <v>1</v>
      </c>
      <c r="N50" s="62">
        <f t="shared" ref="N50:T50" si="239">M50</f>
        <v>1</v>
      </c>
      <c r="O50" s="62">
        <f t="shared" si="239"/>
        <v>1</v>
      </c>
      <c r="P50" s="62">
        <f t="shared" si="239"/>
        <v>1</v>
      </c>
      <c r="Q50" s="62">
        <f t="shared" si="239"/>
        <v>1</v>
      </c>
      <c r="R50" s="62">
        <f t="shared" si="239"/>
        <v>1</v>
      </c>
      <c r="S50" s="62">
        <f t="shared" si="239"/>
        <v>1</v>
      </c>
      <c r="T50" s="63">
        <f t="shared" si="239"/>
        <v>1</v>
      </c>
      <c r="U50" s="61">
        <v>1</v>
      </c>
      <c r="V50" s="62">
        <f t="shared" ref="V50:AB50" si="240">U50</f>
        <v>1</v>
      </c>
      <c r="W50" s="62">
        <f t="shared" si="240"/>
        <v>1</v>
      </c>
      <c r="X50" s="62">
        <f t="shared" si="240"/>
        <v>1</v>
      </c>
      <c r="Y50" s="62">
        <f t="shared" si="240"/>
        <v>1</v>
      </c>
      <c r="Z50" s="62">
        <f t="shared" si="240"/>
        <v>1</v>
      </c>
      <c r="AA50" s="62">
        <f t="shared" si="240"/>
        <v>1</v>
      </c>
      <c r="AB50" s="63">
        <f t="shared" si="240"/>
        <v>1</v>
      </c>
      <c r="AC50" s="61">
        <v>1</v>
      </c>
      <c r="AD50" s="62">
        <f t="shared" ref="AD50:AJ50" si="241">AC50</f>
        <v>1</v>
      </c>
      <c r="AE50" s="62">
        <f t="shared" si="241"/>
        <v>1</v>
      </c>
      <c r="AF50" s="62">
        <f t="shared" si="241"/>
        <v>1</v>
      </c>
      <c r="AG50" s="62">
        <f t="shared" si="241"/>
        <v>1</v>
      </c>
      <c r="AH50" s="62">
        <f t="shared" si="241"/>
        <v>1</v>
      </c>
      <c r="AI50" s="62">
        <f t="shared" si="241"/>
        <v>1</v>
      </c>
      <c r="AJ50" s="63">
        <f t="shared" si="241"/>
        <v>1</v>
      </c>
      <c r="AK50" s="61">
        <v>1</v>
      </c>
      <c r="AL50" s="62">
        <f t="shared" ref="AL50:AR50" si="242">AK50</f>
        <v>1</v>
      </c>
      <c r="AM50" s="62">
        <f t="shared" si="242"/>
        <v>1</v>
      </c>
      <c r="AN50" s="62">
        <f t="shared" si="242"/>
        <v>1</v>
      </c>
      <c r="AO50" s="62">
        <f t="shared" si="242"/>
        <v>1</v>
      </c>
      <c r="AP50" s="62">
        <f t="shared" si="242"/>
        <v>1</v>
      </c>
      <c r="AQ50" s="62">
        <f t="shared" si="242"/>
        <v>1</v>
      </c>
      <c r="AR50" s="63">
        <f t="shared" si="242"/>
        <v>1</v>
      </c>
      <c r="AS50" s="61">
        <v>1</v>
      </c>
      <c r="AT50" s="62">
        <f t="shared" ref="AT50:AZ50" si="243">AS50</f>
        <v>1</v>
      </c>
      <c r="AU50" s="62">
        <f t="shared" si="243"/>
        <v>1</v>
      </c>
      <c r="AV50" s="62">
        <f t="shared" si="243"/>
        <v>1</v>
      </c>
      <c r="AW50" s="62">
        <f t="shared" si="243"/>
        <v>1</v>
      </c>
      <c r="AX50" s="62">
        <f t="shared" si="243"/>
        <v>1</v>
      </c>
      <c r="AY50" s="62">
        <f t="shared" si="243"/>
        <v>1</v>
      </c>
      <c r="AZ50" s="63">
        <f t="shared" si="243"/>
        <v>1</v>
      </c>
      <c r="BA50" s="37">
        <f t="shared" si="177"/>
        <v>48</v>
      </c>
      <c r="BB50" s="9">
        <f t="shared" si="7"/>
        <v>48</v>
      </c>
      <c r="BC50" s="10">
        <f t="shared" si="8"/>
        <v>100</v>
      </c>
    </row>
    <row r="51" spans="1:55" ht="15" customHeight="1" x14ac:dyDescent="0.35">
      <c r="A51" s="29">
        <v>820323205104</v>
      </c>
      <c r="B51" s="30" t="s">
        <v>61</v>
      </c>
      <c r="C51" s="11"/>
      <c r="D51" s="46"/>
      <c r="E51" s="61">
        <v>1</v>
      </c>
      <c r="F51" s="62">
        <f t="shared" ref="F51:L51" si="244">E51</f>
        <v>1</v>
      </c>
      <c r="G51" s="62">
        <f t="shared" si="244"/>
        <v>1</v>
      </c>
      <c r="H51" s="62">
        <f t="shared" si="244"/>
        <v>1</v>
      </c>
      <c r="I51" s="62">
        <f t="shared" si="244"/>
        <v>1</v>
      </c>
      <c r="J51" s="62">
        <f t="shared" si="244"/>
        <v>1</v>
      </c>
      <c r="K51" s="62">
        <f t="shared" si="244"/>
        <v>1</v>
      </c>
      <c r="L51" s="63">
        <f t="shared" si="244"/>
        <v>1</v>
      </c>
      <c r="M51" s="61">
        <v>1</v>
      </c>
      <c r="N51" s="62">
        <f t="shared" ref="N51:T51" si="245">M51</f>
        <v>1</v>
      </c>
      <c r="O51" s="62">
        <f t="shared" si="245"/>
        <v>1</v>
      </c>
      <c r="P51" s="62">
        <f t="shared" si="245"/>
        <v>1</v>
      </c>
      <c r="Q51" s="62">
        <f t="shared" si="245"/>
        <v>1</v>
      </c>
      <c r="R51" s="62">
        <f t="shared" si="245"/>
        <v>1</v>
      </c>
      <c r="S51" s="62">
        <f t="shared" si="245"/>
        <v>1</v>
      </c>
      <c r="T51" s="63">
        <f t="shared" si="245"/>
        <v>1</v>
      </c>
      <c r="U51" s="61">
        <v>1</v>
      </c>
      <c r="V51" s="62">
        <f t="shared" ref="V51:AB51" si="246">U51</f>
        <v>1</v>
      </c>
      <c r="W51" s="62">
        <f t="shared" si="246"/>
        <v>1</v>
      </c>
      <c r="X51" s="62">
        <f t="shared" si="246"/>
        <v>1</v>
      </c>
      <c r="Y51" s="62">
        <f t="shared" si="246"/>
        <v>1</v>
      </c>
      <c r="Z51" s="62">
        <f t="shared" si="246"/>
        <v>1</v>
      </c>
      <c r="AA51" s="62">
        <f t="shared" si="246"/>
        <v>1</v>
      </c>
      <c r="AB51" s="63">
        <f t="shared" si="246"/>
        <v>1</v>
      </c>
      <c r="AC51" s="61">
        <v>1</v>
      </c>
      <c r="AD51" s="62">
        <f t="shared" ref="AD51:AJ51" si="247">AC51</f>
        <v>1</v>
      </c>
      <c r="AE51" s="62">
        <f t="shared" si="247"/>
        <v>1</v>
      </c>
      <c r="AF51" s="62">
        <f t="shared" si="247"/>
        <v>1</v>
      </c>
      <c r="AG51" s="62">
        <f t="shared" si="247"/>
        <v>1</v>
      </c>
      <c r="AH51" s="62">
        <f t="shared" si="247"/>
        <v>1</v>
      </c>
      <c r="AI51" s="62">
        <f t="shared" si="247"/>
        <v>1</v>
      </c>
      <c r="AJ51" s="63">
        <f t="shared" si="247"/>
        <v>1</v>
      </c>
      <c r="AK51" s="61">
        <v>1</v>
      </c>
      <c r="AL51" s="62">
        <f t="shared" ref="AL51:AR51" si="248">AK51</f>
        <v>1</v>
      </c>
      <c r="AM51" s="62">
        <f t="shared" si="248"/>
        <v>1</v>
      </c>
      <c r="AN51" s="62">
        <f t="shared" si="248"/>
        <v>1</v>
      </c>
      <c r="AO51" s="62">
        <f t="shared" si="248"/>
        <v>1</v>
      </c>
      <c r="AP51" s="62">
        <f t="shared" si="248"/>
        <v>1</v>
      </c>
      <c r="AQ51" s="62">
        <f t="shared" si="248"/>
        <v>1</v>
      </c>
      <c r="AR51" s="63">
        <f t="shared" si="248"/>
        <v>1</v>
      </c>
      <c r="AS51" s="61">
        <v>1</v>
      </c>
      <c r="AT51" s="62">
        <f t="shared" ref="AT51:AZ51" si="249">AS51</f>
        <v>1</v>
      </c>
      <c r="AU51" s="62">
        <f t="shared" si="249"/>
        <v>1</v>
      </c>
      <c r="AV51" s="62">
        <f t="shared" si="249"/>
        <v>1</v>
      </c>
      <c r="AW51" s="62">
        <f t="shared" si="249"/>
        <v>1</v>
      </c>
      <c r="AX51" s="62">
        <f t="shared" si="249"/>
        <v>1</v>
      </c>
      <c r="AY51" s="62">
        <f t="shared" si="249"/>
        <v>1</v>
      </c>
      <c r="AZ51" s="63">
        <f t="shared" si="249"/>
        <v>1</v>
      </c>
      <c r="BA51" s="37">
        <f t="shared" si="177"/>
        <v>48</v>
      </c>
      <c r="BB51" s="9">
        <f t="shared" si="7"/>
        <v>48</v>
      </c>
      <c r="BC51" s="10">
        <f t="shared" si="8"/>
        <v>100</v>
      </c>
    </row>
    <row r="52" spans="1:55" ht="15" customHeight="1" x14ac:dyDescent="0.35">
      <c r="A52" s="29">
        <v>820323205105</v>
      </c>
      <c r="B52" s="30" t="s">
        <v>62</v>
      </c>
      <c r="C52" s="11"/>
      <c r="D52" s="46"/>
      <c r="E52" s="61">
        <v>1</v>
      </c>
      <c r="F52" s="62">
        <f t="shared" ref="F52:L52" si="250">E52</f>
        <v>1</v>
      </c>
      <c r="G52" s="62">
        <f t="shared" si="250"/>
        <v>1</v>
      </c>
      <c r="H52" s="62">
        <f t="shared" si="250"/>
        <v>1</v>
      </c>
      <c r="I52" s="62">
        <f t="shared" si="250"/>
        <v>1</v>
      </c>
      <c r="J52" s="62">
        <f t="shared" si="250"/>
        <v>1</v>
      </c>
      <c r="K52" s="62">
        <f t="shared" si="250"/>
        <v>1</v>
      </c>
      <c r="L52" s="63">
        <f t="shared" si="250"/>
        <v>1</v>
      </c>
      <c r="M52" s="61">
        <v>1</v>
      </c>
      <c r="N52" s="62">
        <f t="shared" ref="N52:T52" si="251">M52</f>
        <v>1</v>
      </c>
      <c r="O52" s="62">
        <f t="shared" si="251"/>
        <v>1</v>
      </c>
      <c r="P52" s="62">
        <f t="shared" si="251"/>
        <v>1</v>
      </c>
      <c r="Q52" s="62">
        <f t="shared" si="251"/>
        <v>1</v>
      </c>
      <c r="R52" s="62">
        <f t="shared" si="251"/>
        <v>1</v>
      </c>
      <c r="S52" s="62">
        <f t="shared" si="251"/>
        <v>1</v>
      </c>
      <c r="T52" s="63">
        <f t="shared" si="251"/>
        <v>1</v>
      </c>
      <c r="U52" s="61">
        <v>1</v>
      </c>
      <c r="V52" s="62">
        <f t="shared" ref="V52:AB52" si="252">U52</f>
        <v>1</v>
      </c>
      <c r="W52" s="62">
        <f t="shared" si="252"/>
        <v>1</v>
      </c>
      <c r="X52" s="62">
        <f t="shared" si="252"/>
        <v>1</v>
      </c>
      <c r="Y52" s="62">
        <f t="shared" si="252"/>
        <v>1</v>
      </c>
      <c r="Z52" s="62">
        <f t="shared" si="252"/>
        <v>1</v>
      </c>
      <c r="AA52" s="62">
        <f t="shared" si="252"/>
        <v>1</v>
      </c>
      <c r="AB52" s="63">
        <f t="shared" si="252"/>
        <v>1</v>
      </c>
      <c r="AC52" s="61">
        <v>1</v>
      </c>
      <c r="AD52" s="62">
        <f t="shared" ref="AD52:AJ52" si="253">AC52</f>
        <v>1</v>
      </c>
      <c r="AE52" s="62">
        <f t="shared" si="253"/>
        <v>1</v>
      </c>
      <c r="AF52" s="62">
        <f t="shared" si="253"/>
        <v>1</v>
      </c>
      <c r="AG52" s="62">
        <f t="shared" si="253"/>
        <v>1</v>
      </c>
      <c r="AH52" s="62">
        <f t="shared" si="253"/>
        <v>1</v>
      </c>
      <c r="AI52" s="62">
        <f t="shared" si="253"/>
        <v>1</v>
      </c>
      <c r="AJ52" s="63">
        <f t="shared" si="253"/>
        <v>1</v>
      </c>
      <c r="AK52" s="61">
        <v>1</v>
      </c>
      <c r="AL52" s="62">
        <f t="shared" ref="AL52:AR52" si="254">AK52</f>
        <v>1</v>
      </c>
      <c r="AM52" s="62">
        <f t="shared" si="254"/>
        <v>1</v>
      </c>
      <c r="AN52" s="62">
        <f t="shared" si="254"/>
        <v>1</v>
      </c>
      <c r="AO52" s="62">
        <f t="shared" si="254"/>
        <v>1</v>
      </c>
      <c r="AP52" s="62">
        <f t="shared" si="254"/>
        <v>1</v>
      </c>
      <c r="AQ52" s="62">
        <f t="shared" si="254"/>
        <v>1</v>
      </c>
      <c r="AR52" s="63">
        <f t="shared" si="254"/>
        <v>1</v>
      </c>
      <c r="AS52" s="61">
        <v>1</v>
      </c>
      <c r="AT52" s="62">
        <f t="shared" ref="AT52:AZ52" si="255">AS52</f>
        <v>1</v>
      </c>
      <c r="AU52" s="62">
        <f t="shared" si="255"/>
        <v>1</v>
      </c>
      <c r="AV52" s="62">
        <f t="shared" si="255"/>
        <v>1</v>
      </c>
      <c r="AW52" s="62">
        <f t="shared" si="255"/>
        <v>1</v>
      </c>
      <c r="AX52" s="62">
        <f t="shared" si="255"/>
        <v>1</v>
      </c>
      <c r="AY52" s="62">
        <f t="shared" si="255"/>
        <v>1</v>
      </c>
      <c r="AZ52" s="63">
        <f t="shared" si="255"/>
        <v>1</v>
      </c>
      <c r="BA52" s="37">
        <f t="shared" si="177"/>
        <v>48</v>
      </c>
      <c r="BB52" s="9">
        <f t="shared" si="7"/>
        <v>48</v>
      </c>
      <c r="BC52" s="10">
        <f t="shared" si="8"/>
        <v>100</v>
      </c>
    </row>
    <row r="53" spans="1:55" ht="15" customHeight="1" x14ac:dyDescent="0.35">
      <c r="A53" s="29">
        <v>820323205106</v>
      </c>
      <c r="B53" s="30" t="s">
        <v>63</v>
      </c>
      <c r="C53" s="11"/>
      <c r="D53" s="46"/>
      <c r="E53" s="61">
        <v>1</v>
      </c>
      <c r="F53" s="62">
        <f t="shared" ref="F53:L53" si="256">E53</f>
        <v>1</v>
      </c>
      <c r="G53" s="62">
        <f t="shared" si="256"/>
        <v>1</v>
      </c>
      <c r="H53" s="62">
        <f t="shared" si="256"/>
        <v>1</v>
      </c>
      <c r="I53" s="62">
        <f t="shared" si="256"/>
        <v>1</v>
      </c>
      <c r="J53" s="62">
        <f t="shared" si="256"/>
        <v>1</v>
      </c>
      <c r="K53" s="62">
        <f t="shared" si="256"/>
        <v>1</v>
      </c>
      <c r="L53" s="63">
        <f t="shared" si="256"/>
        <v>1</v>
      </c>
      <c r="M53" s="61">
        <v>1</v>
      </c>
      <c r="N53" s="62">
        <f t="shared" ref="N53:T53" si="257">M53</f>
        <v>1</v>
      </c>
      <c r="O53" s="62">
        <f t="shared" si="257"/>
        <v>1</v>
      </c>
      <c r="P53" s="62">
        <f t="shared" si="257"/>
        <v>1</v>
      </c>
      <c r="Q53" s="62">
        <f t="shared" si="257"/>
        <v>1</v>
      </c>
      <c r="R53" s="62">
        <f t="shared" si="257"/>
        <v>1</v>
      </c>
      <c r="S53" s="62">
        <f t="shared" si="257"/>
        <v>1</v>
      </c>
      <c r="T53" s="63">
        <f t="shared" si="257"/>
        <v>1</v>
      </c>
      <c r="U53" s="61">
        <v>1</v>
      </c>
      <c r="V53" s="62">
        <f t="shared" ref="V53:AB53" si="258">U53</f>
        <v>1</v>
      </c>
      <c r="W53" s="62">
        <f t="shared" si="258"/>
        <v>1</v>
      </c>
      <c r="X53" s="62">
        <f t="shared" si="258"/>
        <v>1</v>
      </c>
      <c r="Y53" s="62">
        <f t="shared" si="258"/>
        <v>1</v>
      </c>
      <c r="Z53" s="62">
        <f t="shared" si="258"/>
        <v>1</v>
      </c>
      <c r="AA53" s="62">
        <f t="shared" si="258"/>
        <v>1</v>
      </c>
      <c r="AB53" s="63">
        <f t="shared" si="258"/>
        <v>1</v>
      </c>
      <c r="AC53" s="61">
        <v>1</v>
      </c>
      <c r="AD53" s="62">
        <f t="shared" ref="AD53:AJ53" si="259">AC53</f>
        <v>1</v>
      </c>
      <c r="AE53" s="62">
        <f t="shared" si="259"/>
        <v>1</v>
      </c>
      <c r="AF53" s="62">
        <f t="shared" si="259"/>
        <v>1</v>
      </c>
      <c r="AG53" s="62">
        <f t="shared" si="259"/>
        <v>1</v>
      </c>
      <c r="AH53" s="62">
        <f t="shared" si="259"/>
        <v>1</v>
      </c>
      <c r="AI53" s="62">
        <f t="shared" si="259"/>
        <v>1</v>
      </c>
      <c r="AJ53" s="63">
        <f t="shared" si="259"/>
        <v>1</v>
      </c>
      <c r="AK53" s="61">
        <v>1</v>
      </c>
      <c r="AL53" s="62">
        <f t="shared" ref="AL53:AR53" si="260">AK53</f>
        <v>1</v>
      </c>
      <c r="AM53" s="62">
        <f t="shared" si="260"/>
        <v>1</v>
      </c>
      <c r="AN53" s="62">
        <f t="shared" si="260"/>
        <v>1</v>
      </c>
      <c r="AO53" s="62">
        <f t="shared" si="260"/>
        <v>1</v>
      </c>
      <c r="AP53" s="62">
        <f t="shared" si="260"/>
        <v>1</v>
      </c>
      <c r="AQ53" s="62">
        <f t="shared" si="260"/>
        <v>1</v>
      </c>
      <c r="AR53" s="63">
        <f t="shared" si="260"/>
        <v>1</v>
      </c>
      <c r="AS53" s="61">
        <v>1</v>
      </c>
      <c r="AT53" s="62">
        <f t="shared" ref="AT53:AZ53" si="261">AS53</f>
        <v>1</v>
      </c>
      <c r="AU53" s="62">
        <f t="shared" si="261"/>
        <v>1</v>
      </c>
      <c r="AV53" s="62">
        <f t="shared" si="261"/>
        <v>1</v>
      </c>
      <c r="AW53" s="62">
        <f t="shared" si="261"/>
        <v>1</v>
      </c>
      <c r="AX53" s="62">
        <f t="shared" si="261"/>
        <v>1</v>
      </c>
      <c r="AY53" s="62">
        <f t="shared" si="261"/>
        <v>1</v>
      </c>
      <c r="AZ53" s="63">
        <f t="shared" si="261"/>
        <v>1</v>
      </c>
      <c r="BA53" s="37">
        <f t="shared" si="177"/>
        <v>48</v>
      </c>
      <c r="BB53" s="9">
        <f t="shared" si="7"/>
        <v>48</v>
      </c>
      <c r="BC53" s="10">
        <f t="shared" si="8"/>
        <v>100</v>
      </c>
    </row>
    <row r="54" spans="1:55" ht="15" customHeight="1" x14ac:dyDescent="0.35">
      <c r="A54" s="29">
        <v>820323205107</v>
      </c>
      <c r="B54" s="30" t="s">
        <v>64</v>
      </c>
      <c r="C54" s="12"/>
      <c r="D54" s="46"/>
      <c r="E54" s="61">
        <v>1</v>
      </c>
      <c r="F54" s="62">
        <f t="shared" ref="F54:L54" si="262">E54</f>
        <v>1</v>
      </c>
      <c r="G54" s="62">
        <f t="shared" si="262"/>
        <v>1</v>
      </c>
      <c r="H54" s="62">
        <f t="shared" si="262"/>
        <v>1</v>
      </c>
      <c r="I54" s="62">
        <f t="shared" si="262"/>
        <v>1</v>
      </c>
      <c r="J54" s="62">
        <f t="shared" si="262"/>
        <v>1</v>
      </c>
      <c r="K54" s="62">
        <f t="shared" si="262"/>
        <v>1</v>
      </c>
      <c r="L54" s="63">
        <f t="shared" si="262"/>
        <v>1</v>
      </c>
      <c r="M54" s="61">
        <v>1</v>
      </c>
      <c r="N54" s="62">
        <f t="shared" ref="N54:T54" si="263">M54</f>
        <v>1</v>
      </c>
      <c r="O54" s="62">
        <f t="shared" si="263"/>
        <v>1</v>
      </c>
      <c r="P54" s="62">
        <f t="shared" si="263"/>
        <v>1</v>
      </c>
      <c r="Q54" s="62">
        <f t="shared" si="263"/>
        <v>1</v>
      </c>
      <c r="R54" s="62">
        <f t="shared" si="263"/>
        <v>1</v>
      </c>
      <c r="S54" s="62">
        <f t="shared" si="263"/>
        <v>1</v>
      </c>
      <c r="T54" s="63">
        <f t="shared" si="263"/>
        <v>1</v>
      </c>
      <c r="U54" s="61">
        <v>1</v>
      </c>
      <c r="V54" s="62">
        <f t="shared" ref="V54:AB54" si="264">U54</f>
        <v>1</v>
      </c>
      <c r="W54" s="62">
        <f t="shared" si="264"/>
        <v>1</v>
      </c>
      <c r="X54" s="62">
        <f t="shared" si="264"/>
        <v>1</v>
      </c>
      <c r="Y54" s="62">
        <f t="shared" si="264"/>
        <v>1</v>
      </c>
      <c r="Z54" s="62">
        <f t="shared" si="264"/>
        <v>1</v>
      </c>
      <c r="AA54" s="62">
        <f t="shared" si="264"/>
        <v>1</v>
      </c>
      <c r="AB54" s="63">
        <f t="shared" si="264"/>
        <v>1</v>
      </c>
      <c r="AC54" s="61">
        <v>1</v>
      </c>
      <c r="AD54" s="62">
        <f t="shared" ref="AD54:AJ54" si="265">AC54</f>
        <v>1</v>
      </c>
      <c r="AE54" s="62">
        <f t="shared" si="265"/>
        <v>1</v>
      </c>
      <c r="AF54" s="62">
        <f t="shared" si="265"/>
        <v>1</v>
      </c>
      <c r="AG54" s="62">
        <f t="shared" si="265"/>
        <v>1</v>
      </c>
      <c r="AH54" s="62">
        <f t="shared" si="265"/>
        <v>1</v>
      </c>
      <c r="AI54" s="62">
        <f t="shared" si="265"/>
        <v>1</v>
      </c>
      <c r="AJ54" s="63">
        <f t="shared" si="265"/>
        <v>1</v>
      </c>
      <c r="AK54" s="61">
        <v>1</v>
      </c>
      <c r="AL54" s="62">
        <f t="shared" ref="AL54:AR54" si="266">AK54</f>
        <v>1</v>
      </c>
      <c r="AM54" s="62">
        <f t="shared" si="266"/>
        <v>1</v>
      </c>
      <c r="AN54" s="62">
        <f t="shared" si="266"/>
        <v>1</v>
      </c>
      <c r="AO54" s="62">
        <f t="shared" si="266"/>
        <v>1</v>
      </c>
      <c r="AP54" s="62">
        <f t="shared" si="266"/>
        <v>1</v>
      </c>
      <c r="AQ54" s="62">
        <f t="shared" si="266"/>
        <v>1</v>
      </c>
      <c r="AR54" s="63">
        <f t="shared" si="266"/>
        <v>1</v>
      </c>
      <c r="AS54" s="61">
        <v>1</v>
      </c>
      <c r="AT54" s="62">
        <f t="shared" ref="AT54:AZ54" si="267">AS54</f>
        <v>1</v>
      </c>
      <c r="AU54" s="62">
        <f t="shared" si="267"/>
        <v>1</v>
      </c>
      <c r="AV54" s="62">
        <f t="shared" si="267"/>
        <v>1</v>
      </c>
      <c r="AW54" s="62">
        <f t="shared" si="267"/>
        <v>1</v>
      </c>
      <c r="AX54" s="62">
        <f t="shared" si="267"/>
        <v>1</v>
      </c>
      <c r="AY54" s="62">
        <f t="shared" si="267"/>
        <v>1</v>
      </c>
      <c r="AZ54" s="63">
        <f t="shared" si="267"/>
        <v>1</v>
      </c>
      <c r="BA54" s="37">
        <f t="shared" si="177"/>
        <v>48</v>
      </c>
      <c r="BB54" s="9">
        <f t="shared" si="7"/>
        <v>48</v>
      </c>
      <c r="BC54" s="10">
        <f t="shared" si="8"/>
        <v>100</v>
      </c>
    </row>
    <row r="55" spans="1:55" ht="15" customHeight="1" x14ac:dyDescent="0.35">
      <c r="A55" s="29">
        <v>820323205108</v>
      </c>
      <c r="B55" s="30" t="s">
        <v>65</v>
      </c>
      <c r="C55" s="11"/>
      <c r="D55" s="46"/>
      <c r="E55" s="61">
        <v>1</v>
      </c>
      <c r="F55" s="62">
        <f t="shared" ref="F55:L55" si="268">E55</f>
        <v>1</v>
      </c>
      <c r="G55" s="62">
        <f t="shared" si="268"/>
        <v>1</v>
      </c>
      <c r="H55" s="62">
        <f t="shared" si="268"/>
        <v>1</v>
      </c>
      <c r="I55" s="62">
        <f t="shared" si="268"/>
        <v>1</v>
      </c>
      <c r="J55" s="62">
        <f t="shared" si="268"/>
        <v>1</v>
      </c>
      <c r="K55" s="62">
        <f t="shared" si="268"/>
        <v>1</v>
      </c>
      <c r="L55" s="63">
        <f t="shared" si="268"/>
        <v>1</v>
      </c>
      <c r="M55" s="61">
        <v>1</v>
      </c>
      <c r="N55" s="62">
        <f t="shared" ref="N55:T55" si="269">M55</f>
        <v>1</v>
      </c>
      <c r="O55" s="62">
        <f t="shared" si="269"/>
        <v>1</v>
      </c>
      <c r="P55" s="62">
        <f t="shared" si="269"/>
        <v>1</v>
      </c>
      <c r="Q55" s="62">
        <f t="shared" si="269"/>
        <v>1</v>
      </c>
      <c r="R55" s="62">
        <f t="shared" si="269"/>
        <v>1</v>
      </c>
      <c r="S55" s="62">
        <f t="shared" si="269"/>
        <v>1</v>
      </c>
      <c r="T55" s="63">
        <f t="shared" si="269"/>
        <v>1</v>
      </c>
      <c r="U55" s="61">
        <v>1</v>
      </c>
      <c r="V55" s="62">
        <f t="shared" ref="V55:AB55" si="270">U55</f>
        <v>1</v>
      </c>
      <c r="W55" s="62">
        <f t="shared" si="270"/>
        <v>1</v>
      </c>
      <c r="X55" s="62">
        <f t="shared" si="270"/>
        <v>1</v>
      </c>
      <c r="Y55" s="62">
        <f t="shared" si="270"/>
        <v>1</v>
      </c>
      <c r="Z55" s="62">
        <f t="shared" si="270"/>
        <v>1</v>
      </c>
      <c r="AA55" s="62">
        <f t="shared" si="270"/>
        <v>1</v>
      </c>
      <c r="AB55" s="63">
        <f t="shared" si="270"/>
        <v>1</v>
      </c>
      <c r="AC55" s="61">
        <v>1</v>
      </c>
      <c r="AD55" s="62">
        <f t="shared" ref="AD55:AJ55" si="271">AC55</f>
        <v>1</v>
      </c>
      <c r="AE55" s="62">
        <f t="shared" si="271"/>
        <v>1</v>
      </c>
      <c r="AF55" s="62">
        <f t="shared" si="271"/>
        <v>1</v>
      </c>
      <c r="AG55" s="62">
        <f t="shared" si="271"/>
        <v>1</v>
      </c>
      <c r="AH55" s="62">
        <f t="shared" si="271"/>
        <v>1</v>
      </c>
      <c r="AI55" s="62">
        <f t="shared" si="271"/>
        <v>1</v>
      </c>
      <c r="AJ55" s="63">
        <f t="shared" si="271"/>
        <v>1</v>
      </c>
      <c r="AK55" s="61">
        <v>1</v>
      </c>
      <c r="AL55" s="62">
        <f t="shared" ref="AL55:AR55" si="272">AK55</f>
        <v>1</v>
      </c>
      <c r="AM55" s="62">
        <f t="shared" si="272"/>
        <v>1</v>
      </c>
      <c r="AN55" s="62">
        <f t="shared" si="272"/>
        <v>1</v>
      </c>
      <c r="AO55" s="62">
        <f t="shared" si="272"/>
        <v>1</v>
      </c>
      <c r="AP55" s="62">
        <f t="shared" si="272"/>
        <v>1</v>
      </c>
      <c r="AQ55" s="62">
        <f t="shared" si="272"/>
        <v>1</v>
      </c>
      <c r="AR55" s="63">
        <f t="shared" si="272"/>
        <v>1</v>
      </c>
      <c r="AS55" s="61">
        <v>1</v>
      </c>
      <c r="AT55" s="62">
        <f t="shared" ref="AT55:AZ55" si="273">AS55</f>
        <v>1</v>
      </c>
      <c r="AU55" s="62">
        <f t="shared" si="273"/>
        <v>1</v>
      </c>
      <c r="AV55" s="62">
        <f t="shared" si="273"/>
        <v>1</v>
      </c>
      <c r="AW55" s="62">
        <f t="shared" si="273"/>
        <v>1</v>
      </c>
      <c r="AX55" s="62">
        <f t="shared" si="273"/>
        <v>1</v>
      </c>
      <c r="AY55" s="62">
        <f t="shared" si="273"/>
        <v>1</v>
      </c>
      <c r="AZ55" s="63">
        <f t="shared" si="273"/>
        <v>1</v>
      </c>
      <c r="BA55" s="37">
        <f t="shared" si="177"/>
        <v>48</v>
      </c>
      <c r="BB55" s="9">
        <f t="shared" si="7"/>
        <v>48</v>
      </c>
      <c r="BC55" s="10">
        <f t="shared" si="8"/>
        <v>100</v>
      </c>
    </row>
    <row r="56" spans="1:55" ht="15" customHeight="1" x14ac:dyDescent="0.35">
      <c r="A56" s="29">
        <v>820323205109</v>
      </c>
      <c r="B56" s="30" t="s">
        <v>66</v>
      </c>
      <c r="C56" s="11"/>
      <c r="D56" s="46"/>
      <c r="E56" s="61">
        <v>1</v>
      </c>
      <c r="F56" s="62">
        <f t="shared" ref="F56:L56" si="274">E56</f>
        <v>1</v>
      </c>
      <c r="G56" s="62">
        <f t="shared" si="274"/>
        <v>1</v>
      </c>
      <c r="H56" s="62">
        <f t="shared" si="274"/>
        <v>1</v>
      </c>
      <c r="I56" s="62">
        <f t="shared" si="274"/>
        <v>1</v>
      </c>
      <c r="J56" s="62">
        <f t="shared" si="274"/>
        <v>1</v>
      </c>
      <c r="K56" s="62">
        <f t="shared" si="274"/>
        <v>1</v>
      </c>
      <c r="L56" s="63">
        <f t="shared" si="274"/>
        <v>1</v>
      </c>
      <c r="M56" s="61">
        <v>1</v>
      </c>
      <c r="N56" s="62">
        <f t="shared" ref="N56:T56" si="275">M56</f>
        <v>1</v>
      </c>
      <c r="O56" s="62">
        <f t="shared" si="275"/>
        <v>1</v>
      </c>
      <c r="P56" s="62">
        <f t="shared" si="275"/>
        <v>1</v>
      </c>
      <c r="Q56" s="62">
        <f t="shared" si="275"/>
        <v>1</v>
      </c>
      <c r="R56" s="62">
        <f t="shared" si="275"/>
        <v>1</v>
      </c>
      <c r="S56" s="62">
        <f t="shared" si="275"/>
        <v>1</v>
      </c>
      <c r="T56" s="63">
        <f t="shared" si="275"/>
        <v>1</v>
      </c>
      <c r="U56" s="61">
        <v>1</v>
      </c>
      <c r="V56" s="62">
        <f t="shared" ref="V56:AB56" si="276">U56</f>
        <v>1</v>
      </c>
      <c r="W56" s="62">
        <f t="shared" si="276"/>
        <v>1</v>
      </c>
      <c r="X56" s="62">
        <f t="shared" si="276"/>
        <v>1</v>
      </c>
      <c r="Y56" s="62">
        <f t="shared" si="276"/>
        <v>1</v>
      </c>
      <c r="Z56" s="62">
        <f t="shared" si="276"/>
        <v>1</v>
      </c>
      <c r="AA56" s="62">
        <f t="shared" si="276"/>
        <v>1</v>
      </c>
      <c r="AB56" s="63">
        <f t="shared" si="276"/>
        <v>1</v>
      </c>
      <c r="AC56" s="61">
        <v>1</v>
      </c>
      <c r="AD56" s="62">
        <f t="shared" ref="AD56:AJ56" si="277">AC56</f>
        <v>1</v>
      </c>
      <c r="AE56" s="62">
        <f t="shared" si="277"/>
        <v>1</v>
      </c>
      <c r="AF56" s="62">
        <f t="shared" si="277"/>
        <v>1</v>
      </c>
      <c r="AG56" s="62">
        <f t="shared" si="277"/>
        <v>1</v>
      </c>
      <c r="AH56" s="62">
        <f t="shared" si="277"/>
        <v>1</v>
      </c>
      <c r="AI56" s="62">
        <f t="shared" si="277"/>
        <v>1</v>
      </c>
      <c r="AJ56" s="63">
        <f t="shared" si="277"/>
        <v>1</v>
      </c>
      <c r="AK56" s="61">
        <v>1</v>
      </c>
      <c r="AL56" s="62">
        <f t="shared" ref="AL56:AR56" si="278">AK56</f>
        <v>1</v>
      </c>
      <c r="AM56" s="62">
        <f t="shared" si="278"/>
        <v>1</v>
      </c>
      <c r="AN56" s="62">
        <f t="shared" si="278"/>
        <v>1</v>
      </c>
      <c r="AO56" s="62">
        <f t="shared" si="278"/>
        <v>1</v>
      </c>
      <c r="AP56" s="62">
        <f t="shared" si="278"/>
        <v>1</v>
      </c>
      <c r="AQ56" s="62">
        <f t="shared" si="278"/>
        <v>1</v>
      </c>
      <c r="AR56" s="63">
        <f t="shared" si="278"/>
        <v>1</v>
      </c>
      <c r="AS56" s="61">
        <v>1</v>
      </c>
      <c r="AT56" s="62">
        <f t="shared" ref="AT56:AZ56" si="279">AS56</f>
        <v>1</v>
      </c>
      <c r="AU56" s="62">
        <f t="shared" si="279"/>
        <v>1</v>
      </c>
      <c r="AV56" s="62">
        <f t="shared" si="279"/>
        <v>1</v>
      </c>
      <c r="AW56" s="62">
        <f t="shared" si="279"/>
        <v>1</v>
      </c>
      <c r="AX56" s="62">
        <f t="shared" si="279"/>
        <v>1</v>
      </c>
      <c r="AY56" s="62">
        <f t="shared" si="279"/>
        <v>1</v>
      </c>
      <c r="AZ56" s="63">
        <f t="shared" si="279"/>
        <v>1</v>
      </c>
      <c r="BA56" s="37">
        <f t="shared" si="177"/>
        <v>48</v>
      </c>
      <c r="BB56" s="9">
        <f t="shared" si="7"/>
        <v>48</v>
      </c>
      <c r="BC56" s="10">
        <f t="shared" si="8"/>
        <v>100</v>
      </c>
    </row>
    <row r="57" spans="1:55" ht="15" customHeight="1" x14ac:dyDescent="0.35">
      <c r="A57" s="29">
        <v>820323205110</v>
      </c>
      <c r="B57" s="30" t="s">
        <v>67</v>
      </c>
      <c r="C57" s="13"/>
      <c r="D57" s="46"/>
      <c r="E57" s="61">
        <v>1</v>
      </c>
      <c r="F57" s="62">
        <f t="shared" ref="F57:L57" si="280">E57</f>
        <v>1</v>
      </c>
      <c r="G57" s="62">
        <f t="shared" si="280"/>
        <v>1</v>
      </c>
      <c r="H57" s="62">
        <f t="shared" si="280"/>
        <v>1</v>
      </c>
      <c r="I57" s="62">
        <f t="shared" si="280"/>
        <v>1</v>
      </c>
      <c r="J57" s="62">
        <f t="shared" si="280"/>
        <v>1</v>
      </c>
      <c r="K57" s="62">
        <f t="shared" si="280"/>
        <v>1</v>
      </c>
      <c r="L57" s="63">
        <f t="shared" si="280"/>
        <v>1</v>
      </c>
      <c r="M57" s="61">
        <v>1</v>
      </c>
      <c r="N57" s="62">
        <f t="shared" ref="N57:T57" si="281">M57</f>
        <v>1</v>
      </c>
      <c r="O57" s="62">
        <f t="shared" si="281"/>
        <v>1</v>
      </c>
      <c r="P57" s="62">
        <f t="shared" si="281"/>
        <v>1</v>
      </c>
      <c r="Q57" s="62">
        <f t="shared" si="281"/>
        <v>1</v>
      </c>
      <c r="R57" s="62">
        <f t="shared" si="281"/>
        <v>1</v>
      </c>
      <c r="S57" s="62">
        <f t="shared" si="281"/>
        <v>1</v>
      </c>
      <c r="T57" s="63">
        <f t="shared" si="281"/>
        <v>1</v>
      </c>
      <c r="U57" s="61">
        <v>1</v>
      </c>
      <c r="V57" s="62">
        <f t="shared" ref="V57:AB57" si="282">U57</f>
        <v>1</v>
      </c>
      <c r="W57" s="62">
        <f t="shared" si="282"/>
        <v>1</v>
      </c>
      <c r="X57" s="62">
        <f t="shared" si="282"/>
        <v>1</v>
      </c>
      <c r="Y57" s="62">
        <f t="shared" si="282"/>
        <v>1</v>
      </c>
      <c r="Z57" s="62">
        <f t="shared" si="282"/>
        <v>1</v>
      </c>
      <c r="AA57" s="62">
        <f t="shared" si="282"/>
        <v>1</v>
      </c>
      <c r="AB57" s="63">
        <f t="shared" si="282"/>
        <v>1</v>
      </c>
      <c r="AC57" s="61">
        <v>1</v>
      </c>
      <c r="AD57" s="62">
        <f t="shared" ref="AD57:AJ57" si="283">AC57</f>
        <v>1</v>
      </c>
      <c r="AE57" s="62">
        <f t="shared" si="283"/>
        <v>1</v>
      </c>
      <c r="AF57" s="62">
        <f t="shared" si="283"/>
        <v>1</v>
      </c>
      <c r="AG57" s="62">
        <f t="shared" si="283"/>
        <v>1</v>
      </c>
      <c r="AH57" s="62">
        <f t="shared" si="283"/>
        <v>1</v>
      </c>
      <c r="AI57" s="62">
        <f t="shared" si="283"/>
        <v>1</v>
      </c>
      <c r="AJ57" s="63">
        <f t="shared" si="283"/>
        <v>1</v>
      </c>
      <c r="AK57" s="61">
        <v>1</v>
      </c>
      <c r="AL57" s="62">
        <f t="shared" ref="AL57:AR57" si="284">AK57</f>
        <v>1</v>
      </c>
      <c r="AM57" s="62">
        <f t="shared" si="284"/>
        <v>1</v>
      </c>
      <c r="AN57" s="62">
        <f t="shared" si="284"/>
        <v>1</v>
      </c>
      <c r="AO57" s="62">
        <f t="shared" si="284"/>
        <v>1</v>
      </c>
      <c r="AP57" s="62">
        <f t="shared" si="284"/>
        <v>1</v>
      </c>
      <c r="AQ57" s="62">
        <f t="shared" si="284"/>
        <v>1</v>
      </c>
      <c r="AR57" s="63">
        <f t="shared" si="284"/>
        <v>1</v>
      </c>
      <c r="AS57" s="61">
        <v>1</v>
      </c>
      <c r="AT57" s="62">
        <f t="shared" ref="AT57:AZ57" si="285">AS57</f>
        <v>1</v>
      </c>
      <c r="AU57" s="62">
        <f t="shared" si="285"/>
        <v>1</v>
      </c>
      <c r="AV57" s="62">
        <f t="shared" si="285"/>
        <v>1</v>
      </c>
      <c r="AW57" s="62">
        <f t="shared" si="285"/>
        <v>1</v>
      </c>
      <c r="AX57" s="62">
        <f t="shared" si="285"/>
        <v>1</v>
      </c>
      <c r="AY57" s="62">
        <f t="shared" si="285"/>
        <v>1</v>
      </c>
      <c r="AZ57" s="63">
        <f t="shared" si="285"/>
        <v>1</v>
      </c>
      <c r="BA57" s="37">
        <f t="shared" si="177"/>
        <v>48</v>
      </c>
      <c r="BB57" s="9">
        <f t="shared" si="7"/>
        <v>48</v>
      </c>
      <c r="BC57" s="10">
        <f t="shared" si="8"/>
        <v>100</v>
      </c>
    </row>
    <row r="58" spans="1:55" ht="15" customHeight="1" x14ac:dyDescent="0.35">
      <c r="A58" s="29">
        <v>820323205111</v>
      </c>
      <c r="B58" s="30" t="s">
        <v>68</v>
      </c>
      <c r="C58" s="13"/>
      <c r="D58" s="46"/>
      <c r="E58" s="61">
        <v>1</v>
      </c>
      <c r="F58" s="62">
        <f t="shared" ref="F58:L58" si="286">E58</f>
        <v>1</v>
      </c>
      <c r="G58" s="62">
        <f t="shared" si="286"/>
        <v>1</v>
      </c>
      <c r="H58" s="62">
        <f t="shared" si="286"/>
        <v>1</v>
      </c>
      <c r="I58" s="62">
        <f t="shared" si="286"/>
        <v>1</v>
      </c>
      <c r="J58" s="62">
        <f t="shared" si="286"/>
        <v>1</v>
      </c>
      <c r="K58" s="62">
        <f t="shared" si="286"/>
        <v>1</v>
      </c>
      <c r="L58" s="63">
        <f t="shared" si="286"/>
        <v>1</v>
      </c>
      <c r="M58" s="61">
        <v>1</v>
      </c>
      <c r="N58" s="62">
        <f t="shared" ref="N58:T58" si="287">M58</f>
        <v>1</v>
      </c>
      <c r="O58" s="62">
        <f t="shared" si="287"/>
        <v>1</v>
      </c>
      <c r="P58" s="62">
        <f t="shared" si="287"/>
        <v>1</v>
      </c>
      <c r="Q58" s="62">
        <f t="shared" si="287"/>
        <v>1</v>
      </c>
      <c r="R58" s="62">
        <f t="shared" si="287"/>
        <v>1</v>
      </c>
      <c r="S58" s="62">
        <f t="shared" si="287"/>
        <v>1</v>
      </c>
      <c r="T58" s="63">
        <f t="shared" si="287"/>
        <v>1</v>
      </c>
      <c r="U58" s="61">
        <v>1</v>
      </c>
      <c r="V58" s="62">
        <f t="shared" ref="V58:AB58" si="288">U58</f>
        <v>1</v>
      </c>
      <c r="W58" s="62">
        <f t="shared" si="288"/>
        <v>1</v>
      </c>
      <c r="X58" s="62">
        <f t="shared" si="288"/>
        <v>1</v>
      </c>
      <c r="Y58" s="62">
        <f t="shared" si="288"/>
        <v>1</v>
      </c>
      <c r="Z58" s="62">
        <f t="shared" si="288"/>
        <v>1</v>
      </c>
      <c r="AA58" s="62">
        <f t="shared" si="288"/>
        <v>1</v>
      </c>
      <c r="AB58" s="63">
        <f t="shared" si="288"/>
        <v>1</v>
      </c>
      <c r="AC58" s="61">
        <v>1</v>
      </c>
      <c r="AD58" s="62">
        <f t="shared" ref="AD58:AJ58" si="289">AC58</f>
        <v>1</v>
      </c>
      <c r="AE58" s="62">
        <f t="shared" si="289"/>
        <v>1</v>
      </c>
      <c r="AF58" s="62">
        <f t="shared" si="289"/>
        <v>1</v>
      </c>
      <c r="AG58" s="62">
        <f t="shared" si="289"/>
        <v>1</v>
      </c>
      <c r="AH58" s="62">
        <f t="shared" si="289"/>
        <v>1</v>
      </c>
      <c r="AI58" s="62">
        <f t="shared" si="289"/>
        <v>1</v>
      </c>
      <c r="AJ58" s="63">
        <f t="shared" si="289"/>
        <v>1</v>
      </c>
      <c r="AK58" s="61">
        <v>1</v>
      </c>
      <c r="AL58" s="62">
        <f t="shared" ref="AL58:AR58" si="290">AK58</f>
        <v>1</v>
      </c>
      <c r="AM58" s="62">
        <f t="shared" si="290"/>
        <v>1</v>
      </c>
      <c r="AN58" s="62">
        <f t="shared" si="290"/>
        <v>1</v>
      </c>
      <c r="AO58" s="62">
        <f t="shared" si="290"/>
        <v>1</v>
      </c>
      <c r="AP58" s="62">
        <f t="shared" si="290"/>
        <v>1</v>
      </c>
      <c r="AQ58" s="62">
        <f t="shared" si="290"/>
        <v>1</v>
      </c>
      <c r="AR58" s="63">
        <f t="shared" si="290"/>
        <v>1</v>
      </c>
      <c r="AS58" s="61">
        <v>1</v>
      </c>
      <c r="AT58" s="62">
        <f t="shared" ref="AT58:AZ58" si="291">AS58</f>
        <v>1</v>
      </c>
      <c r="AU58" s="62">
        <f t="shared" si="291"/>
        <v>1</v>
      </c>
      <c r="AV58" s="62">
        <f t="shared" si="291"/>
        <v>1</v>
      </c>
      <c r="AW58" s="62">
        <f t="shared" si="291"/>
        <v>1</v>
      </c>
      <c r="AX58" s="62">
        <f t="shared" si="291"/>
        <v>1</v>
      </c>
      <c r="AY58" s="62">
        <f t="shared" si="291"/>
        <v>1</v>
      </c>
      <c r="AZ58" s="63">
        <f t="shared" si="291"/>
        <v>1</v>
      </c>
      <c r="BA58" s="37">
        <f t="shared" si="177"/>
        <v>48</v>
      </c>
      <c r="BB58" s="9">
        <f t="shared" si="7"/>
        <v>48</v>
      </c>
      <c r="BC58" s="10">
        <f t="shared" si="8"/>
        <v>100</v>
      </c>
    </row>
    <row r="59" spans="1:55" ht="15" customHeight="1" x14ac:dyDescent="0.35">
      <c r="A59" s="29">
        <v>820323205112</v>
      </c>
      <c r="B59" s="30" t="s">
        <v>69</v>
      </c>
      <c r="C59" s="11"/>
      <c r="D59" s="46"/>
      <c r="E59" s="61">
        <v>1</v>
      </c>
      <c r="F59" s="62">
        <f t="shared" ref="F59:L59" si="292">E59</f>
        <v>1</v>
      </c>
      <c r="G59" s="62">
        <f t="shared" si="292"/>
        <v>1</v>
      </c>
      <c r="H59" s="62">
        <f t="shared" si="292"/>
        <v>1</v>
      </c>
      <c r="I59" s="62">
        <f t="shared" si="292"/>
        <v>1</v>
      </c>
      <c r="J59" s="62">
        <f t="shared" si="292"/>
        <v>1</v>
      </c>
      <c r="K59" s="62">
        <f t="shared" si="292"/>
        <v>1</v>
      </c>
      <c r="L59" s="63">
        <f t="shared" si="292"/>
        <v>1</v>
      </c>
      <c r="M59" s="61">
        <v>1</v>
      </c>
      <c r="N59" s="62">
        <f t="shared" ref="N59:T59" si="293">M59</f>
        <v>1</v>
      </c>
      <c r="O59" s="62">
        <f t="shared" si="293"/>
        <v>1</v>
      </c>
      <c r="P59" s="62">
        <f t="shared" si="293"/>
        <v>1</v>
      </c>
      <c r="Q59" s="62">
        <f t="shared" si="293"/>
        <v>1</v>
      </c>
      <c r="R59" s="62">
        <f t="shared" si="293"/>
        <v>1</v>
      </c>
      <c r="S59" s="62">
        <f t="shared" si="293"/>
        <v>1</v>
      </c>
      <c r="T59" s="63">
        <f t="shared" si="293"/>
        <v>1</v>
      </c>
      <c r="U59" s="61">
        <v>1</v>
      </c>
      <c r="V59" s="62">
        <f t="shared" ref="V59:AB59" si="294">U59</f>
        <v>1</v>
      </c>
      <c r="W59" s="62">
        <f t="shared" si="294"/>
        <v>1</v>
      </c>
      <c r="X59" s="62">
        <f t="shared" si="294"/>
        <v>1</v>
      </c>
      <c r="Y59" s="62">
        <f t="shared" si="294"/>
        <v>1</v>
      </c>
      <c r="Z59" s="62">
        <f t="shared" si="294"/>
        <v>1</v>
      </c>
      <c r="AA59" s="62">
        <f t="shared" si="294"/>
        <v>1</v>
      </c>
      <c r="AB59" s="63">
        <f t="shared" si="294"/>
        <v>1</v>
      </c>
      <c r="AC59" s="61">
        <v>1</v>
      </c>
      <c r="AD59" s="62">
        <f t="shared" ref="AD59:AJ59" si="295">AC59</f>
        <v>1</v>
      </c>
      <c r="AE59" s="62">
        <f t="shared" si="295"/>
        <v>1</v>
      </c>
      <c r="AF59" s="62">
        <f t="shared" si="295"/>
        <v>1</v>
      </c>
      <c r="AG59" s="62">
        <f t="shared" si="295"/>
        <v>1</v>
      </c>
      <c r="AH59" s="62">
        <f t="shared" si="295"/>
        <v>1</v>
      </c>
      <c r="AI59" s="62">
        <f t="shared" si="295"/>
        <v>1</v>
      </c>
      <c r="AJ59" s="63">
        <f t="shared" si="295"/>
        <v>1</v>
      </c>
      <c r="AK59" s="61">
        <v>1</v>
      </c>
      <c r="AL59" s="62">
        <f t="shared" ref="AL59:AR59" si="296">AK59</f>
        <v>1</v>
      </c>
      <c r="AM59" s="62">
        <f t="shared" si="296"/>
        <v>1</v>
      </c>
      <c r="AN59" s="62">
        <f t="shared" si="296"/>
        <v>1</v>
      </c>
      <c r="AO59" s="62">
        <f t="shared" si="296"/>
        <v>1</v>
      </c>
      <c r="AP59" s="62">
        <f t="shared" si="296"/>
        <v>1</v>
      </c>
      <c r="AQ59" s="62">
        <f t="shared" si="296"/>
        <v>1</v>
      </c>
      <c r="AR59" s="63">
        <f t="shared" si="296"/>
        <v>1</v>
      </c>
      <c r="AS59" s="61">
        <v>1</v>
      </c>
      <c r="AT59" s="62">
        <f t="shared" ref="AT59:AZ59" si="297">AS59</f>
        <v>1</v>
      </c>
      <c r="AU59" s="62">
        <f t="shared" si="297"/>
        <v>1</v>
      </c>
      <c r="AV59" s="62">
        <f t="shared" si="297"/>
        <v>1</v>
      </c>
      <c r="AW59" s="62">
        <f t="shared" si="297"/>
        <v>1</v>
      </c>
      <c r="AX59" s="62">
        <f t="shared" si="297"/>
        <v>1</v>
      </c>
      <c r="AY59" s="62">
        <f t="shared" si="297"/>
        <v>1</v>
      </c>
      <c r="AZ59" s="63">
        <f t="shared" si="297"/>
        <v>1</v>
      </c>
      <c r="BA59" s="37">
        <f t="shared" si="177"/>
        <v>48</v>
      </c>
      <c r="BB59" s="9">
        <f t="shared" si="7"/>
        <v>48</v>
      </c>
      <c r="BC59" s="10">
        <f t="shared" si="8"/>
        <v>100</v>
      </c>
    </row>
    <row r="60" spans="1:55" ht="15" customHeight="1" x14ac:dyDescent="0.35">
      <c r="A60" s="29">
        <v>820323205113</v>
      </c>
      <c r="B60" s="30" t="s">
        <v>70</v>
      </c>
      <c r="C60" s="11"/>
      <c r="D60" s="46"/>
      <c r="E60" s="61">
        <v>1</v>
      </c>
      <c r="F60" s="62">
        <f t="shared" ref="F60:L60" si="298">E60</f>
        <v>1</v>
      </c>
      <c r="G60" s="62">
        <f t="shared" si="298"/>
        <v>1</v>
      </c>
      <c r="H60" s="62">
        <f t="shared" si="298"/>
        <v>1</v>
      </c>
      <c r="I60" s="62">
        <f t="shared" si="298"/>
        <v>1</v>
      </c>
      <c r="J60" s="62">
        <f t="shared" si="298"/>
        <v>1</v>
      </c>
      <c r="K60" s="62">
        <f t="shared" si="298"/>
        <v>1</v>
      </c>
      <c r="L60" s="63">
        <f t="shared" si="298"/>
        <v>1</v>
      </c>
      <c r="M60" s="61">
        <v>1</v>
      </c>
      <c r="N60" s="62">
        <f t="shared" ref="N60:T60" si="299">M60</f>
        <v>1</v>
      </c>
      <c r="O60" s="62">
        <f t="shared" si="299"/>
        <v>1</v>
      </c>
      <c r="P60" s="62">
        <f t="shared" si="299"/>
        <v>1</v>
      </c>
      <c r="Q60" s="62">
        <f t="shared" si="299"/>
        <v>1</v>
      </c>
      <c r="R60" s="62">
        <f t="shared" si="299"/>
        <v>1</v>
      </c>
      <c r="S60" s="62">
        <f t="shared" si="299"/>
        <v>1</v>
      </c>
      <c r="T60" s="63">
        <f t="shared" si="299"/>
        <v>1</v>
      </c>
      <c r="U60" s="61">
        <v>1</v>
      </c>
      <c r="V60" s="62">
        <f t="shared" ref="V60:AB60" si="300">U60</f>
        <v>1</v>
      </c>
      <c r="W60" s="62">
        <f t="shared" si="300"/>
        <v>1</v>
      </c>
      <c r="X60" s="62">
        <f t="shared" si="300"/>
        <v>1</v>
      </c>
      <c r="Y60" s="62">
        <f t="shared" si="300"/>
        <v>1</v>
      </c>
      <c r="Z60" s="62">
        <f t="shared" si="300"/>
        <v>1</v>
      </c>
      <c r="AA60" s="62">
        <f t="shared" si="300"/>
        <v>1</v>
      </c>
      <c r="AB60" s="63">
        <f t="shared" si="300"/>
        <v>1</v>
      </c>
      <c r="AC60" s="61">
        <v>1</v>
      </c>
      <c r="AD60" s="62">
        <f t="shared" ref="AD60:AJ60" si="301">AC60</f>
        <v>1</v>
      </c>
      <c r="AE60" s="62">
        <f t="shared" si="301"/>
        <v>1</v>
      </c>
      <c r="AF60" s="62">
        <f t="shared" si="301"/>
        <v>1</v>
      </c>
      <c r="AG60" s="62">
        <f t="shared" si="301"/>
        <v>1</v>
      </c>
      <c r="AH60" s="62">
        <f t="shared" si="301"/>
        <v>1</v>
      </c>
      <c r="AI60" s="62">
        <f t="shared" si="301"/>
        <v>1</v>
      </c>
      <c r="AJ60" s="63">
        <f t="shared" si="301"/>
        <v>1</v>
      </c>
      <c r="AK60" s="61">
        <v>1</v>
      </c>
      <c r="AL60" s="62">
        <f t="shared" ref="AL60:AR60" si="302">AK60</f>
        <v>1</v>
      </c>
      <c r="AM60" s="62">
        <f t="shared" si="302"/>
        <v>1</v>
      </c>
      <c r="AN60" s="62">
        <f t="shared" si="302"/>
        <v>1</v>
      </c>
      <c r="AO60" s="62">
        <f t="shared" si="302"/>
        <v>1</v>
      </c>
      <c r="AP60" s="62">
        <f t="shared" si="302"/>
        <v>1</v>
      </c>
      <c r="AQ60" s="62">
        <f t="shared" si="302"/>
        <v>1</v>
      </c>
      <c r="AR60" s="63">
        <f t="shared" si="302"/>
        <v>1</v>
      </c>
      <c r="AS60" s="61">
        <v>1</v>
      </c>
      <c r="AT60" s="62">
        <f t="shared" ref="AT60:AZ60" si="303">AS60</f>
        <v>1</v>
      </c>
      <c r="AU60" s="62">
        <f t="shared" si="303"/>
        <v>1</v>
      </c>
      <c r="AV60" s="62">
        <f t="shared" si="303"/>
        <v>1</v>
      </c>
      <c r="AW60" s="62">
        <f t="shared" si="303"/>
        <v>1</v>
      </c>
      <c r="AX60" s="62">
        <f t="shared" si="303"/>
        <v>1</v>
      </c>
      <c r="AY60" s="62">
        <f t="shared" si="303"/>
        <v>1</v>
      </c>
      <c r="AZ60" s="63">
        <f t="shared" si="303"/>
        <v>1</v>
      </c>
      <c r="BA60" s="37">
        <f t="shared" si="177"/>
        <v>48</v>
      </c>
      <c r="BB60" s="9">
        <f t="shared" si="7"/>
        <v>48</v>
      </c>
      <c r="BC60" s="10">
        <f t="shared" si="8"/>
        <v>100</v>
      </c>
    </row>
    <row r="61" spans="1:55" ht="15" customHeight="1" x14ac:dyDescent="0.35">
      <c r="A61" s="29">
        <v>820323205114</v>
      </c>
      <c r="B61" s="30" t="s">
        <v>71</v>
      </c>
      <c r="C61" s="11"/>
      <c r="D61" s="46"/>
      <c r="E61" s="61">
        <v>1</v>
      </c>
      <c r="F61" s="62">
        <f t="shared" ref="F61:L61" si="304">E61</f>
        <v>1</v>
      </c>
      <c r="G61" s="62">
        <f t="shared" si="304"/>
        <v>1</v>
      </c>
      <c r="H61" s="62">
        <f t="shared" si="304"/>
        <v>1</v>
      </c>
      <c r="I61" s="62">
        <f t="shared" si="304"/>
        <v>1</v>
      </c>
      <c r="J61" s="62">
        <f t="shared" si="304"/>
        <v>1</v>
      </c>
      <c r="K61" s="62">
        <f t="shared" si="304"/>
        <v>1</v>
      </c>
      <c r="L61" s="63">
        <f t="shared" si="304"/>
        <v>1</v>
      </c>
      <c r="M61" s="61">
        <v>1</v>
      </c>
      <c r="N61" s="62">
        <f t="shared" ref="N61:T61" si="305">M61</f>
        <v>1</v>
      </c>
      <c r="O61" s="62">
        <f t="shared" si="305"/>
        <v>1</v>
      </c>
      <c r="P61" s="62">
        <f t="shared" si="305"/>
        <v>1</v>
      </c>
      <c r="Q61" s="62">
        <f t="shared" si="305"/>
        <v>1</v>
      </c>
      <c r="R61" s="62">
        <f t="shared" si="305"/>
        <v>1</v>
      </c>
      <c r="S61" s="62">
        <f t="shared" si="305"/>
        <v>1</v>
      </c>
      <c r="T61" s="63">
        <f t="shared" si="305"/>
        <v>1</v>
      </c>
      <c r="U61" s="61">
        <v>1</v>
      </c>
      <c r="V61" s="62">
        <f t="shared" ref="V61:AB61" si="306">U61</f>
        <v>1</v>
      </c>
      <c r="W61" s="62">
        <f t="shared" si="306"/>
        <v>1</v>
      </c>
      <c r="X61" s="62">
        <f t="shared" si="306"/>
        <v>1</v>
      </c>
      <c r="Y61" s="62">
        <f t="shared" si="306"/>
        <v>1</v>
      </c>
      <c r="Z61" s="62">
        <f t="shared" si="306"/>
        <v>1</v>
      </c>
      <c r="AA61" s="62">
        <f t="shared" si="306"/>
        <v>1</v>
      </c>
      <c r="AB61" s="63">
        <f t="shared" si="306"/>
        <v>1</v>
      </c>
      <c r="AC61" s="61">
        <v>1</v>
      </c>
      <c r="AD61" s="62">
        <f t="shared" ref="AD61:AJ61" si="307">AC61</f>
        <v>1</v>
      </c>
      <c r="AE61" s="62">
        <f t="shared" si="307"/>
        <v>1</v>
      </c>
      <c r="AF61" s="62">
        <f t="shared" si="307"/>
        <v>1</v>
      </c>
      <c r="AG61" s="62">
        <f t="shared" si="307"/>
        <v>1</v>
      </c>
      <c r="AH61" s="62">
        <f t="shared" si="307"/>
        <v>1</v>
      </c>
      <c r="AI61" s="62">
        <f t="shared" si="307"/>
        <v>1</v>
      </c>
      <c r="AJ61" s="63">
        <f t="shared" si="307"/>
        <v>1</v>
      </c>
      <c r="AK61" s="61">
        <v>1</v>
      </c>
      <c r="AL61" s="62">
        <f t="shared" ref="AL61:AR61" si="308">AK61</f>
        <v>1</v>
      </c>
      <c r="AM61" s="62">
        <f t="shared" si="308"/>
        <v>1</v>
      </c>
      <c r="AN61" s="62">
        <f t="shared" si="308"/>
        <v>1</v>
      </c>
      <c r="AO61" s="62">
        <f t="shared" si="308"/>
        <v>1</v>
      </c>
      <c r="AP61" s="62">
        <f t="shared" si="308"/>
        <v>1</v>
      </c>
      <c r="AQ61" s="62">
        <f t="shared" si="308"/>
        <v>1</v>
      </c>
      <c r="AR61" s="63">
        <f t="shared" si="308"/>
        <v>1</v>
      </c>
      <c r="AS61" s="61">
        <v>1</v>
      </c>
      <c r="AT61" s="62">
        <f t="shared" ref="AT61:AZ61" si="309">AS61</f>
        <v>1</v>
      </c>
      <c r="AU61" s="62">
        <f t="shared" si="309"/>
        <v>1</v>
      </c>
      <c r="AV61" s="62">
        <f t="shared" si="309"/>
        <v>1</v>
      </c>
      <c r="AW61" s="62">
        <f t="shared" si="309"/>
        <v>1</v>
      </c>
      <c r="AX61" s="62">
        <f t="shared" si="309"/>
        <v>1</v>
      </c>
      <c r="AY61" s="62">
        <f t="shared" si="309"/>
        <v>1</v>
      </c>
      <c r="AZ61" s="63">
        <f t="shared" si="309"/>
        <v>1</v>
      </c>
      <c r="BA61" s="37">
        <f t="shared" si="177"/>
        <v>48</v>
      </c>
      <c r="BB61" s="9">
        <f t="shared" si="7"/>
        <v>48</v>
      </c>
      <c r="BC61" s="10">
        <f t="shared" si="8"/>
        <v>100</v>
      </c>
    </row>
    <row r="62" spans="1:55" ht="15" customHeight="1" x14ac:dyDescent="0.35">
      <c r="A62" s="31">
        <v>820323205115</v>
      </c>
      <c r="B62" s="32" t="s">
        <v>72</v>
      </c>
      <c r="C62" s="33"/>
      <c r="D62" s="46"/>
      <c r="E62" s="61">
        <v>1</v>
      </c>
      <c r="F62" s="62">
        <f t="shared" ref="F62:L62" si="310">E62</f>
        <v>1</v>
      </c>
      <c r="G62" s="62">
        <f t="shared" si="310"/>
        <v>1</v>
      </c>
      <c r="H62" s="62">
        <f t="shared" si="310"/>
        <v>1</v>
      </c>
      <c r="I62" s="62">
        <f t="shared" si="310"/>
        <v>1</v>
      </c>
      <c r="J62" s="62">
        <f t="shared" si="310"/>
        <v>1</v>
      </c>
      <c r="K62" s="62">
        <f t="shared" si="310"/>
        <v>1</v>
      </c>
      <c r="L62" s="63">
        <f t="shared" si="310"/>
        <v>1</v>
      </c>
      <c r="M62" s="61">
        <v>1</v>
      </c>
      <c r="N62" s="62">
        <f t="shared" ref="N62:T62" si="311">M62</f>
        <v>1</v>
      </c>
      <c r="O62" s="62">
        <f t="shared" si="311"/>
        <v>1</v>
      </c>
      <c r="P62" s="62">
        <f t="shared" si="311"/>
        <v>1</v>
      </c>
      <c r="Q62" s="62">
        <f t="shared" si="311"/>
        <v>1</v>
      </c>
      <c r="R62" s="62">
        <f t="shared" si="311"/>
        <v>1</v>
      </c>
      <c r="S62" s="62">
        <f t="shared" si="311"/>
        <v>1</v>
      </c>
      <c r="T62" s="63">
        <f t="shared" si="311"/>
        <v>1</v>
      </c>
      <c r="U62" s="61">
        <v>1</v>
      </c>
      <c r="V62" s="62">
        <f t="shared" ref="V62:AB62" si="312">U62</f>
        <v>1</v>
      </c>
      <c r="W62" s="62">
        <f t="shared" si="312"/>
        <v>1</v>
      </c>
      <c r="X62" s="62">
        <f t="shared" si="312"/>
        <v>1</v>
      </c>
      <c r="Y62" s="62">
        <f t="shared" si="312"/>
        <v>1</v>
      </c>
      <c r="Z62" s="62">
        <f t="shared" si="312"/>
        <v>1</v>
      </c>
      <c r="AA62" s="62">
        <f t="shared" si="312"/>
        <v>1</v>
      </c>
      <c r="AB62" s="63">
        <f t="shared" si="312"/>
        <v>1</v>
      </c>
      <c r="AC62" s="61">
        <v>1</v>
      </c>
      <c r="AD62" s="62">
        <f t="shared" ref="AD62:AJ62" si="313">AC62</f>
        <v>1</v>
      </c>
      <c r="AE62" s="62">
        <f t="shared" si="313"/>
        <v>1</v>
      </c>
      <c r="AF62" s="62">
        <f t="shared" si="313"/>
        <v>1</v>
      </c>
      <c r="AG62" s="62">
        <f t="shared" si="313"/>
        <v>1</v>
      </c>
      <c r="AH62" s="62">
        <f t="shared" si="313"/>
        <v>1</v>
      </c>
      <c r="AI62" s="62">
        <f t="shared" si="313"/>
        <v>1</v>
      </c>
      <c r="AJ62" s="63">
        <f t="shared" si="313"/>
        <v>1</v>
      </c>
      <c r="AK62" s="61">
        <v>1</v>
      </c>
      <c r="AL62" s="62">
        <f t="shared" ref="AL62:AR62" si="314">AK62</f>
        <v>1</v>
      </c>
      <c r="AM62" s="62">
        <f t="shared" si="314"/>
        <v>1</v>
      </c>
      <c r="AN62" s="62">
        <f t="shared" si="314"/>
        <v>1</v>
      </c>
      <c r="AO62" s="62">
        <f t="shared" si="314"/>
        <v>1</v>
      </c>
      <c r="AP62" s="62">
        <f t="shared" si="314"/>
        <v>1</v>
      </c>
      <c r="AQ62" s="62">
        <f t="shared" si="314"/>
        <v>1</v>
      </c>
      <c r="AR62" s="63">
        <f t="shared" si="314"/>
        <v>1</v>
      </c>
      <c r="AS62" s="61">
        <v>1</v>
      </c>
      <c r="AT62" s="62">
        <f t="shared" ref="AT62:AZ62" si="315">AS62</f>
        <v>1</v>
      </c>
      <c r="AU62" s="62">
        <f t="shared" si="315"/>
        <v>1</v>
      </c>
      <c r="AV62" s="62">
        <f t="shared" si="315"/>
        <v>1</v>
      </c>
      <c r="AW62" s="62">
        <f t="shared" si="315"/>
        <v>1</v>
      </c>
      <c r="AX62" s="62">
        <f t="shared" si="315"/>
        <v>1</v>
      </c>
      <c r="AY62" s="62">
        <f t="shared" si="315"/>
        <v>1</v>
      </c>
      <c r="AZ62" s="63">
        <f t="shared" si="315"/>
        <v>1</v>
      </c>
      <c r="BA62" s="42">
        <f t="shared" si="177"/>
        <v>48</v>
      </c>
      <c r="BB62" s="9">
        <f t="shared" si="7"/>
        <v>48</v>
      </c>
      <c r="BC62" s="10">
        <f t="shared" si="8"/>
        <v>100</v>
      </c>
    </row>
    <row r="63" spans="1:55" ht="15" customHeight="1" x14ac:dyDescent="0.35">
      <c r="A63" s="31">
        <v>820323205116</v>
      </c>
      <c r="B63" s="32" t="s">
        <v>73</v>
      </c>
      <c r="C63" s="35"/>
      <c r="D63" s="46"/>
      <c r="E63" s="61">
        <v>1</v>
      </c>
      <c r="F63" s="62">
        <f t="shared" ref="F63:L63" si="316">E63</f>
        <v>1</v>
      </c>
      <c r="G63" s="62">
        <f t="shared" si="316"/>
        <v>1</v>
      </c>
      <c r="H63" s="62">
        <f t="shared" si="316"/>
        <v>1</v>
      </c>
      <c r="I63" s="62">
        <f t="shared" si="316"/>
        <v>1</v>
      </c>
      <c r="J63" s="62">
        <f t="shared" si="316"/>
        <v>1</v>
      </c>
      <c r="K63" s="62">
        <f t="shared" si="316"/>
        <v>1</v>
      </c>
      <c r="L63" s="63">
        <f t="shared" si="316"/>
        <v>1</v>
      </c>
      <c r="M63" s="61">
        <v>1</v>
      </c>
      <c r="N63" s="62">
        <f t="shared" ref="N63:T63" si="317">M63</f>
        <v>1</v>
      </c>
      <c r="O63" s="62">
        <f t="shared" si="317"/>
        <v>1</v>
      </c>
      <c r="P63" s="62">
        <f t="shared" si="317"/>
        <v>1</v>
      </c>
      <c r="Q63" s="62">
        <f t="shared" si="317"/>
        <v>1</v>
      </c>
      <c r="R63" s="62">
        <f t="shared" si="317"/>
        <v>1</v>
      </c>
      <c r="S63" s="62">
        <f t="shared" si="317"/>
        <v>1</v>
      </c>
      <c r="T63" s="63">
        <f t="shared" si="317"/>
        <v>1</v>
      </c>
      <c r="U63" s="61">
        <v>1</v>
      </c>
      <c r="V63" s="62">
        <f t="shared" ref="V63:AB63" si="318">U63</f>
        <v>1</v>
      </c>
      <c r="W63" s="62">
        <f t="shared" si="318"/>
        <v>1</v>
      </c>
      <c r="X63" s="62">
        <f t="shared" si="318"/>
        <v>1</v>
      </c>
      <c r="Y63" s="62">
        <f t="shared" si="318"/>
        <v>1</v>
      </c>
      <c r="Z63" s="62">
        <f t="shared" si="318"/>
        <v>1</v>
      </c>
      <c r="AA63" s="62">
        <f t="shared" si="318"/>
        <v>1</v>
      </c>
      <c r="AB63" s="63">
        <f t="shared" si="318"/>
        <v>1</v>
      </c>
      <c r="AC63" s="61">
        <v>1</v>
      </c>
      <c r="AD63" s="62">
        <f t="shared" ref="AD63:AJ63" si="319">AC63</f>
        <v>1</v>
      </c>
      <c r="AE63" s="62">
        <f t="shared" si="319"/>
        <v>1</v>
      </c>
      <c r="AF63" s="62">
        <f t="shared" si="319"/>
        <v>1</v>
      </c>
      <c r="AG63" s="62">
        <f t="shared" si="319"/>
        <v>1</v>
      </c>
      <c r="AH63" s="62">
        <f t="shared" si="319"/>
        <v>1</v>
      </c>
      <c r="AI63" s="62">
        <f t="shared" si="319"/>
        <v>1</v>
      </c>
      <c r="AJ63" s="63">
        <f t="shared" si="319"/>
        <v>1</v>
      </c>
      <c r="AK63" s="61">
        <v>1</v>
      </c>
      <c r="AL63" s="62">
        <f t="shared" ref="AL63:AR63" si="320">AK63</f>
        <v>1</v>
      </c>
      <c r="AM63" s="62">
        <f t="shared" si="320"/>
        <v>1</v>
      </c>
      <c r="AN63" s="62">
        <f t="shared" si="320"/>
        <v>1</v>
      </c>
      <c r="AO63" s="62">
        <f t="shared" si="320"/>
        <v>1</v>
      </c>
      <c r="AP63" s="62">
        <f t="shared" si="320"/>
        <v>1</v>
      </c>
      <c r="AQ63" s="62">
        <f t="shared" si="320"/>
        <v>1</v>
      </c>
      <c r="AR63" s="63">
        <f t="shared" si="320"/>
        <v>1</v>
      </c>
      <c r="AS63" s="61">
        <v>1</v>
      </c>
      <c r="AT63" s="62">
        <f t="shared" ref="AT63:AZ63" si="321">AS63</f>
        <v>1</v>
      </c>
      <c r="AU63" s="62">
        <f t="shared" si="321"/>
        <v>1</v>
      </c>
      <c r="AV63" s="62">
        <f t="shared" si="321"/>
        <v>1</v>
      </c>
      <c r="AW63" s="62">
        <f t="shared" si="321"/>
        <v>1</v>
      </c>
      <c r="AX63" s="62">
        <f t="shared" si="321"/>
        <v>1</v>
      </c>
      <c r="AY63" s="62">
        <f t="shared" si="321"/>
        <v>1</v>
      </c>
      <c r="AZ63" s="63">
        <f t="shared" si="321"/>
        <v>1</v>
      </c>
      <c r="BA63" s="42">
        <f t="shared" si="177"/>
        <v>48</v>
      </c>
      <c r="BB63" s="9">
        <f t="shared" si="7"/>
        <v>48</v>
      </c>
      <c r="BC63" s="10">
        <f t="shared" si="8"/>
        <v>100</v>
      </c>
    </row>
    <row r="64" spans="1:55" ht="15" customHeight="1" x14ac:dyDescent="0.35">
      <c r="A64" s="31">
        <v>820323205117</v>
      </c>
      <c r="B64" s="32" t="s">
        <v>74</v>
      </c>
      <c r="C64" s="35"/>
      <c r="D64" s="46"/>
      <c r="E64" s="61">
        <v>1</v>
      </c>
      <c r="F64" s="62">
        <f t="shared" ref="F64:L64" si="322">E64</f>
        <v>1</v>
      </c>
      <c r="G64" s="62">
        <f t="shared" si="322"/>
        <v>1</v>
      </c>
      <c r="H64" s="62">
        <f t="shared" si="322"/>
        <v>1</v>
      </c>
      <c r="I64" s="62">
        <f t="shared" si="322"/>
        <v>1</v>
      </c>
      <c r="J64" s="62">
        <f t="shared" si="322"/>
        <v>1</v>
      </c>
      <c r="K64" s="62">
        <f t="shared" si="322"/>
        <v>1</v>
      </c>
      <c r="L64" s="63">
        <f t="shared" si="322"/>
        <v>1</v>
      </c>
      <c r="M64" s="61">
        <v>1</v>
      </c>
      <c r="N64" s="62">
        <f t="shared" ref="N64:T64" si="323">M64</f>
        <v>1</v>
      </c>
      <c r="O64" s="62">
        <f t="shared" si="323"/>
        <v>1</v>
      </c>
      <c r="P64" s="62">
        <f t="shared" si="323"/>
        <v>1</v>
      </c>
      <c r="Q64" s="62">
        <f t="shared" si="323"/>
        <v>1</v>
      </c>
      <c r="R64" s="62">
        <f t="shared" si="323"/>
        <v>1</v>
      </c>
      <c r="S64" s="62">
        <f t="shared" si="323"/>
        <v>1</v>
      </c>
      <c r="T64" s="63">
        <f t="shared" si="323"/>
        <v>1</v>
      </c>
      <c r="U64" s="61">
        <v>1</v>
      </c>
      <c r="V64" s="62">
        <f t="shared" ref="V64:AB64" si="324">U64</f>
        <v>1</v>
      </c>
      <c r="W64" s="62">
        <f t="shared" si="324"/>
        <v>1</v>
      </c>
      <c r="X64" s="62">
        <f t="shared" si="324"/>
        <v>1</v>
      </c>
      <c r="Y64" s="62">
        <f t="shared" si="324"/>
        <v>1</v>
      </c>
      <c r="Z64" s="62">
        <f t="shared" si="324"/>
        <v>1</v>
      </c>
      <c r="AA64" s="62">
        <f t="shared" si="324"/>
        <v>1</v>
      </c>
      <c r="AB64" s="63">
        <f t="shared" si="324"/>
        <v>1</v>
      </c>
      <c r="AC64" s="61">
        <v>1</v>
      </c>
      <c r="AD64" s="62">
        <f t="shared" ref="AD64:AJ64" si="325">AC64</f>
        <v>1</v>
      </c>
      <c r="AE64" s="62">
        <f t="shared" si="325"/>
        <v>1</v>
      </c>
      <c r="AF64" s="62">
        <f t="shared" si="325"/>
        <v>1</v>
      </c>
      <c r="AG64" s="62">
        <f t="shared" si="325"/>
        <v>1</v>
      </c>
      <c r="AH64" s="62">
        <f t="shared" si="325"/>
        <v>1</v>
      </c>
      <c r="AI64" s="62">
        <f t="shared" si="325"/>
        <v>1</v>
      </c>
      <c r="AJ64" s="63">
        <f t="shared" si="325"/>
        <v>1</v>
      </c>
      <c r="AK64" s="61">
        <v>1</v>
      </c>
      <c r="AL64" s="62">
        <f t="shared" ref="AL64:AR64" si="326">AK64</f>
        <v>1</v>
      </c>
      <c r="AM64" s="62">
        <f t="shared" si="326"/>
        <v>1</v>
      </c>
      <c r="AN64" s="62">
        <f t="shared" si="326"/>
        <v>1</v>
      </c>
      <c r="AO64" s="62">
        <f t="shared" si="326"/>
        <v>1</v>
      </c>
      <c r="AP64" s="62">
        <f t="shared" si="326"/>
        <v>1</v>
      </c>
      <c r="AQ64" s="62">
        <f t="shared" si="326"/>
        <v>1</v>
      </c>
      <c r="AR64" s="63">
        <f t="shared" si="326"/>
        <v>1</v>
      </c>
      <c r="AS64" s="61">
        <v>1</v>
      </c>
      <c r="AT64" s="62">
        <f t="shared" ref="AT64:AZ64" si="327">AS64</f>
        <v>1</v>
      </c>
      <c r="AU64" s="62">
        <f t="shared" si="327"/>
        <v>1</v>
      </c>
      <c r="AV64" s="62">
        <f t="shared" si="327"/>
        <v>1</v>
      </c>
      <c r="AW64" s="62">
        <f t="shared" si="327"/>
        <v>1</v>
      </c>
      <c r="AX64" s="62">
        <f t="shared" si="327"/>
        <v>1</v>
      </c>
      <c r="AY64" s="62">
        <f t="shared" si="327"/>
        <v>1</v>
      </c>
      <c r="AZ64" s="63">
        <f t="shared" si="327"/>
        <v>1</v>
      </c>
      <c r="BA64" s="42">
        <f t="shared" si="177"/>
        <v>48</v>
      </c>
      <c r="BB64" s="9">
        <f t="shared" si="7"/>
        <v>48</v>
      </c>
      <c r="BC64" s="10">
        <f t="shared" si="8"/>
        <v>100</v>
      </c>
    </row>
    <row r="65" spans="1:55" ht="15" customHeight="1" x14ac:dyDescent="0.35">
      <c r="A65" s="29">
        <v>820323205118</v>
      </c>
      <c r="B65" s="30" t="s">
        <v>75</v>
      </c>
      <c r="C65" s="14"/>
      <c r="D65" s="46"/>
      <c r="E65" s="61">
        <v>1</v>
      </c>
      <c r="F65" s="62">
        <f t="shared" ref="F65:L65" si="328">E65</f>
        <v>1</v>
      </c>
      <c r="G65" s="62">
        <f t="shared" si="328"/>
        <v>1</v>
      </c>
      <c r="H65" s="62">
        <f t="shared" si="328"/>
        <v>1</v>
      </c>
      <c r="I65" s="62">
        <f t="shared" si="328"/>
        <v>1</v>
      </c>
      <c r="J65" s="62">
        <f t="shared" si="328"/>
        <v>1</v>
      </c>
      <c r="K65" s="62">
        <f t="shared" si="328"/>
        <v>1</v>
      </c>
      <c r="L65" s="63">
        <f t="shared" si="328"/>
        <v>1</v>
      </c>
      <c r="M65" s="61">
        <v>1</v>
      </c>
      <c r="N65" s="62">
        <f t="shared" ref="N65:T65" si="329">M65</f>
        <v>1</v>
      </c>
      <c r="O65" s="62">
        <f t="shared" si="329"/>
        <v>1</v>
      </c>
      <c r="P65" s="62">
        <f t="shared" si="329"/>
        <v>1</v>
      </c>
      <c r="Q65" s="62">
        <f t="shared" si="329"/>
        <v>1</v>
      </c>
      <c r="R65" s="62">
        <f t="shared" si="329"/>
        <v>1</v>
      </c>
      <c r="S65" s="62">
        <f t="shared" si="329"/>
        <v>1</v>
      </c>
      <c r="T65" s="63">
        <f t="shared" si="329"/>
        <v>1</v>
      </c>
      <c r="U65" s="61">
        <v>1</v>
      </c>
      <c r="V65" s="62">
        <f t="shared" ref="V65:AB65" si="330">U65</f>
        <v>1</v>
      </c>
      <c r="W65" s="62">
        <f t="shared" si="330"/>
        <v>1</v>
      </c>
      <c r="X65" s="62">
        <f t="shared" si="330"/>
        <v>1</v>
      </c>
      <c r="Y65" s="62">
        <f t="shared" si="330"/>
        <v>1</v>
      </c>
      <c r="Z65" s="62">
        <f t="shared" si="330"/>
        <v>1</v>
      </c>
      <c r="AA65" s="62">
        <f t="shared" si="330"/>
        <v>1</v>
      </c>
      <c r="AB65" s="63">
        <f t="shared" si="330"/>
        <v>1</v>
      </c>
      <c r="AC65" s="61">
        <v>1</v>
      </c>
      <c r="AD65" s="62">
        <f t="shared" ref="AD65:AJ65" si="331">AC65</f>
        <v>1</v>
      </c>
      <c r="AE65" s="62">
        <f t="shared" si="331"/>
        <v>1</v>
      </c>
      <c r="AF65" s="62">
        <f t="shared" si="331"/>
        <v>1</v>
      </c>
      <c r="AG65" s="62">
        <f t="shared" si="331"/>
        <v>1</v>
      </c>
      <c r="AH65" s="62">
        <f t="shared" si="331"/>
        <v>1</v>
      </c>
      <c r="AI65" s="62">
        <f t="shared" si="331"/>
        <v>1</v>
      </c>
      <c r="AJ65" s="63">
        <f t="shared" si="331"/>
        <v>1</v>
      </c>
      <c r="AK65" s="61">
        <v>1</v>
      </c>
      <c r="AL65" s="62">
        <f t="shared" ref="AL65:AR65" si="332">AK65</f>
        <v>1</v>
      </c>
      <c r="AM65" s="62">
        <f t="shared" si="332"/>
        <v>1</v>
      </c>
      <c r="AN65" s="62">
        <f t="shared" si="332"/>
        <v>1</v>
      </c>
      <c r="AO65" s="62">
        <f t="shared" si="332"/>
        <v>1</v>
      </c>
      <c r="AP65" s="62">
        <f t="shared" si="332"/>
        <v>1</v>
      </c>
      <c r="AQ65" s="62">
        <f t="shared" si="332"/>
        <v>1</v>
      </c>
      <c r="AR65" s="63">
        <f t="shared" si="332"/>
        <v>1</v>
      </c>
      <c r="AS65" s="61">
        <v>1</v>
      </c>
      <c r="AT65" s="62">
        <f t="shared" ref="AT65:AZ65" si="333">AS65</f>
        <v>1</v>
      </c>
      <c r="AU65" s="62">
        <f t="shared" si="333"/>
        <v>1</v>
      </c>
      <c r="AV65" s="62">
        <f t="shared" si="333"/>
        <v>1</v>
      </c>
      <c r="AW65" s="62">
        <f t="shared" si="333"/>
        <v>1</v>
      </c>
      <c r="AX65" s="62">
        <f t="shared" si="333"/>
        <v>1</v>
      </c>
      <c r="AY65" s="62">
        <f t="shared" si="333"/>
        <v>1</v>
      </c>
      <c r="AZ65" s="63">
        <f t="shared" si="333"/>
        <v>1</v>
      </c>
      <c r="BA65" s="37">
        <f t="shared" si="177"/>
        <v>48</v>
      </c>
      <c r="BB65" s="9">
        <f t="shared" si="7"/>
        <v>48</v>
      </c>
      <c r="BC65" s="10">
        <f t="shared" si="8"/>
        <v>100</v>
      </c>
    </row>
    <row r="66" spans="1:55" ht="15" customHeight="1" x14ac:dyDescent="0.35">
      <c r="A66" s="29">
        <v>820323205119</v>
      </c>
      <c r="B66" s="30" t="s">
        <v>76</v>
      </c>
      <c r="C66" s="14"/>
      <c r="D66" s="46"/>
      <c r="E66" s="61">
        <v>1</v>
      </c>
      <c r="F66" s="62">
        <f t="shared" ref="F66:L66" si="334">E66</f>
        <v>1</v>
      </c>
      <c r="G66" s="62">
        <f t="shared" si="334"/>
        <v>1</v>
      </c>
      <c r="H66" s="62">
        <f t="shared" si="334"/>
        <v>1</v>
      </c>
      <c r="I66" s="62">
        <f t="shared" si="334"/>
        <v>1</v>
      </c>
      <c r="J66" s="62">
        <f t="shared" si="334"/>
        <v>1</v>
      </c>
      <c r="K66" s="62">
        <f t="shared" si="334"/>
        <v>1</v>
      </c>
      <c r="L66" s="63">
        <f t="shared" si="334"/>
        <v>1</v>
      </c>
      <c r="M66" s="61">
        <v>1</v>
      </c>
      <c r="N66" s="62">
        <f t="shared" ref="N66:T66" si="335">M66</f>
        <v>1</v>
      </c>
      <c r="O66" s="62">
        <f t="shared" si="335"/>
        <v>1</v>
      </c>
      <c r="P66" s="62">
        <f t="shared" si="335"/>
        <v>1</v>
      </c>
      <c r="Q66" s="62">
        <f t="shared" si="335"/>
        <v>1</v>
      </c>
      <c r="R66" s="62">
        <f t="shared" si="335"/>
        <v>1</v>
      </c>
      <c r="S66" s="62">
        <f t="shared" si="335"/>
        <v>1</v>
      </c>
      <c r="T66" s="63">
        <f t="shared" si="335"/>
        <v>1</v>
      </c>
      <c r="U66" s="61">
        <v>1</v>
      </c>
      <c r="V66" s="62">
        <f t="shared" ref="V66:AB66" si="336">U66</f>
        <v>1</v>
      </c>
      <c r="W66" s="62">
        <f t="shared" si="336"/>
        <v>1</v>
      </c>
      <c r="X66" s="62">
        <f t="shared" si="336"/>
        <v>1</v>
      </c>
      <c r="Y66" s="62">
        <f t="shared" si="336"/>
        <v>1</v>
      </c>
      <c r="Z66" s="62">
        <f t="shared" si="336"/>
        <v>1</v>
      </c>
      <c r="AA66" s="62">
        <f t="shared" si="336"/>
        <v>1</v>
      </c>
      <c r="AB66" s="63">
        <f t="shared" si="336"/>
        <v>1</v>
      </c>
      <c r="AC66" s="61">
        <v>1</v>
      </c>
      <c r="AD66" s="62">
        <f t="shared" ref="AD66:AJ66" si="337">AC66</f>
        <v>1</v>
      </c>
      <c r="AE66" s="62">
        <f t="shared" si="337"/>
        <v>1</v>
      </c>
      <c r="AF66" s="62">
        <f t="shared" si="337"/>
        <v>1</v>
      </c>
      <c r="AG66" s="62">
        <f t="shared" si="337"/>
        <v>1</v>
      </c>
      <c r="AH66" s="62">
        <f t="shared" si="337"/>
        <v>1</v>
      </c>
      <c r="AI66" s="62">
        <f t="shared" si="337"/>
        <v>1</v>
      </c>
      <c r="AJ66" s="63">
        <f t="shared" si="337"/>
        <v>1</v>
      </c>
      <c r="AK66" s="61">
        <v>1</v>
      </c>
      <c r="AL66" s="62">
        <f t="shared" ref="AL66:AR66" si="338">AK66</f>
        <v>1</v>
      </c>
      <c r="AM66" s="62">
        <f t="shared" si="338"/>
        <v>1</v>
      </c>
      <c r="AN66" s="62">
        <f t="shared" si="338"/>
        <v>1</v>
      </c>
      <c r="AO66" s="62">
        <f t="shared" si="338"/>
        <v>1</v>
      </c>
      <c r="AP66" s="62">
        <f t="shared" si="338"/>
        <v>1</v>
      </c>
      <c r="AQ66" s="62">
        <f t="shared" si="338"/>
        <v>1</v>
      </c>
      <c r="AR66" s="63">
        <f t="shared" si="338"/>
        <v>1</v>
      </c>
      <c r="AS66" s="61">
        <v>1</v>
      </c>
      <c r="AT66" s="62">
        <f t="shared" ref="AT66:AZ66" si="339">AS66</f>
        <v>1</v>
      </c>
      <c r="AU66" s="62">
        <f t="shared" si="339"/>
        <v>1</v>
      </c>
      <c r="AV66" s="62">
        <f t="shared" si="339"/>
        <v>1</v>
      </c>
      <c r="AW66" s="62">
        <f t="shared" si="339"/>
        <v>1</v>
      </c>
      <c r="AX66" s="62">
        <f t="shared" si="339"/>
        <v>1</v>
      </c>
      <c r="AY66" s="62">
        <f t="shared" si="339"/>
        <v>1</v>
      </c>
      <c r="AZ66" s="63">
        <f t="shared" si="339"/>
        <v>1</v>
      </c>
      <c r="BA66" s="37">
        <f t="shared" si="177"/>
        <v>48</v>
      </c>
      <c r="BB66" s="9">
        <f t="shared" si="7"/>
        <v>48</v>
      </c>
      <c r="BC66" s="10">
        <f t="shared" si="8"/>
        <v>100</v>
      </c>
    </row>
    <row r="67" spans="1:55" ht="15" customHeight="1" x14ac:dyDescent="0.35">
      <c r="A67" s="31">
        <v>820323205120</v>
      </c>
      <c r="B67" s="32" t="s">
        <v>77</v>
      </c>
      <c r="C67" s="35"/>
      <c r="D67" s="46"/>
      <c r="E67" s="61">
        <v>1</v>
      </c>
      <c r="F67" s="62">
        <f t="shared" ref="F67:L67" si="340">E67</f>
        <v>1</v>
      </c>
      <c r="G67" s="62">
        <f t="shared" si="340"/>
        <v>1</v>
      </c>
      <c r="H67" s="62">
        <f t="shared" si="340"/>
        <v>1</v>
      </c>
      <c r="I67" s="62">
        <f t="shared" si="340"/>
        <v>1</v>
      </c>
      <c r="J67" s="62">
        <f t="shared" si="340"/>
        <v>1</v>
      </c>
      <c r="K67" s="62">
        <f t="shared" si="340"/>
        <v>1</v>
      </c>
      <c r="L67" s="63">
        <f t="shared" si="340"/>
        <v>1</v>
      </c>
      <c r="M67" s="61">
        <v>1</v>
      </c>
      <c r="N67" s="62">
        <f t="shared" ref="N67:T67" si="341">M67</f>
        <v>1</v>
      </c>
      <c r="O67" s="62">
        <f t="shared" si="341"/>
        <v>1</v>
      </c>
      <c r="P67" s="62">
        <f t="shared" si="341"/>
        <v>1</v>
      </c>
      <c r="Q67" s="62">
        <f t="shared" si="341"/>
        <v>1</v>
      </c>
      <c r="R67" s="62">
        <f t="shared" si="341"/>
        <v>1</v>
      </c>
      <c r="S67" s="62">
        <f t="shared" si="341"/>
        <v>1</v>
      </c>
      <c r="T67" s="63">
        <f t="shared" si="341"/>
        <v>1</v>
      </c>
      <c r="U67" s="61">
        <v>1</v>
      </c>
      <c r="V67" s="62">
        <f t="shared" ref="V67:AB67" si="342">U67</f>
        <v>1</v>
      </c>
      <c r="W67" s="62">
        <f t="shared" si="342"/>
        <v>1</v>
      </c>
      <c r="X67" s="62">
        <f t="shared" si="342"/>
        <v>1</v>
      </c>
      <c r="Y67" s="62">
        <f t="shared" si="342"/>
        <v>1</v>
      </c>
      <c r="Z67" s="62">
        <f t="shared" si="342"/>
        <v>1</v>
      </c>
      <c r="AA67" s="62">
        <f t="shared" si="342"/>
        <v>1</v>
      </c>
      <c r="AB67" s="63">
        <f t="shared" si="342"/>
        <v>1</v>
      </c>
      <c r="AC67" s="61">
        <v>1</v>
      </c>
      <c r="AD67" s="62">
        <f t="shared" ref="AD67:AJ67" si="343">AC67</f>
        <v>1</v>
      </c>
      <c r="AE67" s="62">
        <f t="shared" si="343"/>
        <v>1</v>
      </c>
      <c r="AF67" s="62">
        <f t="shared" si="343"/>
        <v>1</v>
      </c>
      <c r="AG67" s="62">
        <f t="shared" si="343"/>
        <v>1</v>
      </c>
      <c r="AH67" s="62">
        <f t="shared" si="343"/>
        <v>1</v>
      </c>
      <c r="AI67" s="62">
        <f t="shared" si="343"/>
        <v>1</v>
      </c>
      <c r="AJ67" s="63">
        <f t="shared" si="343"/>
        <v>1</v>
      </c>
      <c r="AK67" s="61">
        <v>1</v>
      </c>
      <c r="AL67" s="62">
        <f t="shared" ref="AL67:AR67" si="344">AK67</f>
        <v>1</v>
      </c>
      <c r="AM67" s="62">
        <f t="shared" si="344"/>
        <v>1</v>
      </c>
      <c r="AN67" s="62">
        <f t="shared" si="344"/>
        <v>1</v>
      </c>
      <c r="AO67" s="62">
        <f t="shared" si="344"/>
        <v>1</v>
      </c>
      <c r="AP67" s="62">
        <f t="shared" si="344"/>
        <v>1</v>
      </c>
      <c r="AQ67" s="62">
        <f t="shared" si="344"/>
        <v>1</v>
      </c>
      <c r="AR67" s="63">
        <f t="shared" si="344"/>
        <v>1</v>
      </c>
      <c r="AS67" s="61">
        <v>1</v>
      </c>
      <c r="AT67" s="62">
        <f t="shared" ref="AT67:AZ67" si="345">AS67</f>
        <v>1</v>
      </c>
      <c r="AU67" s="62">
        <f t="shared" si="345"/>
        <v>1</v>
      </c>
      <c r="AV67" s="62">
        <f t="shared" si="345"/>
        <v>1</v>
      </c>
      <c r="AW67" s="62">
        <f t="shared" si="345"/>
        <v>1</v>
      </c>
      <c r="AX67" s="62">
        <f t="shared" si="345"/>
        <v>1</v>
      </c>
      <c r="AY67" s="62">
        <f t="shared" si="345"/>
        <v>1</v>
      </c>
      <c r="AZ67" s="63">
        <f t="shared" si="345"/>
        <v>1</v>
      </c>
      <c r="BA67" s="42">
        <f t="shared" si="177"/>
        <v>48</v>
      </c>
      <c r="BB67" s="9">
        <f t="shared" si="7"/>
        <v>48</v>
      </c>
      <c r="BC67" s="10">
        <f t="shared" si="8"/>
        <v>100</v>
      </c>
    </row>
    <row r="68" spans="1:55" ht="15" customHeight="1" x14ac:dyDescent="0.35">
      <c r="A68" s="31">
        <v>820323205301</v>
      </c>
      <c r="B68" s="30" t="s">
        <v>78</v>
      </c>
      <c r="C68" s="8"/>
      <c r="D68" s="46"/>
      <c r="E68" s="61">
        <v>1</v>
      </c>
      <c r="F68" s="62">
        <f t="shared" ref="F68:L68" si="346">E68</f>
        <v>1</v>
      </c>
      <c r="G68" s="62">
        <f t="shared" si="346"/>
        <v>1</v>
      </c>
      <c r="H68" s="62">
        <f t="shared" si="346"/>
        <v>1</v>
      </c>
      <c r="I68" s="62">
        <f t="shared" si="346"/>
        <v>1</v>
      </c>
      <c r="J68" s="62">
        <f t="shared" si="346"/>
        <v>1</v>
      </c>
      <c r="K68" s="62">
        <f t="shared" si="346"/>
        <v>1</v>
      </c>
      <c r="L68" s="63">
        <f t="shared" si="346"/>
        <v>1</v>
      </c>
      <c r="M68" s="61">
        <v>1</v>
      </c>
      <c r="N68" s="62">
        <f t="shared" ref="N68:T68" si="347">M68</f>
        <v>1</v>
      </c>
      <c r="O68" s="62">
        <f t="shared" si="347"/>
        <v>1</v>
      </c>
      <c r="P68" s="62">
        <f t="shared" si="347"/>
        <v>1</v>
      </c>
      <c r="Q68" s="62">
        <f t="shared" si="347"/>
        <v>1</v>
      </c>
      <c r="R68" s="62">
        <f t="shared" si="347"/>
        <v>1</v>
      </c>
      <c r="S68" s="62">
        <f t="shared" si="347"/>
        <v>1</v>
      </c>
      <c r="T68" s="63">
        <f t="shared" si="347"/>
        <v>1</v>
      </c>
      <c r="U68" s="61">
        <v>1</v>
      </c>
      <c r="V68" s="62">
        <f t="shared" ref="V68:AB68" si="348">U68</f>
        <v>1</v>
      </c>
      <c r="W68" s="62">
        <f t="shared" si="348"/>
        <v>1</v>
      </c>
      <c r="X68" s="62">
        <f t="shared" si="348"/>
        <v>1</v>
      </c>
      <c r="Y68" s="62">
        <f t="shared" si="348"/>
        <v>1</v>
      </c>
      <c r="Z68" s="62">
        <f t="shared" si="348"/>
        <v>1</v>
      </c>
      <c r="AA68" s="62">
        <f t="shared" si="348"/>
        <v>1</v>
      </c>
      <c r="AB68" s="63">
        <f t="shared" si="348"/>
        <v>1</v>
      </c>
      <c r="AC68" s="61">
        <v>1</v>
      </c>
      <c r="AD68" s="62">
        <f t="shared" ref="AD68:AJ68" si="349">AC68</f>
        <v>1</v>
      </c>
      <c r="AE68" s="62">
        <f t="shared" si="349"/>
        <v>1</v>
      </c>
      <c r="AF68" s="62">
        <f t="shared" si="349"/>
        <v>1</v>
      </c>
      <c r="AG68" s="62">
        <f t="shared" si="349"/>
        <v>1</v>
      </c>
      <c r="AH68" s="62">
        <f t="shared" si="349"/>
        <v>1</v>
      </c>
      <c r="AI68" s="62">
        <f t="shared" si="349"/>
        <v>1</v>
      </c>
      <c r="AJ68" s="63">
        <f t="shared" si="349"/>
        <v>1</v>
      </c>
      <c r="AK68" s="61">
        <v>1</v>
      </c>
      <c r="AL68" s="62">
        <f t="shared" ref="AL68:AR68" si="350">AK68</f>
        <v>1</v>
      </c>
      <c r="AM68" s="62">
        <f t="shared" si="350"/>
        <v>1</v>
      </c>
      <c r="AN68" s="62">
        <f t="shared" si="350"/>
        <v>1</v>
      </c>
      <c r="AO68" s="62">
        <f t="shared" si="350"/>
        <v>1</v>
      </c>
      <c r="AP68" s="62">
        <f t="shared" si="350"/>
        <v>1</v>
      </c>
      <c r="AQ68" s="62">
        <f t="shared" si="350"/>
        <v>1</v>
      </c>
      <c r="AR68" s="63">
        <f t="shared" si="350"/>
        <v>1</v>
      </c>
      <c r="AS68" s="61">
        <v>1</v>
      </c>
      <c r="AT68" s="62">
        <f t="shared" ref="AT68:AZ68" si="351">AS68</f>
        <v>1</v>
      </c>
      <c r="AU68" s="62">
        <f t="shared" si="351"/>
        <v>1</v>
      </c>
      <c r="AV68" s="62">
        <f t="shared" si="351"/>
        <v>1</v>
      </c>
      <c r="AW68" s="62">
        <f t="shared" si="351"/>
        <v>1</v>
      </c>
      <c r="AX68" s="62">
        <f t="shared" si="351"/>
        <v>1</v>
      </c>
      <c r="AY68" s="62">
        <f t="shared" si="351"/>
        <v>1</v>
      </c>
      <c r="AZ68" s="63">
        <f t="shared" si="351"/>
        <v>1</v>
      </c>
      <c r="BA68" s="37">
        <f t="shared" si="177"/>
        <v>48</v>
      </c>
      <c r="BB68" s="9">
        <f t="shared" si="7"/>
        <v>48</v>
      </c>
      <c r="BC68" s="10">
        <f t="shared" si="8"/>
        <v>100</v>
      </c>
    </row>
    <row r="69" spans="1:55" ht="15" customHeight="1" x14ac:dyDescent="0.35">
      <c r="A69" s="31">
        <v>820323205302</v>
      </c>
      <c r="B69" s="30" t="s">
        <v>79</v>
      </c>
      <c r="C69" s="8"/>
      <c r="D69" s="46"/>
      <c r="E69" s="61">
        <v>1</v>
      </c>
      <c r="F69" s="62">
        <f t="shared" ref="F69:L69" si="352">E69</f>
        <v>1</v>
      </c>
      <c r="G69" s="62">
        <f t="shared" si="352"/>
        <v>1</v>
      </c>
      <c r="H69" s="62">
        <f t="shared" si="352"/>
        <v>1</v>
      </c>
      <c r="I69" s="62">
        <f t="shared" si="352"/>
        <v>1</v>
      </c>
      <c r="J69" s="62">
        <f t="shared" si="352"/>
        <v>1</v>
      </c>
      <c r="K69" s="62">
        <f t="shared" si="352"/>
        <v>1</v>
      </c>
      <c r="L69" s="63">
        <f t="shared" si="352"/>
        <v>1</v>
      </c>
      <c r="M69" s="61">
        <v>1</v>
      </c>
      <c r="N69" s="62">
        <f t="shared" ref="N69:T69" si="353">M69</f>
        <v>1</v>
      </c>
      <c r="O69" s="62">
        <f t="shared" si="353"/>
        <v>1</v>
      </c>
      <c r="P69" s="62">
        <f t="shared" si="353"/>
        <v>1</v>
      </c>
      <c r="Q69" s="62">
        <f t="shared" si="353"/>
        <v>1</v>
      </c>
      <c r="R69" s="62">
        <f t="shared" si="353"/>
        <v>1</v>
      </c>
      <c r="S69" s="62">
        <f t="shared" si="353"/>
        <v>1</v>
      </c>
      <c r="T69" s="63">
        <f t="shared" si="353"/>
        <v>1</v>
      </c>
      <c r="U69" s="61">
        <v>1</v>
      </c>
      <c r="V69" s="62">
        <f t="shared" ref="V69:AB69" si="354">U69</f>
        <v>1</v>
      </c>
      <c r="W69" s="62">
        <f t="shared" si="354"/>
        <v>1</v>
      </c>
      <c r="X69" s="62">
        <f t="shared" si="354"/>
        <v>1</v>
      </c>
      <c r="Y69" s="62">
        <f t="shared" si="354"/>
        <v>1</v>
      </c>
      <c r="Z69" s="62">
        <f t="shared" si="354"/>
        <v>1</v>
      </c>
      <c r="AA69" s="62">
        <f t="shared" si="354"/>
        <v>1</v>
      </c>
      <c r="AB69" s="63">
        <f t="shared" si="354"/>
        <v>1</v>
      </c>
      <c r="AC69" s="61">
        <v>1</v>
      </c>
      <c r="AD69" s="62">
        <f t="shared" ref="AD69:AJ69" si="355">AC69</f>
        <v>1</v>
      </c>
      <c r="AE69" s="62">
        <f t="shared" si="355"/>
        <v>1</v>
      </c>
      <c r="AF69" s="62">
        <f t="shared" si="355"/>
        <v>1</v>
      </c>
      <c r="AG69" s="62">
        <f t="shared" si="355"/>
        <v>1</v>
      </c>
      <c r="AH69" s="62">
        <f t="shared" si="355"/>
        <v>1</v>
      </c>
      <c r="AI69" s="62">
        <f t="shared" si="355"/>
        <v>1</v>
      </c>
      <c r="AJ69" s="63">
        <f t="shared" si="355"/>
        <v>1</v>
      </c>
      <c r="AK69" s="61">
        <v>1</v>
      </c>
      <c r="AL69" s="62">
        <f t="shared" ref="AL69:AR69" si="356">AK69</f>
        <v>1</v>
      </c>
      <c r="AM69" s="62">
        <f t="shared" si="356"/>
        <v>1</v>
      </c>
      <c r="AN69" s="62">
        <f t="shared" si="356"/>
        <v>1</v>
      </c>
      <c r="AO69" s="62">
        <f t="shared" si="356"/>
        <v>1</v>
      </c>
      <c r="AP69" s="62">
        <f t="shared" si="356"/>
        <v>1</v>
      </c>
      <c r="AQ69" s="62">
        <f t="shared" si="356"/>
        <v>1</v>
      </c>
      <c r="AR69" s="63">
        <f t="shared" si="356"/>
        <v>1</v>
      </c>
      <c r="AS69" s="61">
        <v>1</v>
      </c>
      <c r="AT69" s="62">
        <f t="shared" ref="AT69:AZ69" si="357">AS69</f>
        <v>1</v>
      </c>
      <c r="AU69" s="62">
        <f t="shared" si="357"/>
        <v>1</v>
      </c>
      <c r="AV69" s="62">
        <f t="shared" si="357"/>
        <v>1</v>
      </c>
      <c r="AW69" s="62">
        <f t="shared" si="357"/>
        <v>1</v>
      </c>
      <c r="AX69" s="62">
        <f t="shared" si="357"/>
        <v>1</v>
      </c>
      <c r="AY69" s="62">
        <f t="shared" si="357"/>
        <v>1</v>
      </c>
      <c r="AZ69" s="63">
        <f t="shared" si="357"/>
        <v>1</v>
      </c>
      <c r="BA69" s="37">
        <f t="shared" si="177"/>
        <v>48</v>
      </c>
      <c r="BB69" s="9">
        <f t="shared" si="7"/>
        <v>48</v>
      </c>
      <c r="BC69" s="10">
        <f t="shared" si="8"/>
        <v>100</v>
      </c>
    </row>
    <row r="70" spans="1:55" ht="15" customHeight="1" x14ac:dyDescent="0.35">
      <c r="A70" s="31">
        <v>820323205303</v>
      </c>
      <c r="B70" s="30" t="s">
        <v>80</v>
      </c>
      <c r="C70" s="8"/>
      <c r="D70" s="46"/>
      <c r="E70" s="61">
        <v>1</v>
      </c>
      <c r="F70" s="62">
        <f t="shared" ref="F70:L70" si="358">E70</f>
        <v>1</v>
      </c>
      <c r="G70" s="62">
        <f t="shared" si="358"/>
        <v>1</v>
      </c>
      <c r="H70" s="62">
        <f t="shared" si="358"/>
        <v>1</v>
      </c>
      <c r="I70" s="62">
        <f t="shared" si="358"/>
        <v>1</v>
      </c>
      <c r="J70" s="62">
        <f t="shared" si="358"/>
        <v>1</v>
      </c>
      <c r="K70" s="62">
        <f t="shared" si="358"/>
        <v>1</v>
      </c>
      <c r="L70" s="63">
        <f t="shared" si="358"/>
        <v>1</v>
      </c>
      <c r="M70" s="61">
        <v>1</v>
      </c>
      <c r="N70" s="62">
        <f t="shared" ref="N70:T70" si="359">M70</f>
        <v>1</v>
      </c>
      <c r="O70" s="62">
        <f t="shared" si="359"/>
        <v>1</v>
      </c>
      <c r="P70" s="62">
        <f t="shared" si="359"/>
        <v>1</v>
      </c>
      <c r="Q70" s="62">
        <f t="shared" si="359"/>
        <v>1</v>
      </c>
      <c r="R70" s="62">
        <f t="shared" si="359"/>
        <v>1</v>
      </c>
      <c r="S70" s="62">
        <f t="shared" si="359"/>
        <v>1</v>
      </c>
      <c r="T70" s="63">
        <f t="shared" si="359"/>
        <v>1</v>
      </c>
      <c r="U70" s="61">
        <v>1</v>
      </c>
      <c r="V70" s="62">
        <f t="shared" ref="V70:AB70" si="360">U70</f>
        <v>1</v>
      </c>
      <c r="W70" s="62">
        <f t="shared" si="360"/>
        <v>1</v>
      </c>
      <c r="X70" s="62">
        <f t="shared" si="360"/>
        <v>1</v>
      </c>
      <c r="Y70" s="62">
        <f t="shared" si="360"/>
        <v>1</v>
      </c>
      <c r="Z70" s="62">
        <f t="shared" si="360"/>
        <v>1</v>
      </c>
      <c r="AA70" s="62">
        <f t="shared" si="360"/>
        <v>1</v>
      </c>
      <c r="AB70" s="63">
        <f t="shared" si="360"/>
        <v>1</v>
      </c>
      <c r="AC70" s="61">
        <v>1</v>
      </c>
      <c r="AD70" s="62">
        <f t="shared" ref="AD70:AJ70" si="361">AC70</f>
        <v>1</v>
      </c>
      <c r="AE70" s="62">
        <f t="shared" si="361"/>
        <v>1</v>
      </c>
      <c r="AF70" s="62">
        <f t="shared" si="361"/>
        <v>1</v>
      </c>
      <c r="AG70" s="62">
        <f t="shared" si="361"/>
        <v>1</v>
      </c>
      <c r="AH70" s="62">
        <f t="shared" si="361"/>
        <v>1</v>
      </c>
      <c r="AI70" s="62">
        <f t="shared" si="361"/>
        <v>1</v>
      </c>
      <c r="AJ70" s="63">
        <f t="shared" si="361"/>
        <v>1</v>
      </c>
      <c r="AK70" s="61">
        <v>1</v>
      </c>
      <c r="AL70" s="62">
        <f t="shared" ref="AL70:AR70" si="362">AK70</f>
        <v>1</v>
      </c>
      <c r="AM70" s="62">
        <f t="shared" si="362"/>
        <v>1</v>
      </c>
      <c r="AN70" s="62">
        <f t="shared" si="362"/>
        <v>1</v>
      </c>
      <c r="AO70" s="62">
        <f t="shared" si="362"/>
        <v>1</v>
      </c>
      <c r="AP70" s="62">
        <f t="shared" si="362"/>
        <v>1</v>
      </c>
      <c r="AQ70" s="62">
        <f t="shared" si="362"/>
        <v>1</v>
      </c>
      <c r="AR70" s="63">
        <f t="shared" si="362"/>
        <v>1</v>
      </c>
      <c r="AS70" s="61">
        <v>1</v>
      </c>
      <c r="AT70" s="62">
        <f t="shared" ref="AT70:AZ70" si="363">AS70</f>
        <v>1</v>
      </c>
      <c r="AU70" s="62">
        <f t="shared" si="363"/>
        <v>1</v>
      </c>
      <c r="AV70" s="62">
        <f t="shared" si="363"/>
        <v>1</v>
      </c>
      <c r="AW70" s="62">
        <f t="shared" si="363"/>
        <v>1</v>
      </c>
      <c r="AX70" s="62">
        <f t="shared" si="363"/>
        <v>1</v>
      </c>
      <c r="AY70" s="62">
        <f t="shared" si="363"/>
        <v>1</v>
      </c>
      <c r="AZ70" s="63">
        <f t="shared" si="363"/>
        <v>1</v>
      </c>
      <c r="BA70" s="37">
        <f t="shared" si="177"/>
        <v>48</v>
      </c>
      <c r="BB70" s="9">
        <f t="shared" si="7"/>
        <v>48</v>
      </c>
      <c r="BC70" s="10">
        <f t="shared" si="8"/>
        <v>100</v>
      </c>
    </row>
    <row r="71" spans="1:55" ht="15" customHeight="1" x14ac:dyDescent="0.35">
      <c r="A71" s="31">
        <v>820323205305</v>
      </c>
      <c r="B71" s="30" t="s">
        <v>81</v>
      </c>
      <c r="C71" s="34"/>
      <c r="D71" s="46"/>
      <c r="E71" s="61">
        <v>1</v>
      </c>
      <c r="F71" s="62">
        <f t="shared" ref="F71:L71" si="364">E71</f>
        <v>1</v>
      </c>
      <c r="G71" s="62">
        <f t="shared" si="364"/>
        <v>1</v>
      </c>
      <c r="H71" s="62">
        <f t="shared" si="364"/>
        <v>1</v>
      </c>
      <c r="I71" s="62">
        <f t="shared" si="364"/>
        <v>1</v>
      </c>
      <c r="J71" s="62">
        <f t="shared" si="364"/>
        <v>1</v>
      </c>
      <c r="K71" s="62">
        <f t="shared" si="364"/>
        <v>1</v>
      </c>
      <c r="L71" s="63">
        <f t="shared" si="364"/>
        <v>1</v>
      </c>
      <c r="M71" s="61">
        <v>1</v>
      </c>
      <c r="N71" s="62">
        <f t="shared" ref="N71:T71" si="365">M71</f>
        <v>1</v>
      </c>
      <c r="O71" s="62">
        <f t="shared" si="365"/>
        <v>1</v>
      </c>
      <c r="P71" s="62">
        <f t="shared" si="365"/>
        <v>1</v>
      </c>
      <c r="Q71" s="62">
        <f t="shared" si="365"/>
        <v>1</v>
      </c>
      <c r="R71" s="62">
        <f t="shared" si="365"/>
        <v>1</v>
      </c>
      <c r="S71" s="62">
        <f t="shared" si="365"/>
        <v>1</v>
      </c>
      <c r="T71" s="63">
        <f t="shared" si="365"/>
        <v>1</v>
      </c>
      <c r="U71" s="61">
        <v>1</v>
      </c>
      <c r="V71" s="62">
        <f t="shared" ref="V71:AB71" si="366">U71</f>
        <v>1</v>
      </c>
      <c r="W71" s="62">
        <f t="shared" si="366"/>
        <v>1</v>
      </c>
      <c r="X71" s="62">
        <f t="shared" si="366"/>
        <v>1</v>
      </c>
      <c r="Y71" s="62">
        <f t="shared" si="366"/>
        <v>1</v>
      </c>
      <c r="Z71" s="62">
        <f t="shared" si="366"/>
        <v>1</v>
      </c>
      <c r="AA71" s="62">
        <f t="shared" si="366"/>
        <v>1</v>
      </c>
      <c r="AB71" s="63">
        <f t="shared" si="366"/>
        <v>1</v>
      </c>
      <c r="AC71" s="61">
        <v>1</v>
      </c>
      <c r="AD71" s="62">
        <f t="shared" ref="AD71:AJ71" si="367">AC71</f>
        <v>1</v>
      </c>
      <c r="AE71" s="62">
        <f t="shared" si="367"/>
        <v>1</v>
      </c>
      <c r="AF71" s="62">
        <f t="shared" si="367"/>
        <v>1</v>
      </c>
      <c r="AG71" s="62">
        <f t="shared" si="367"/>
        <v>1</v>
      </c>
      <c r="AH71" s="62">
        <f t="shared" si="367"/>
        <v>1</v>
      </c>
      <c r="AI71" s="62">
        <f t="shared" si="367"/>
        <v>1</v>
      </c>
      <c r="AJ71" s="63">
        <f t="shared" si="367"/>
        <v>1</v>
      </c>
      <c r="AK71" s="61">
        <v>1</v>
      </c>
      <c r="AL71" s="62">
        <f t="shared" ref="AL71:AR71" si="368">AK71</f>
        <v>1</v>
      </c>
      <c r="AM71" s="62">
        <f t="shared" si="368"/>
        <v>1</v>
      </c>
      <c r="AN71" s="62">
        <f t="shared" si="368"/>
        <v>1</v>
      </c>
      <c r="AO71" s="62">
        <f t="shared" si="368"/>
        <v>1</v>
      </c>
      <c r="AP71" s="62">
        <f t="shared" si="368"/>
        <v>1</v>
      </c>
      <c r="AQ71" s="62">
        <f t="shared" si="368"/>
        <v>1</v>
      </c>
      <c r="AR71" s="63">
        <f t="shared" si="368"/>
        <v>1</v>
      </c>
      <c r="AS71" s="61">
        <v>1</v>
      </c>
      <c r="AT71" s="62">
        <f t="shared" ref="AT71:AZ71" si="369">AS71</f>
        <v>1</v>
      </c>
      <c r="AU71" s="62">
        <f t="shared" si="369"/>
        <v>1</v>
      </c>
      <c r="AV71" s="62">
        <f t="shared" si="369"/>
        <v>1</v>
      </c>
      <c r="AW71" s="62">
        <f t="shared" si="369"/>
        <v>1</v>
      </c>
      <c r="AX71" s="62">
        <f t="shared" si="369"/>
        <v>1</v>
      </c>
      <c r="AY71" s="62">
        <f t="shared" si="369"/>
        <v>1</v>
      </c>
      <c r="AZ71" s="63">
        <f t="shared" si="369"/>
        <v>1</v>
      </c>
      <c r="BA71" s="42">
        <f t="shared" si="177"/>
        <v>48</v>
      </c>
      <c r="BB71" s="9">
        <f t="shared" si="7"/>
        <v>48</v>
      </c>
      <c r="BC71" s="10">
        <f t="shared" si="8"/>
        <v>100</v>
      </c>
    </row>
    <row r="72" spans="1:55" ht="15" customHeight="1" x14ac:dyDescent="0.35">
      <c r="A72" s="31">
        <v>820323205501</v>
      </c>
      <c r="B72" s="30" t="s">
        <v>82</v>
      </c>
      <c r="C72" s="8"/>
      <c r="D72" s="46"/>
      <c r="E72" s="61">
        <v>1</v>
      </c>
      <c r="F72" s="62">
        <f t="shared" ref="F72:L72" si="370">E72</f>
        <v>1</v>
      </c>
      <c r="G72" s="62">
        <f t="shared" si="370"/>
        <v>1</v>
      </c>
      <c r="H72" s="62">
        <f t="shared" si="370"/>
        <v>1</v>
      </c>
      <c r="I72" s="62">
        <f t="shared" si="370"/>
        <v>1</v>
      </c>
      <c r="J72" s="62">
        <f t="shared" si="370"/>
        <v>1</v>
      </c>
      <c r="K72" s="62">
        <f t="shared" si="370"/>
        <v>1</v>
      </c>
      <c r="L72" s="63">
        <f t="shared" si="370"/>
        <v>1</v>
      </c>
      <c r="M72" s="61">
        <v>1</v>
      </c>
      <c r="N72" s="62">
        <f t="shared" ref="N72:T72" si="371">M72</f>
        <v>1</v>
      </c>
      <c r="O72" s="62">
        <f t="shared" si="371"/>
        <v>1</v>
      </c>
      <c r="P72" s="62">
        <f t="shared" si="371"/>
        <v>1</v>
      </c>
      <c r="Q72" s="62">
        <f t="shared" si="371"/>
        <v>1</v>
      </c>
      <c r="R72" s="62">
        <f t="shared" si="371"/>
        <v>1</v>
      </c>
      <c r="S72" s="62">
        <f t="shared" si="371"/>
        <v>1</v>
      </c>
      <c r="T72" s="63">
        <f t="shared" si="371"/>
        <v>1</v>
      </c>
      <c r="U72" s="61">
        <v>1</v>
      </c>
      <c r="V72" s="62">
        <f t="shared" ref="V72:AB72" si="372">U72</f>
        <v>1</v>
      </c>
      <c r="W72" s="62">
        <f t="shared" si="372"/>
        <v>1</v>
      </c>
      <c r="X72" s="62">
        <f t="shared" si="372"/>
        <v>1</v>
      </c>
      <c r="Y72" s="62">
        <f t="shared" si="372"/>
        <v>1</v>
      </c>
      <c r="Z72" s="62">
        <f t="shared" si="372"/>
        <v>1</v>
      </c>
      <c r="AA72" s="62">
        <f t="shared" si="372"/>
        <v>1</v>
      </c>
      <c r="AB72" s="63">
        <f t="shared" si="372"/>
        <v>1</v>
      </c>
      <c r="AC72" s="61">
        <v>1</v>
      </c>
      <c r="AD72" s="62">
        <f t="shared" ref="AD72:AJ72" si="373">AC72</f>
        <v>1</v>
      </c>
      <c r="AE72" s="62">
        <f t="shared" si="373"/>
        <v>1</v>
      </c>
      <c r="AF72" s="62">
        <f t="shared" si="373"/>
        <v>1</v>
      </c>
      <c r="AG72" s="62">
        <f t="shared" si="373"/>
        <v>1</v>
      </c>
      <c r="AH72" s="62">
        <f t="shared" si="373"/>
        <v>1</v>
      </c>
      <c r="AI72" s="62">
        <f t="shared" si="373"/>
        <v>1</v>
      </c>
      <c r="AJ72" s="63">
        <f t="shared" si="373"/>
        <v>1</v>
      </c>
      <c r="AK72" s="61">
        <v>1</v>
      </c>
      <c r="AL72" s="62">
        <f t="shared" ref="AL72:AR72" si="374">AK72</f>
        <v>1</v>
      </c>
      <c r="AM72" s="62">
        <f t="shared" si="374"/>
        <v>1</v>
      </c>
      <c r="AN72" s="62">
        <f t="shared" si="374"/>
        <v>1</v>
      </c>
      <c r="AO72" s="62">
        <f t="shared" si="374"/>
        <v>1</v>
      </c>
      <c r="AP72" s="62">
        <f t="shared" si="374"/>
        <v>1</v>
      </c>
      <c r="AQ72" s="62">
        <f t="shared" si="374"/>
        <v>1</v>
      </c>
      <c r="AR72" s="63">
        <f t="shared" si="374"/>
        <v>1</v>
      </c>
      <c r="AS72" s="61">
        <v>1</v>
      </c>
      <c r="AT72" s="62">
        <f t="shared" ref="AT72:AZ72" si="375">AS72</f>
        <v>1</v>
      </c>
      <c r="AU72" s="62">
        <f t="shared" si="375"/>
        <v>1</v>
      </c>
      <c r="AV72" s="62">
        <f t="shared" si="375"/>
        <v>1</v>
      </c>
      <c r="AW72" s="62">
        <f t="shared" si="375"/>
        <v>1</v>
      </c>
      <c r="AX72" s="62">
        <f t="shared" si="375"/>
        <v>1</v>
      </c>
      <c r="AY72" s="62">
        <f t="shared" si="375"/>
        <v>1</v>
      </c>
      <c r="AZ72" s="63">
        <f t="shared" si="375"/>
        <v>1</v>
      </c>
      <c r="BA72" s="37">
        <f t="shared" si="177"/>
        <v>48</v>
      </c>
      <c r="BB72" s="9">
        <f t="shared" si="7"/>
        <v>48</v>
      </c>
      <c r="BC72" s="10">
        <f t="shared" si="8"/>
        <v>100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/>
      <c r="E73" s="61">
        <v>1</v>
      </c>
      <c r="F73" s="62">
        <f t="shared" ref="F73:L73" si="376">E73</f>
        <v>1</v>
      </c>
      <c r="G73" s="62">
        <f t="shared" si="376"/>
        <v>1</v>
      </c>
      <c r="H73" s="62">
        <f t="shared" si="376"/>
        <v>1</v>
      </c>
      <c r="I73" s="62">
        <f t="shared" si="376"/>
        <v>1</v>
      </c>
      <c r="J73" s="62">
        <f t="shared" si="376"/>
        <v>1</v>
      </c>
      <c r="K73" s="62">
        <f t="shared" si="376"/>
        <v>1</v>
      </c>
      <c r="L73" s="63">
        <f t="shared" si="376"/>
        <v>1</v>
      </c>
      <c r="M73" s="61">
        <v>1</v>
      </c>
      <c r="N73" s="62">
        <f t="shared" ref="N73:T73" si="377">M73</f>
        <v>1</v>
      </c>
      <c r="O73" s="62">
        <f t="shared" si="377"/>
        <v>1</v>
      </c>
      <c r="P73" s="62">
        <f t="shared" si="377"/>
        <v>1</v>
      </c>
      <c r="Q73" s="62">
        <f t="shared" si="377"/>
        <v>1</v>
      </c>
      <c r="R73" s="62">
        <f t="shared" si="377"/>
        <v>1</v>
      </c>
      <c r="S73" s="62">
        <f t="shared" si="377"/>
        <v>1</v>
      </c>
      <c r="T73" s="63">
        <f t="shared" si="377"/>
        <v>1</v>
      </c>
      <c r="U73" s="61">
        <v>1</v>
      </c>
      <c r="V73" s="62">
        <f t="shared" ref="V73:AB73" si="378">U73</f>
        <v>1</v>
      </c>
      <c r="W73" s="62">
        <f t="shared" si="378"/>
        <v>1</v>
      </c>
      <c r="X73" s="62">
        <f t="shared" si="378"/>
        <v>1</v>
      </c>
      <c r="Y73" s="62">
        <f t="shared" si="378"/>
        <v>1</v>
      </c>
      <c r="Z73" s="62">
        <f t="shared" si="378"/>
        <v>1</v>
      </c>
      <c r="AA73" s="62">
        <f t="shared" si="378"/>
        <v>1</v>
      </c>
      <c r="AB73" s="63">
        <f t="shared" si="378"/>
        <v>1</v>
      </c>
      <c r="AC73" s="61">
        <v>1</v>
      </c>
      <c r="AD73" s="62">
        <f t="shared" ref="AD73:AJ73" si="379">AC73</f>
        <v>1</v>
      </c>
      <c r="AE73" s="62">
        <f t="shared" si="379"/>
        <v>1</v>
      </c>
      <c r="AF73" s="62">
        <f t="shared" si="379"/>
        <v>1</v>
      </c>
      <c r="AG73" s="62">
        <f t="shared" si="379"/>
        <v>1</v>
      </c>
      <c r="AH73" s="62">
        <f t="shared" si="379"/>
        <v>1</v>
      </c>
      <c r="AI73" s="62">
        <f t="shared" si="379"/>
        <v>1</v>
      </c>
      <c r="AJ73" s="63">
        <f t="shared" si="379"/>
        <v>1</v>
      </c>
      <c r="AK73" s="61">
        <v>1</v>
      </c>
      <c r="AL73" s="62">
        <f t="shared" ref="AL73:AR73" si="380">AK73</f>
        <v>1</v>
      </c>
      <c r="AM73" s="62">
        <f t="shared" si="380"/>
        <v>1</v>
      </c>
      <c r="AN73" s="62">
        <f t="shared" si="380"/>
        <v>1</v>
      </c>
      <c r="AO73" s="62">
        <f t="shared" si="380"/>
        <v>1</v>
      </c>
      <c r="AP73" s="62">
        <f t="shared" si="380"/>
        <v>1</v>
      </c>
      <c r="AQ73" s="62">
        <f t="shared" si="380"/>
        <v>1</v>
      </c>
      <c r="AR73" s="63">
        <f t="shared" si="380"/>
        <v>1</v>
      </c>
      <c r="AS73" s="61">
        <v>1</v>
      </c>
      <c r="AT73" s="62">
        <f t="shared" ref="AT73:AZ73" si="381">AS73</f>
        <v>1</v>
      </c>
      <c r="AU73" s="62">
        <f t="shared" si="381"/>
        <v>1</v>
      </c>
      <c r="AV73" s="62">
        <f t="shared" si="381"/>
        <v>1</v>
      </c>
      <c r="AW73" s="62">
        <f t="shared" si="381"/>
        <v>1</v>
      </c>
      <c r="AX73" s="62">
        <f t="shared" si="381"/>
        <v>1</v>
      </c>
      <c r="AY73" s="62">
        <f t="shared" si="381"/>
        <v>1</v>
      </c>
      <c r="AZ73" s="63">
        <f t="shared" si="381"/>
        <v>1</v>
      </c>
      <c r="BA73" s="37">
        <f t="shared" si="177"/>
        <v>48</v>
      </c>
      <c r="BB73" s="9">
        <f t="shared" si="7"/>
        <v>48</v>
      </c>
      <c r="BC73" s="10">
        <f t="shared" si="8"/>
        <v>100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0</v>
      </c>
      <c r="F74" s="50">
        <f t="shared" ref="F74:AZ74" si="382">COUNTIF(F10:F73,"a")</f>
        <v>0</v>
      </c>
      <c r="G74" s="50">
        <f t="shared" si="382"/>
        <v>0</v>
      </c>
      <c r="H74" s="50">
        <f t="shared" si="382"/>
        <v>0</v>
      </c>
      <c r="I74" s="50">
        <f t="shared" si="382"/>
        <v>0</v>
      </c>
      <c r="J74" s="50">
        <f t="shared" si="382"/>
        <v>0</v>
      </c>
      <c r="K74" s="50">
        <f t="shared" si="382"/>
        <v>0</v>
      </c>
      <c r="L74" s="50">
        <f t="shared" si="382"/>
        <v>0</v>
      </c>
      <c r="M74" s="50">
        <f t="shared" si="382"/>
        <v>0</v>
      </c>
      <c r="N74" s="50">
        <f t="shared" si="382"/>
        <v>0</v>
      </c>
      <c r="O74" s="50">
        <f t="shared" si="382"/>
        <v>0</v>
      </c>
      <c r="P74" s="50">
        <f t="shared" si="382"/>
        <v>0</v>
      </c>
      <c r="Q74" s="50">
        <f t="shared" si="382"/>
        <v>0</v>
      </c>
      <c r="R74" s="50">
        <f t="shared" si="382"/>
        <v>0</v>
      </c>
      <c r="S74" s="50">
        <f t="shared" si="382"/>
        <v>0</v>
      </c>
      <c r="T74" s="50">
        <f t="shared" si="382"/>
        <v>0</v>
      </c>
      <c r="U74" s="50">
        <f t="shared" si="382"/>
        <v>0</v>
      </c>
      <c r="V74" s="50">
        <f t="shared" si="382"/>
        <v>0</v>
      </c>
      <c r="W74" s="50">
        <f t="shared" si="382"/>
        <v>0</v>
      </c>
      <c r="X74" s="50">
        <f t="shared" si="382"/>
        <v>0</v>
      </c>
      <c r="Y74" s="50">
        <f t="shared" si="382"/>
        <v>0</v>
      </c>
      <c r="Z74" s="50">
        <f t="shared" si="382"/>
        <v>0</v>
      </c>
      <c r="AA74" s="50">
        <f t="shared" si="382"/>
        <v>0</v>
      </c>
      <c r="AB74" s="50">
        <f t="shared" si="382"/>
        <v>0</v>
      </c>
      <c r="AC74" s="50">
        <f t="shared" si="382"/>
        <v>0</v>
      </c>
      <c r="AD74" s="50">
        <f t="shared" si="382"/>
        <v>0</v>
      </c>
      <c r="AE74" s="50">
        <f t="shared" si="382"/>
        <v>0</v>
      </c>
      <c r="AF74" s="50">
        <f t="shared" si="382"/>
        <v>0</v>
      </c>
      <c r="AG74" s="50">
        <f t="shared" si="382"/>
        <v>0</v>
      </c>
      <c r="AH74" s="50">
        <f t="shared" si="382"/>
        <v>0</v>
      </c>
      <c r="AI74" s="50">
        <f t="shared" si="382"/>
        <v>0</v>
      </c>
      <c r="AJ74" s="50">
        <f t="shared" si="382"/>
        <v>0</v>
      </c>
      <c r="AK74" s="50">
        <f t="shared" si="382"/>
        <v>0</v>
      </c>
      <c r="AL74" s="50">
        <f t="shared" si="382"/>
        <v>0</v>
      </c>
      <c r="AM74" s="50">
        <f t="shared" si="382"/>
        <v>0</v>
      </c>
      <c r="AN74" s="50">
        <f t="shared" si="382"/>
        <v>0</v>
      </c>
      <c r="AO74" s="50">
        <f t="shared" si="382"/>
        <v>0</v>
      </c>
      <c r="AP74" s="50">
        <f t="shared" si="382"/>
        <v>0</v>
      </c>
      <c r="AQ74" s="50">
        <f t="shared" si="382"/>
        <v>0</v>
      </c>
      <c r="AR74" s="50">
        <f t="shared" si="382"/>
        <v>0</v>
      </c>
      <c r="AS74" s="50">
        <f t="shared" si="382"/>
        <v>0</v>
      </c>
      <c r="AT74" s="50">
        <f t="shared" si="382"/>
        <v>0</v>
      </c>
      <c r="AU74" s="50">
        <f t="shared" si="382"/>
        <v>0</v>
      </c>
      <c r="AV74" s="50">
        <f t="shared" si="382"/>
        <v>0</v>
      </c>
      <c r="AW74" s="50">
        <f t="shared" si="382"/>
        <v>0</v>
      </c>
      <c r="AX74" s="50">
        <f t="shared" si="382"/>
        <v>0</v>
      </c>
      <c r="AY74" s="50">
        <f t="shared" si="382"/>
        <v>0</v>
      </c>
      <c r="AZ74" s="50">
        <f t="shared" si="382"/>
        <v>0</v>
      </c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Z75" si="383">F9</f>
        <v>PA</v>
      </c>
      <c r="G75" s="102" t="str">
        <f t="shared" si="383"/>
        <v>BB</v>
      </c>
      <c r="H75" s="102" t="str">
        <f t="shared" si="383"/>
        <v>VP</v>
      </c>
      <c r="I75" s="102" t="str">
        <f t="shared" si="383"/>
        <v>NS / PA</v>
      </c>
      <c r="J75" s="102">
        <f t="shared" si="383"/>
        <v>0</v>
      </c>
      <c r="K75" s="102">
        <f t="shared" si="383"/>
        <v>0</v>
      </c>
      <c r="L75" s="102">
        <f t="shared" si="383"/>
        <v>0</v>
      </c>
      <c r="M75" s="102" t="str">
        <f t="shared" si="383"/>
        <v>SJ</v>
      </c>
      <c r="N75" s="102" t="str">
        <f t="shared" si="383"/>
        <v>NPK</v>
      </c>
      <c r="O75" s="102" t="str">
        <f t="shared" si="383"/>
        <v>PA</v>
      </c>
      <c r="P75" s="102" t="str">
        <f t="shared" si="383"/>
        <v>VP</v>
      </c>
      <c r="Q75" s="102" t="str">
        <f t="shared" si="383"/>
        <v>NS</v>
      </c>
      <c r="R75" s="102" t="str">
        <f t="shared" si="383"/>
        <v>SJ,SS/
NPK,BB</v>
      </c>
      <c r="S75" s="102">
        <f t="shared" si="383"/>
        <v>0</v>
      </c>
      <c r="T75" s="102">
        <f t="shared" si="383"/>
        <v>0</v>
      </c>
      <c r="U75" s="102" t="str">
        <f t="shared" si="383"/>
        <v>SG / VP, KM  (1,2,4) SS</v>
      </c>
      <c r="V75" s="102">
        <f t="shared" si="383"/>
        <v>0</v>
      </c>
      <c r="W75" s="102">
        <f t="shared" si="383"/>
        <v>0</v>
      </c>
      <c r="X75" s="102">
        <f t="shared" si="383"/>
        <v>0</v>
      </c>
      <c r="Y75" s="102" t="str">
        <f t="shared" si="383"/>
        <v>PA</v>
      </c>
      <c r="Z75" s="102" t="str">
        <f t="shared" si="383"/>
        <v>SG</v>
      </c>
      <c r="AA75" s="102" t="str">
        <f t="shared" si="383"/>
        <v>VP</v>
      </c>
      <c r="AB75" s="102" t="str">
        <f t="shared" si="383"/>
        <v>NS</v>
      </c>
      <c r="AC75" s="102" t="str">
        <f t="shared" si="383"/>
        <v>VP</v>
      </c>
      <c r="AD75" s="102" t="str">
        <f t="shared" si="383"/>
        <v>BB</v>
      </c>
      <c r="AE75" s="102" t="str">
        <f t="shared" si="383"/>
        <v>SG</v>
      </c>
      <c r="AF75" s="102" t="str">
        <f t="shared" si="383"/>
        <v>PA</v>
      </c>
      <c r="AG75" s="102" t="str">
        <f t="shared" si="383"/>
        <v>SG</v>
      </c>
      <c r="AH75" s="102" t="str">
        <f t="shared" si="383"/>
        <v>SS</v>
      </c>
      <c r="AI75" s="102" t="str">
        <f t="shared" si="383"/>
        <v>NS</v>
      </c>
      <c r="AJ75" s="102" t="str">
        <f t="shared" si="383"/>
        <v>BB</v>
      </c>
      <c r="AK75" s="102" t="str">
        <f t="shared" si="383"/>
        <v>NS</v>
      </c>
      <c r="AL75" s="102" t="str">
        <f t="shared" si="383"/>
        <v>SG</v>
      </c>
      <c r="AM75" s="102" t="str">
        <f t="shared" si="383"/>
        <v>NPK</v>
      </c>
      <c r="AN75" s="102" t="str">
        <f t="shared" si="383"/>
        <v>BB</v>
      </c>
      <c r="AO75" s="102" t="str">
        <f t="shared" si="383"/>
        <v>SG</v>
      </c>
      <c r="AP75" s="102">
        <f t="shared" si="383"/>
        <v>0</v>
      </c>
      <c r="AQ75" s="102">
        <f t="shared" si="383"/>
        <v>0</v>
      </c>
      <c r="AR75" s="102">
        <f t="shared" si="383"/>
        <v>0</v>
      </c>
      <c r="AS75" s="102">
        <f t="shared" si="383"/>
        <v>0</v>
      </c>
      <c r="AT75" s="102">
        <f t="shared" si="383"/>
        <v>0</v>
      </c>
      <c r="AU75" s="102">
        <f t="shared" si="383"/>
        <v>0</v>
      </c>
      <c r="AV75" s="102">
        <f t="shared" si="383"/>
        <v>0</v>
      </c>
      <c r="AW75" s="102">
        <f t="shared" si="383"/>
        <v>0</v>
      </c>
      <c r="AX75" s="102">
        <f t="shared" si="383"/>
        <v>0</v>
      </c>
      <c r="AY75" s="102">
        <f t="shared" si="383"/>
        <v>0</v>
      </c>
      <c r="AZ75" s="102">
        <f t="shared" si="383"/>
        <v>0</v>
      </c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2">
    <mergeCell ref="BC5:BC9"/>
    <mergeCell ref="A6:D6"/>
    <mergeCell ref="E6:L6"/>
    <mergeCell ref="M6:T6"/>
    <mergeCell ref="U6:AB6"/>
    <mergeCell ref="AK5:AR5"/>
    <mergeCell ref="BA5:BA7"/>
    <mergeCell ref="BA8:BA9"/>
    <mergeCell ref="BB8:BB9"/>
    <mergeCell ref="BB5:BB7"/>
    <mergeCell ref="AS5:AZ5"/>
    <mergeCell ref="A5:D5"/>
    <mergeCell ref="E5:L5"/>
    <mergeCell ref="M5:T5"/>
    <mergeCell ref="U5:AB5"/>
    <mergeCell ref="AC5:AJ5"/>
    <mergeCell ref="A1:BC1"/>
    <mergeCell ref="A2:BC2"/>
    <mergeCell ref="A3:BC3"/>
    <mergeCell ref="A4:L4"/>
    <mergeCell ref="U4:AC4"/>
    <mergeCell ref="AL4:BC4"/>
    <mergeCell ref="A7:A9"/>
    <mergeCell ref="B7:B9"/>
    <mergeCell ref="I8:L8"/>
    <mergeCell ref="I9:L9"/>
    <mergeCell ref="C7:C8"/>
    <mergeCell ref="D7:D8"/>
    <mergeCell ref="AS6:AZ6"/>
    <mergeCell ref="R8:T8"/>
    <mergeCell ref="R9:T9"/>
    <mergeCell ref="U8:X8"/>
    <mergeCell ref="U9:X9"/>
    <mergeCell ref="AO8:AR8"/>
    <mergeCell ref="AO9:AR9"/>
    <mergeCell ref="AC6:AJ6"/>
    <mergeCell ref="AK6:AR6"/>
    <mergeCell ref="A79:I79"/>
    <mergeCell ref="A80:H80"/>
    <mergeCell ref="AR80:BC80"/>
    <mergeCell ref="A74:D74"/>
    <mergeCell ref="A76:D76"/>
  </mergeCells>
  <conditionalFormatting sqref="BC1:BC73">
    <cfRule type="cellIs" dxfId="53" priority="1" operator="lessThan">
      <formula>75</formula>
    </cfRule>
  </conditionalFormatting>
  <conditionalFormatting sqref="BC10:BC73">
    <cfRule type="cellIs" dxfId="52" priority="3" operator="lessThan">
      <formula>75</formula>
    </cfRule>
  </conditionalFormatting>
  <conditionalFormatting sqref="BC80">
    <cfRule type="cellIs" dxfId="51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horizontalDpi="4294967292" verticalDpi="0" r:id="rId1"/>
  <rowBreaks count="1" manualBreakCount="1">
    <brk id="42" max="5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C0C-B75D-46AD-9D4A-A146B34E11AF}">
  <dimension ref="A1:BC79"/>
  <sheetViews>
    <sheetView view="pageBreakPreview" topLeftCell="A55" zoomScale="70" zoomScaleNormal="70" zoomScaleSheetLayoutView="7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117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126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5.5" thickBot="1" x14ac:dyDescent="0.4">
      <c r="A5" s="183" t="s">
        <v>2</v>
      </c>
      <c r="B5" s="184"/>
      <c r="C5" s="184"/>
      <c r="D5" s="184"/>
      <c r="E5" s="177" t="s">
        <v>109</v>
      </c>
      <c r="F5" s="177"/>
      <c r="G5" s="177"/>
      <c r="H5" s="177"/>
      <c r="I5" s="177"/>
      <c r="J5" s="177"/>
      <c r="K5" s="177"/>
      <c r="L5" s="177"/>
      <c r="M5" s="177" t="s">
        <v>110</v>
      </c>
      <c r="N5" s="177"/>
      <c r="O5" s="177"/>
      <c r="P5" s="177"/>
      <c r="Q5" s="177"/>
      <c r="R5" s="177"/>
      <c r="S5" s="177"/>
      <c r="T5" s="177"/>
      <c r="U5" s="177" t="s">
        <v>111</v>
      </c>
      <c r="V5" s="177"/>
      <c r="W5" s="177"/>
      <c r="X5" s="177"/>
      <c r="Y5" s="177"/>
      <c r="Z5" s="177"/>
      <c r="AA5" s="177"/>
      <c r="AB5" s="177"/>
      <c r="AC5" s="177" t="s">
        <v>112</v>
      </c>
      <c r="AD5" s="177"/>
      <c r="AE5" s="177"/>
      <c r="AF5" s="177"/>
      <c r="AG5" s="177"/>
      <c r="AH5" s="177"/>
      <c r="AI5" s="177"/>
      <c r="AJ5" s="177"/>
      <c r="AK5" s="177" t="s">
        <v>113</v>
      </c>
      <c r="AL5" s="177"/>
      <c r="AM5" s="177"/>
      <c r="AN5" s="177"/>
      <c r="AO5" s="177"/>
      <c r="AP5" s="177"/>
      <c r="AQ5" s="177"/>
      <c r="AR5" s="177"/>
      <c r="AS5" s="177" t="s">
        <v>114</v>
      </c>
      <c r="AT5" s="177"/>
      <c r="AU5" s="177"/>
      <c r="AV5" s="177"/>
      <c r="AW5" s="177"/>
      <c r="AX5" s="177"/>
      <c r="AY5" s="177"/>
      <c r="AZ5" s="177"/>
      <c r="BA5" s="212" t="s">
        <v>121</v>
      </c>
      <c r="BB5" s="209" t="s">
        <v>122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86"/>
      <c r="BA6" s="212"/>
      <c r="BB6" s="159"/>
      <c r="BC6" s="182"/>
    </row>
    <row r="7" spans="1:55" ht="16.5" customHeight="1" thickBot="1" x14ac:dyDescent="0.4">
      <c r="A7" s="164" t="s">
        <v>12</v>
      </c>
      <c r="B7" s="167" t="s">
        <v>13</v>
      </c>
      <c r="C7" s="213" t="s">
        <v>14</v>
      </c>
      <c r="D7" s="214" t="s">
        <v>128</v>
      </c>
      <c r="E7" s="44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12"/>
      <c r="BB7" s="159"/>
      <c r="BC7" s="182"/>
    </row>
    <row r="8" spans="1:55" ht="30" customHeight="1" thickBot="1" x14ac:dyDescent="0.4">
      <c r="A8" s="165"/>
      <c r="B8" s="168"/>
      <c r="C8" s="213"/>
      <c r="D8" s="215"/>
      <c r="E8" s="95" t="s">
        <v>94</v>
      </c>
      <c r="F8" s="94" t="s">
        <v>92</v>
      </c>
      <c r="G8" s="76" t="s">
        <v>101</v>
      </c>
      <c r="H8" s="76" t="s">
        <v>96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94</v>
      </c>
      <c r="P8" s="59" t="s">
        <v>96</v>
      </c>
      <c r="Q8" s="59" t="s">
        <v>101</v>
      </c>
      <c r="R8" s="174" t="s">
        <v>102</v>
      </c>
      <c r="S8" s="175"/>
      <c r="T8" s="176"/>
      <c r="U8" s="129" t="s">
        <v>103</v>
      </c>
      <c r="V8" s="130"/>
      <c r="W8" s="130"/>
      <c r="X8" s="131"/>
      <c r="Y8" s="59" t="s">
        <v>92</v>
      </c>
      <c r="Z8" s="59" t="s">
        <v>96</v>
      </c>
      <c r="AA8" s="59" t="s">
        <v>101</v>
      </c>
      <c r="AB8" s="60" t="s">
        <v>92</v>
      </c>
      <c r="AC8" s="58" t="s">
        <v>99</v>
      </c>
      <c r="AD8" s="59" t="s">
        <v>99</v>
      </c>
      <c r="AE8" s="59" t="s">
        <v>119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101</v>
      </c>
      <c r="AK8" s="58" t="s">
        <v>101</v>
      </c>
      <c r="AL8" s="59" t="s">
        <v>99</v>
      </c>
      <c r="AM8" s="59" t="s">
        <v>96</v>
      </c>
      <c r="AN8" s="59" t="s">
        <v>94</v>
      </c>
      <c r="AO8" s="59" t="s">
        <v>99</v>
      </c>
      <c r="AP8" s="59" t="s">
        <v>99</v>
      </c>
      <c r="AQ8" s="90"/>
      <c r="AR8" s="91"/>
      <c r="AS8" s="73"/>
      <c r="AT8" s="74"/>
      <c r="AU8" s="74"/>
      <c r="AV8" s="74"/>
      <c r="AW8" s="74"/>
      <c r="AX8" s="74"/>
      <c r="AY8" s="74"/>
      <c r="AZ8" s="75"/>
      <c r="BA8" s="212"/>
      <c r="BB8" s="159"/>
      <c r="BC8" s="182"/>
    </row>
    <row r="9" spans="1:55" ht="39" customHeight="1" thickBot="1" x14ac:dyDescent="0.4">
      <c r="A9" s="166"/>
      <c r="B9" s="169"/>
      <c r="C9" s="213"/>
      <c r="D9" s="216"/>
      <c r="E9" s="77" t="s">
        <v>95</v>
      </c>
      <c r="F9" s="78" t="s">
        <v>93</v>
      </c>
      <c r="G9" s="78" t="s">
        <v>92</v>
      </c>
      <c r="H9" s="78" t="s">
        <v>85</v>
      </c>
      <c r="I9" s="204" t="s">
        <v>98</v>
      </c>
      <c r="J9" s="205"/>
      <c r="K9" s="205"/>
      <c r="L9" s="206"/>
      <c r="M9" s="57" t="s">
        <v>95</v>
      </c>
      <c r="N9" s="56" t="s">
        <v>123</v>
      </c>
      <c r="O9" s="56" t="s">
        <v>95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85</v>
      </c>
      <c r="AA9" s="56" t="s">
        <v>92</v>
      </c>
      <c r="AB9" s="79" t="s">
        <v>93</v>
      </c>
      <c r="AC9" s="57" t="s">
        <v>118</v>
      </c>
      <c r="AD9" s="56" t="s">
        <v>104</v>
      </c>
      <c r="AE9" s="56" t="s">
        <v>100</v>
      </c>
      <c r="AF9" s="56" t="s">
        <v>93</v>
      </c>
      <c r="AG9" s="56" t="s">
        <v>92</v>
      </c>
      <c r="AH9" s="56" t="s">
        <v>92</v>
      </c>
      <c r="AI9" s="56" t="s">
        <v>92</v>
      </c>
      <c r="AJ9" s="79" t="s">
        <v>92</v>
      </c>
      <c r="AK9" s="57" t="s">
        <v>92</v>
      </c>
      <c r="AL9" s="56" t="s">
        <v>120</v>
      </c>
      <c r="AM9" s="56" t="s">
        <v>85</v>
      </c>
      <c r="AN9" s="56" t="s">
        <v>95</v>
      </c>
      <c r="AO9" s="92" t="s">
        <v>118</v>
      </c>
      <c r="AP9" s="92" t="s">
        <v>118</v>
      </c>
      <c r="AQ9" s="92"/>
      <c r="AR9" s="93"/>
      <c r="AS9" s="73"/>
      <c r="AT9" s="74"/>
      <c r="AU9" s="74"/>
      <c r="AV9" s="74"/>
      <c r="AW9" s="74"/>
      <c r="AX9" s="74"/>
      <c r="AY9" s="74"/>
      <c r="AZ9" s="75"/>
      <c r="BA9" s="212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/>
      <c r="E10" s="61" t="s">
        <v>124</v>
      </c>
      <c r="F10" s="62" t="str">
        <f>E10</f>
        <v>a</v>
      </c>
      <c r="G10" s="62" t="str">
        <f t="shared" ref="G10:L10" si="0">F10</f>
        <v>a</v>
      </c>
      <c r="H10" s="62" t="str">
        <f t="shared" si="0"/>
        <v>a</v>
      </c>
      <c r="I10" s="62" t="str">
        <f t="shared" si="0"/>
        <v>a</v>
      </c>
      <c r="J10" s="62" t="str">
        <f t="shared" si="0"/>
        <v>a</v>
      </c>
      <c r="K10" s="62" t="str">
        <f t="shared" si="0"/>
        <v>a</v>
      </c>
      <c r="L10" s="62" t="str">
        <f t="shared" si="0"/>
        <v>a</v>
      </c>
      <c r="M10" s="64" t="s">
        <v>124</v>
      </c>
      <c r="N10" s="65" t="s">
        <v>124</v>
      </c>
      <c r="O10" s="65" t="s">
        <v>124</v>
      </c>
      <c r="P10" s="65" t="s">
        <v>124</v>
      </c>
      <c r="Q10" s="65" t="s">
        <v>124</v>
      </c>
      <c r="R10" s="65" t="s">
        <v>124</v>
      </c>
      <c r="S10" s="65" t="s">
        <v>124</v>
      </c>
      <c r="T10" s="66" t="s">
        <v>124</v>
      </c>
      <c r="U10" s="64">
        <v>1</v>
      </c>
      <c r="V10" s="65">
        <v>1</v>
      </c>
      <c r="W10" s="65">
        <v>1</v>
      </c>
      <c r="X10" s="65">
        <v>1</v>
      </c>
      <c r="Y10" s="65">
        <v>1</v>
      </c>
      <c r="Z10" s="65">
        <v>1</v>
      </c>
      <c r="AA10" s="65">
        <v>1</v>
      </c>
      <c r="AB10" s="66">
        <v>1</v>
      </c>
      <c r="AC10" s="64">
        <v>1</v>
      </c>
      <c r="AD10" s="65">
        <v>1</v>
      </c>
      <c r="AE10" s="65">
        <v>1</v>
      </c>
      <c r="AF10" s="65">
        <v>1</v>
      </c>
      <c r="AG10" s="65">
        <v>1</v>
      </c>
      <c r="AH10" s="65">
        <v>1</v>
      </c>
      <c r="AI10" s="65">
        <v>1</v>
      </c>
      <c r="AJ10" s="66">
        <v>1</v>
      </c>
      <c r="AK10" s="64">
        <v>1</v>
      </c>
      <c r="AL10" s="65">
        <v>1</v>
      </c>
      <c r="AM10" s="65">
        <v>1</v>
      </c>
      <c r="AN10" s="65">
        <v>1</v>
      </c>
      <c r="AO10" s="65">
        <v>1</v>
      </c>
      <c r="AP10" s="65">
        <v>1</v>
      </c>
      <c r="AQ10" s="65"/>
      <c r="AR10" s="66"/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1">SUM(E10:AZ10)</f>
        <v>22</v>
      </c>
      <c r="BB10" s="9">
        <f>BA10+D10+C10</f>
        <v>22</v>
      </c>
      <c r="BC10" s="10">
        <f>ROUND((BB10/38)*100,0)</f>
        <v>58</v>
      </c>
    </row>
    <row r="11" spans="1:55" ht="15" customHeight="1" x14ac:dyDescent="0.35">
      <c r="A11" s="29">
        <v>820323205062</v>
      </c>
      <c r="B11" s="30" t="s">
        <v>21</v>
      </c>
      <c r="C11" s="11"/>
      <c r="D11" s="7"/>
      <c r="E11" s="61" t="s">
        <v>124</v>
      </c>
      <c r="F11" s="62" t="str">
        <f t="shared" ref="F11:L11" si="2">E11</f>
        <v>a</v>
      </c>
      <c r="G11" s="62" t="str">
        <f t="shared" si="2"/>
        <v>a</v>
      </c>
      <c r="H11" s="62" t="str">
        <f t="shared" si="2"/>
        <v>a</v>
      </c>
      <c r="I11" s="62" t="str">
        <f t="shared" si="2"/>
        <v>a</v>
      </c>
      <c r="J11" s="62" t="str">
        <f t="shared" si="2"/>
        <v>a</v>
      </c>
      <c r="K11" s="62" t="str">
        <f t="shared" si="2"/>
        <v>a</v>
      </c>
      <c r="L11" s="62" t="str">
        <f t="shared" si="2"/>
        <v>a</v>
      </c>
      <c r="M11" s="67" t="s">
        <v>124</v>
      </c>
      <c r="N11" s="68" t="s">
        <v>124</v>
      </c>
      <c r="O11" s="68" t="s">
        <v>124</v>
      </c>
      <c r="P11" s="68" t="s">
        <v>124</v>
      </c>
      <c r="Q11" s="68" t="s">
        <v>124</v>
      </c>
      <c r="R11" s="68" t="s">
        <v>124</v>
      </c>
      <c r="S11" s="68" t="s">
        <v>124</v>
      </c>
      <c r="T11" s="69" t="s">
        <v>124</v>
      </c>
      <c r="U11" s="67" t="s">
        <v>124</v>
      </c>
      <c r="V11" s="68" t="s">
        <v>124</v>
      </c>
      <c r="W11" s="68" t="s">
        <v>124</v>
      </c>
      <c r="X11" s="68" t="s">
        <v>124</v>
      </c>
      <c r="Y11" s="68" t="s">
        <v>124</v>
      </c>
      <c r="Z11" s="68" t="s">
        <v>124</v>
      </c>
      <c r="AA11" s="68" t="s">
        <v>124</v>
      </c>
      <c r="AB11" s="69" t="s">
        <v>124</v>
      </c>
      <c r="AC11" s="67" t="s">
        <v>124</v>
      </c>
      <c r="AD11" s="68" t="s">
        <v>124</v>
      </c>
      <c r="AE11" s="68" t="s">
        <v>124</v>
      </c>
      <c r="AF11" s="68" t="s">
        <v>124</v>
      </c>
      <c r="AG11" s="68" t="s">
        <v>124</v>
      </c>
      <c r="AH11" s="68" t="s">
        <v>124</v>
      </c>
      <c r="AI11" s="68" t="s">
        <v>124</v>
      </c>
      <c r="AJ11" s="69" t="s">
        <v>124</v>
      </c>
      <c r="AK11" s="67" t="s">
        <v>124</v>
      </c>
      <c r="AL11" s="68" t="s">
        <v>124</v>
      </c>
      <c r="AM11" s="68" t="s">
        <v>124</v>
      </c>
      <c r="AN11" s="68" t="s">
        <v>124</v>
      </c>
      <c r="AO11" s="68" t="s">
        <v>124</v>
      </c>
      <c r="AP11" s="68" t="s">
        <v>124</v>
      </c>
      <c r="AQ11" s="68"/>
      <c r="AR11" s="69"/>
      <c r="AS11" s="135"/>
      <c r="AT11" s="136"/>
      <c r="AU11" s="136"/>
      <c r="AV11" s="136"/>
      <c r="AW11" s="136"/>
      <c r="AX11" s="136"/>
      <c r="AY11" s="136"/>
      <c r="AZ11" s="137"/>
      <c r="BA11" s="37">
        <f t="shared" si="1"/>
        <v>0</v>
      </c>
      <c r="BB11" s="9">
        <f t="shared" ref="BB11:BB73" si="3">BA11+D11+C11</f>
        <v>0</v>
      </c>
      <c r="BC11" s="10">
        <f t="shared" ref="BC11:BC73" si="4">ROUND((BB11/38)*100,0)</f>
        <v>0</v>
      </c>
    </row>
    <row r="12" spans="1:55" ht="15" customHeight="1" x14ac:dyDescent="0.35">
      <c r="A12" s="29">
        <v>820323205063</v>
      </c>
      <c r="B12" s="30" t="s">
        <v>22</v>
      </c>
      <c r="C12" s="11"/>
      <c r="D12" s="7"/>
      <c r="E12" s="61">
        <v>1</v>
      </c>
      <c r="F12" s="62">
        <f t="shared" ref="F12:L12" si="5">E12</f>
        <v>1</v>
      </c>
      <c r="G12" s="62">
        <f t="shared" si="5"/>
        <v>1</v>
      </c>
      <c r="H12" s="62">
        <f t="shared" si="5"/>
        <v>1</v>
      </c>
      <c r="I12" s="62">
        <f t="shared" si="5"/>
        <v>1</v>
      </c>
      <c r="J12" s="62">
        <f t="shared" si="5"/>
        <v>1</v>
      </c>
      <c r="K12" s="62">
        <f t="shared" si="5"/>
        <v>1</v>
      </c>
      <c r="L12" s="62">
        <f t="shared" si="5"/>
        <v>1</v>
      </c>
      <c r="M12" s="67">
        <v>1</v>
      </c>
      <c r="N12" s="68">
        <v>1</v>
      </c>
      <c r="O12" s="68">
        <v>1</v>
      </c>
      <c r="P12" s="68">
        <v>1</v>
      </c>
      <c r="Q12" s="68">
        <v>1</v>
      </c>
      <c r="R12" s="68">
        <v>1</v>
      </c>
      <c r="S12" s="68">
        <v>1</v>
      </c>
      <c r="T12" s="69">
        <v>1</v>
      </c>
      <c r="U12" s="67">
        <v>1</v>
      </c>
      <c r="V12" s="68">
        <v>1</v>
      </c>
      <c r="W12" s="68">
        <v>1</v>
      </c>
      <c r="X12" s="68">
        <v>1</v>
      </c>
      <c r="Y12" s="68">
        <v>1</v>
      </c>
      <c r="Z12" s="68">
        <v>1</v>
      </c>
      <c r="AA12" s="68">
        <v>1</v>
      </c>
      <c r="AB12" s="69">
        <v>1</v>
      </c>
      <c r="AC12" s="67">
        <v>1</v>
      </c>
      <c r="AD12" s="68">
        <v>1</v>
      </c>
      <c r="AE12" s="68">
        <v>1</v>
      </c>
      <c r="AF12" s="68">
        <v>1</v>
      </c>
      <c r="AG12" s="68">
        <v>1</v>
      </c>
      <c r="AH12" s="68">
        <v>1</v>
      </c>
      <c r="AI12" s="68">
        <v>1</v>
      </c>
      <c r="AJ12" s="69">
        <v>1</v>
      </c>
      <c r="AK12" s="67">
        <v>1</v>
      </c>
      <c r="AL12" s="68">
        <v>1</v>
      </c>
      <c r="AM12" s="68">
        <v>1</v>
      </c>
      <c r="AN12" s="68">
        <v>1</v>
      </c>
      <c r="AO12" s="68">
        <v>1</v>
      </c>
      <c r="AP12" s="68">
        <v>1</v>
      </c>
      <c r="AQ12" s="68"/>
      <c r="AR12" s="69"/>
      <c r="AS12" s="135"/>
      <c r="AT12" s="136"/>
      <c r="AU12" s="136"/>
      <c r="AV12" s="136"/>
      <c r="AW12" s="136"/>
      <c r="AX12" s="136"/>
      <c r="AY12" s="136"/>
      <c r="AZ12" s="137"/>
      <c r="BA12" s="37">
        <f t="shared" si="1"/>
        <v>38</v>
      </c>
      <c r="BB12" s="9">
        <f t="shared" si="3"/>
        <v>38</v>
      </c>
      <c r="BC12" s="10">
        <f t="shared" si="4"/>
        <v>100</v>
      </c>
    </row>
    <row r="13" spans="1:55" ht="15" customHeight="1" x14ac:dyDescent="0.35">
      <c r="A13" s="29">
        <v>820323205064</v>
      </c>
      <c r="B13" s="30" t="s">
        <v>23</v>
      </c>
      <c r="C13" s="11"/>
      <c r="D13" s="7"/>
      <c r="E13" s="61">
        <v>1</v>
      </c>
      <c r="F13" s="62">
        <f t="shared" ref="F13:L13" si="6">E13</f>
        <v>1</v>
      </c>
      <c r="G13" s="62">
        <f t="shared" si="6"/>
        <v>1</v>
      </c>
      <c r="H13" s="62">
        <f t="shared" si="6"/>
        <v>1</v>
      </c>
      <c r="I13" s="62">
        <f t="shared" si="6"/>
        <v>1</v>
      </c>
      <c r="J13" s="62">
        <f t="shared" si="6"/>
        <v>1</v>
      </c>
      <c r="K13" s="62">
        <f t="shared" si="6"/>
        <v>1</v>
      </c>
      <c r="L13" s="62">
        <f t="shared" si="6"/>
        <v>1</v>
      </c>
      <c r="M13" s="67" t="s">
        <v>124</v>
      </c>
      <c r="N13" s="68" t="s">
        <v>124</v>
      </c>
      <c r="O13" s="68" t="s">
        <v>124</v>
      </c>
      <c r="P13" s="68" t="s">
        <v>124</v>
      </c>
      <c r="Q13" s="68" t="s">
        <v>124</v>
      </c>
      <c r="R13" s="68" t="s">
        <v>124</v>
      </c>
      <c r="S13" s="68" t="s">
        <v>124</v>
      </c>
      <c r="T13" s="69" t="s">
        <v>124</v>
      </c>
      <c r="U13" s="67" t="s">
        <v>124</v>
      </c>
      <c r="V13" s="68" t="s">
        <v>124</v>
      </c>
      <c r="W13" s="68" t="s">
        <v>124</v>
      </c>
      <c r="X13" s="68" t="s">
        <v>124</v>
      </c>
      <c r="Y13" s="68" t="s">
        <v>124</v>
      </c>
      <c r="Z13" s="68" t="s">
        <v>124</v>
      </c>
      <c r="AA13" s="68" t="s">
        <v>124</v>
      </c>
      <c r="AB13" s="69" t="s">
        <v>124</v>
      </c>
      <c r="AC13" s="67" t="s">
        <v>124</v>
      </c>
      <c r="AD13" s="68" t="s">
        <v>124</v>
      </c>
      <c r="AE13" s="68" t="s">
        <v>124</v>
      </c>
      <c r="AF13" s="68" t="s">
        <v>124</v>
      </c>
      <c r="AG13" s="68" t="s">
        <v>124</v>
      </c>
      <c r="AH13" s="68" t="s">
        <v>124</v>
      </c>
      <c r="AI13" s="68" t="s">
        <v>124</v>
      </c>
      <c r="AJ13" s="69" t="s">
        <v>124</v>
      </c>
      <c r="AK13" s="67">
        <v>1</v>
      </c>
      <c r="AL13" s="68">
        <v>1</v>
      </c>
      <c r="AM13" s="68">
        <v>1</v>
      </c>
      <c r="AN13" s="68">
        <v>1</v>
      </c>
      <c r="AO13" s="68">
        <v>1</v>
      </c>
      <c r="AP13" s="68">
        <v>1</v>
      </c>
      <c r="AQ13" s="68"/>
      <c r="AR13" s="69"/>
      <c r="AS13" s="135"/>
      <c r="AT13" s="136"/>
      <c r="AU13" s="136"/>
      <c r="AV13" s="136"/>
      <c r="AW13" s="136"/>
      <c r="AX13" s="136"/>
      <c r="AY13" s="136"/>
      <c r="AZ13" s="137"/>
      <c r="BA13" s="37">
        <f t="shared" si="1"/>
        <v>14</v>
      </c>
      <c r="BB13" s="9">
        <f t="shared" si="3"/>
        <v>14</v>
      </c>
      <c r="BC13" s="10">
        <f t="shared" si="4"/>
        <v>37</v>
      </c>
    </row>
    <row r="14" spans="1:55" ht="15" customHeight="1" x14ac:dyDescent="0.35">
      <c r="A14" s="29">
        <v>820323205065</v>
      </c>
      <c r="B14" s="30" t="s">
        <v>24</v>
      </c>
      <c r="C14" s="11"/>
      <c r="D14" s="7"/>
      <c r="E14" s="61" t="s">
        <v>124</v>
      </c>
      <c r="F14" s="62" t="str">
        <f t="shared" ref="F14:L14" si="7">E14</f>
        <v>a</v>
      </c>
      <c r="G14" s="62" t="str">
        <f t="shared" si="7"/>
        <v>a</v>
      </c>
      <c r="H14" s="62" t="str">
        <f t="shared" si="7"/>
        <v>a</v>
      </c>
      <c r="I14" s="62" t="str">
        <f t="shared" si="7"/>
        <v>a</v>
      </c>
      <c r="J14" s="62" t="str">
        <f t="shared" si="7"/>
        <v>a</v>
      </c>
      <c r="K14" s="62" t="str">
        <f t="shared" si="7"/>
        <v>a</v>
      </c>
      <c r="L14" s="62" t="str">
        <f t="shared" si="7"/>
        <v>a</v>
      </c>
      <c r="M14" s="67" t="s">
        <v>124</v>
      </c>
      <c r="N14" s="68" t="s">
        <v>124</v>
      </c>
      <c r="O14" s="68" t="s">
        <v>124</v>
      </c>
      <c r="P14" s="68" t="s">
        <v>124</v>
      </c>
      <c r="Q14" s="68" t="s">
        <v>124</v>
      </c>
      <c r="R14" s="68" t="s">
        <v>124</v>
      </c>
      <c r="S14" s="68" t="s">
        <v>124</v>
      </c>
      <c r="T14" s="69" t="s">
        <v>124</v>
      </c>
      <c r="U14" s="67" t="s">
        <v>124</v>
      </c>
      <c r="V14" s="68" t="s">
        <v>124</v>
      </c>
      <c r="W14" s="68" t="s">
        <v>124</v>
      </c>
      <c r="X14" s="68" t="s">
        <v>124</v>
      </c>
      <c r="Y14" s="68" t="s">
        <v>124</v>
      </c>
      <c r="Z14" s="68" t="s">
        <v>124</v>
      </c>
      <c r="AA14" s="68" t="s">
        <v>124</v>
      </c>
      <c r="AB14" s="69" t="s">
        <v>124</v>
      </c>
      <c r="AC14" s="67">
        <v>1</v>
      </c>
      <c r="AD14" s="68">
        <v>1</v>
      </c>
      <c r="AE14" s="68">
        <v>1</v>
      </c>
      <c r="AF14" s="68">
        <v>1</v>
      </c>
      <c r="AG14" s="68">
        <v>1</v>
      </c>
      <c r="AH14" s="68">
        <v>1</v>
      </c>
      <c r="AI14" s="68">
        <v>1</v>
      </c>
      <c r="AJ14" s="69">
        <v>1</v>
      </c>
      <c r="AK14" s="67">
        <v>1</v>
      </c>
      <c r="AL14" s="68">
        <v>1</v>
      </c>
      <c r="AM14" s="68">
        <v>1</v>
      </c>
      <c r="AN14" s="68">
        <v>1</v>
      </c>
      <c r="AO14" s="68">
        <v>1</v>
      </c>
      <c r="AP14" s="68">
        <v>1</v>
      </c>
      <c r="AQ14" s="68"/>
      <c r="AR14" s="69"/>
      <c r="AS14" s="135"/>
      <c r="AT14" s="136"/>
      <c r="AU14" s="136"/>
      <c r="AV14" s="136"/>
      <c r="AW14" s="136"/>
      <c r="AX14" s="136"/>
      <c r="AY14" s="136"/>
      <c r="AZ14" s="137"/>
      <c r="BA14" s="37">
        <f t="shared" si="1"/>
        <v>14</v>
      </c>
      <c r="BB14" s="9">
        <f t="shared" si="3"/>
        <v>14</v>
      </c>
      <c r="BC14" s="10">
        <f t="shared" si="4"/>
        <v>37</v>
      </c>
    </row>
    <row r="15" spans="1:55" ht="15" customHeight="1" x14ac:dyDescent="0.35">
      <c r="A15" s="29">
        <v>820323205066</v>
      </c>
      <c r="B15" s="30" t="s">
        <v>25</v>
      </c>
      <c r="C15" s="11"/>
      <c r="D15" s="7"/>
      <c r="E15" s="61" t="s">
        <v>124</v>
      </c>
      <c r="F15" s="62" t="str">
        <f t="shared" ref="F15:L15" si="8">E15</f>
        <v>a</v>
      </c>
      <c r="G15" s="62" t="str">
        <f t="shared" si="8"/>
        <v>a</v>
      </c>
      <c r="H15" s="62" t="str">
        <f t="shared" si="8"/>
        <v>a</v>
      </c>
      <c r="I15" s="62" t="str">
        <f t="shared" si="8"/>
        <v>a</v>
      </c>
      <c r="J15" s="62" t="str">
        <f t="shared" si="8"/>
        <v>a</v>
      </c>
      <c r="K15" s="62" t="str">
        <f t="shared" si="8"/>
        <v>a</v>
      </c>
      <c r="L15" s="62" t="str">
        <f t="shared" si="8"/>
        <v>a</v>
      </c>
      <c r="M15" s="67">
        <v>1</v>
      </c>
      <c r="N15" s="68">
        <v>1</v>
      </c>
      <c r="O15" s="68">
        <v>1</v>
      </c>
      <c r="P15" s="68">
        <v>1</v>
      </c>
      <c r="Q15" s="68">
        <v>1</v>
      </c>
      <c r="R15" s="68">
        <v>1</v>
      </c>
      <c r="S15" s="68">
        <v>1</v>
      </c>
      <c r="T15" s="69">
        <v>1</v>
      </c>
      <c r="U15" s="67">
        <v>1</v>
      </c>
      <c r="V15" s="68">
        <v>1</v>
      </c>
      <c r="W15" s="68">
        <v>1</v>
      </c>
      <c r="X15" s="68">
        <v>1</v>
      </c>
      <c r="Y15" s="68">
        <v>1</v>
      </c>
      <c r="Z15" s="68">
        <v>1</v>
      </c>
      <c r="AA15" s="68">
        <v>1</v>
      </c>
      <c r="AB15" s="69">
        <v>1</v>
      </c>
      <c r="AC15" s="67">
        <v>1</v>
      </c>
      <c r="AD15" s="68">
        <v>1</v>
      </c>
      <c r="AE15" s="68">
        <v>1</v>
      </c>
      <c r="AF15" s="68">
        <v>1</v>
      </c>
      <c r="AG15" s="68">
        <v>1</v>
      </c>
      <c r="AH15" s="68">
        <v>1</v>
      </c>
      <c r="AI15" s="68">
        <v>1</v>
      </c>
      <c r="AJ15" s="69">
        <v>1</v>
      </c>
      <c r="AK15" s="67" t="s">
        <v>124</v>
      </c>
      <c r="AL15" s="68" t="s">
        <v>124</v>
      </c>
      <c r="AM15" s="68" t="s">
        <v>124</v>
      </c>
      <c r="AN15" s="68" t="s">
        <v>124</v>
      </c>
      <c r="AO15" s="68" t="s">
        <v>124</v>
      </c>
      <c r="AP15" s="68" t="s">
        <v>124</v>
      </c>
      <c r="AQ15" s="68"/>
      <c r="AR15" s="69"/>
      <c r="AS15" s="135"/>
      <c r="AT15" s="136"/>
      <c r="AU15" s="136"/>
      <c r="AV15" s="136"/>
      <c r="AW15" s="136"/>
      <c r="AX15" s="136"/>
      <c r="AY15" s="136"/>
      <c r="AZ15" s="137"/>
      <c r="BA15" s="37">
        <f t="shared" si="1"/>
        <v>24</v>
      </c>
      <c r="BB15" s="9">
        <f t="shared" si="3"/>
        <v>24</v>
      </c>
      <c r="BC15" s="10">
        <f t="shared" si="4"/>
        <v>63</v>
      </c>
    </row>
    <row r="16" spans="1:55" ht="15" customHeight="1" x14ac:dyDescent="0.35">
      <c r="A16" s="29">
        <v>820323205068</v>
      </c>
      <c r="B16" s="30" t="s">
        <v>26</v>
      </c>
      <c r="C16" s="11"/>
      <c r="D16" s="7"/>
      <c r="E16" s="61" t="s">
        <v>124</v>
      </c>
      <c r="F16" s="62" t="str">
        <f t="shared" ref="F16:L16" si="9">E16</f>
        <v>a</v>
      </c>
      <c r="G16" s="62" t="str">
        <f t="shared" si="9"/>
        <v>a</v>
      </c>
      <c r="H16" s="62" t="str">
        <f t="shared" si="9"/>
        <v>a</v>
      </c>
      <c r="I16" s="62" t="str">
        <f t="shared" si="9"/>
        <v>a</v>
      </c>
      <c r="J16" s="62" t="str">
        <f t="shared" si="9"/>
        <v>a</v>
      </c>
      <c r="K16" s="62" t="str">
        <f t="shared" si="9"/>
        <v>a</v>
      </c>
      <c r="L16" s="62" t="str">
        <f t="shared" si="9"/>
        <v>a</v>
      </c>
      <c r="M16" s="67">
        <v>1</v>
      </c>
      <c r="N16" s="68">
        <v>1</v>
      </c>
      <c r="O16" s="68">
        <v>1</v>
      </c>
      <c r="P16" s="68">
        <v>1</v>
      </c>
      <c r="Q16" s="68">
        <v>1</v>
      </c>
      <c r="R16" s="68">
        <v>1</v>
      </c>
      <c r="S16" s="68">
        <v>1</v>
      </c>
      <c r="T16" s="69">
        <v>1</v>
      </c>
      <c r="U16" s="67">
        <v>1</v>
      </c>
      <c r="V16" s="68">
        <v>1</v>
      </c>
      <c r="W16" s="68">
        <v>1</v>
      </c>
      <c r="X16" s="68">
        <v>1</v>
      </c>
      <c r="Y16" s="68">
        <v>1</v>
      </c>
      <c r="Z16" s="68">
        <v>1</v>
      </c>
      <c r="AA16" s="68">
        <v>1</v>
      </c>
      <c r="AB16" s="69">
        <v>1</v>
      </c>
      <c r="AC16" s="67">
        <v>1</v>
      </c>
      <c r="AD16" s="68">
        <v>1</v>
      </c>
      <c r="AE16" s="68">
        <v>1</v>
      </c>
      <c r="AF16" s="68">
        <v>1</v>
      </c>
      <c r="AG16" s="68">
        <v>1</v>
      </c>
      <c r="AH16" s="68">
        <v>1</v>
      </c>
      <c r="AI16" s="68">
        <v>1</v>
      </c>
      <c r="AJ16" s="69">
        <v>1</v>
      </c>
      <c r="AK16" s="67" t="s">
        <v>124</v>
      </c>
      <c r="AL16" s="68" t="s">
        <v>124</v>
      </c>
      <c r="AM16" s="68" t="s">
        <v>124</v>
      </c>
      <c r="AN16" s="68" t="s">
        <v>124</v>
      </c>
      <c r="AO16" s="68" t="s">
        <v>124</v>
      </c>
      <c r="AP16" s="68" t="s">
        <v>124</v>
      </c>
      <c r="AQ16" s="68"/>
      <c r="AR16" s="69"/>
      <c r="AS16" s="135"/>
      <c r="AT16" s="136"/>
      <c r="AU16" s="136"/>
      <c r="AV16" s="136"/>
      <c r="AW16" s="136"/>
      <c r="AX16" s="136"/>
      <c r="AY16" s="136"/>
      <c r="AZ16" s="137"/>
      <c r="BA16" s="37">
        <f t="shared" si="1"/>
        <v>24</v>
      </c>
      <c r="BB16" s="9">
        <f t="shared" si="3"/>
        <v>24</v>
      </c>
      <c r="BC16" s="10">
        <f t="shared" si="4"/>
        <v>63</v>
      </c>
    </row>
    <row r="17" spans="1:55" ht="15" customHeight="1" x14ac:dyDescent="0.35">
      <c r="A17" s="29">
        <v>820323205069</v>
      </c>
      <c r="B17" s="30" t="s">
        <v>27</v>
      </c>
      <c r="C17" s="11"/>
      <c r="D17" s="7"/>
      <c r="E17" s="61">
        <v>1</v>
      </c>
      <c r="F17" s="62">
        <f t="shared" ref="F17:L17" si="10">E17</f>
        <v>1</v>
      </c>
      <c r="G17" s="62">
        <f t="shared" si="10"/>
        <v>1</v>
      </c>
      <c r="H17" s="62">
        <f t="shared" si="10"/>
        <v>1</v>
      </c>
      <c r="I17" s="62">
        <f t="shared" si="10"/>
        <v>1</v>
      </c>
      <c r="J17" s="62">
        <f t="shared" si="10"/>
        <v>1</v>
      </c>
      <c r="K17" s="62">
        <f t="shared" si="10"/>
        <v>1</v>
      </c>
      <c r="L17" s="62">
        <f t="shared" si="10"/>
        <v>1</v>
      </c>
      <c r="M17" s="67">
        <v>1</v>
      </c>
      <c r="N17" s="68">
        <v>1</v>
      </c>
      <c r="O17" s="68">
        <v>1</v>
      </c>
      <c r="P17" s="68">
        <v>1</v>
      </c>
      <c r="Q17" s="68">
        <v>1</v>
      </c>
      <c r="R17" s="68">
        <v>1</v>
      </c>
      <c r="S17" s="68">
        <v>1</v>
      </c>
      <c r="T17" s="69">
        <v>1</v>
      </c>
      <c r="U17" s="67">
        <v>1</v>
      </c>
      <c r="V17" s="68">
        <v>1</v>
      </c>
      <c r="W17" s="68">
        <v>1</v>
      </c>
      <c r="X17" s="68">
        <v>1</v>
      </c>
      <c r="Y17" s="68">
        <v>1</v>
      </c>
      <c r="Z17" s="68">
        <v>1</v>
      </c>
      <c r="AA17" s="68">
        <v>1</v>
      </c>
      <c r="AB17" s="69">
        <v>1</v>
      </c>
      <c r="AC17" s="67">
        <v>1</v>
      </c>
      <c r="AD17" s="68">
        <v>1</v>
      </c>
      <c r="AE17" s="68">
        <v>1</v>
      </c>
      <c r="AF17" s="68">
        <v>1</v>
      </c>
      <c r="AG17" s="68">
        <v>1</v>
      </c>
      <c r="AH17" s="68">
        <v>1</v>
      </c>
      <c r="AI17" s="68">
        <v>1</v>
      </c>
      <c r="AJ17" s="69">
        <v>1</v>
      </c>
      <c r="AK17" s="67" t="s">
        <v>124</v>
      </c>
      <c r="AL17" s="68" t="s">
        <v>124</v>
      </c>
      <c r="AM17" s="68" t="s">
        <v>124</v>
      </c>
      <c r="AN17" s="68" t="s">
        <v>124</v>
      </c>
      <c r="AO17" s="68" t="s">
        <v>124</v>
      </c>
      <c r="AP17" s="68" t="s">
        <v>124</v>
      </c>
      <c r="AQ17" s="68"/>
      <c r="AR17" s="69"/>
      <c r="AS17" s="135"/>
      <c r="AT17" s="136"/>
      <c r="AU17" s="136"/>
      <c r="AV17" s="136"/>
      <c r="AW17" s="136"/>
      <c r="AX17" s="136"/>
      <c r="AY17" s="136"/>
      <c r="AZ17" s="137"/>
      <c r="BA17" s="37">
        <f t="shared" si="1"/>
        <v>32</v>
      </c>
      <c r="BB17" s="9">
        <f t="shared" si="3"/>
        <v>32</v>
      </c>
      <c r="BC17" s="10">
        <f t="shared" si="4"/>
        <v>84</v>
      </c>
    </row>
    <row r="18" spans="1:55" ht="15" customHeight="1" x14ac:dyDescent="0.35">
      <c r="A18" s="29">
        <v>820323205070</v>
      </c>
      <c r="B18" s="30" t="s">
        <v>28</v>
      </c>
      <c r="C18" s="11"/>
      <c r="D18" s="7"/>
      <c r="E18" s="61">
        <v>1</v>
      </c>
      <c r="F18" s="62">
        <f t="shared" ref="F18:L18" si="11">E18</f>
        <v>1</v>
      </c>
      <c r="G18" s="62">
        <f t="shared" si="11"/>
        <v>1</v>
      </c>
      <c r="H18" s="62">
        <f t="shared" si="11"/>
        <v>1</v>
      </c>
      <c r="I18" s="62">
        <f t="shared" si="11"/>
        <v>1</v>
      </c>
      <c r="J18" s="62">
        <f t="shared" si="11"/>
        <v>1</v>
      </c>
      <c r="K18" s="62">
        <f t="shared" si="11"/>
        <v>1</v>
      </c>
      <c r="L18" s="62">
        <f t="shared" si="11"/>
        <v>1</v>
      </c>
      <c r="M18" s="67">
        <v>1</v>
      </c>
      <c r="N18" s="68">
        <v>1</v>
      </c>
      <c r="O18" s="68">
        <v>1</v>
      </c>
      <c r="P18" s="68">
        <v>1</v>
      </c>
      <c r="Q18" s="68">
        <v>1</v>
      </c>
      <c r="R18" s="68">
        <v>1</v>
      </c>
      <c r="S18" s="68">
        <v>1</v>
      </c>
      <c r="T18" s="69">
        <v>1</v>
      </c>
      <c r="U18" s="67">
        <v>1</v>
      </c>
      <c r="V18" s="68">
        <v>1</v>
      </c>
      <c r="W18" s="68">
        <v>1</v>
      </c>
      <c r="X18" s="68">
        <v>1</v>
      </c>
      <c r="Y18" s="68">
        <v>1</v>
      </c>
      <c r="Z18" s="68">
        <v>1</v>
      </c>
      <c r="AA18" s="68">
        <v>1</v>
      </c>
      <c r="AB18" s="69">
        <v>1</v>
      </c>
      <c r="AC18" s="67">
        <v>1</v>
      </c>
      <c r="AD18" s="68">
        <v>1</v>
      </c>
      <c r="AE18" s="68">
        <v>1</v>
      </c>
      <c r="AF18" s="68">
        <v>1</v>
      </c>
      <c r="AG18" s="68">
        <v>1</v>
      </c>
      <c r="AH18" s="68">
        <v>1</v>
      </c>
      <c r="AI18" s="68">
        <v>1</v>
      </c>
      <c r="AJ18" s="69">
        <v>1</v>
      </c>
      <c r="AK18" s="67" t="s">
        <v>124</v>
      </c>
      <c r="AL18" s="68" t="s">
        <v>124</v>
      </c>
      <c r="AM18" s="68" t="s">
        <v>124</v>
      </c>
      <c r="AN18" s="68" t="s">
        <v>124</v>
      </c>
      <c r="AO18" s="68" t="s">
        <v>124</v>
      </c>
      <c r="AP18" s="68" t="s">
        <v>124</v>
      </c>
      <c r="AQ18" s="68"/>
      <c r="AR18" s="69"/>
      <c r="AS18" s="135"/>
      <c r="AT18" s="136"/>
      <c r="AU18" s="136"/>
      <c r="AV18" s="136"/>
      <c r="AW18" s="136"/>
      <c r="AX18" s="136"/>
      <c r="AY18" s="136"/>
      <c r="AZ18" s="137"/>
      <c r="BA18" s="37">
        <f t="shared" si="1"/>
        <v>32</v>
      </c>
      <c r="BB18" s="9">
        <f t="shared" si="3"/>
        <v>32</v>
      </c>
      <c r="BC18" s="10">
        <f t="shared" si="4"/>
        <v>84</v>
      </c>
    </row>
    <row r="19" spans="1:55" ht="15" customHeight="1" x14ac:dyDescent="0.35">
      <c r="A19" s="29">
        <v>820323205071</v>
      </c>
      <c r="B19" s="30" t="s">
        <v>29</v>
      </c>
      <c r="C19" s="11"/>
      <c r="D19" s="7"/>
      <c r="E19" s="61">
        <v>1</v>
      </c>
      <c r="F19" s="62">
        <f t="shared" ref="F19:L19" si="12">E19</f>
        <v>1</v>
      </c>
      <c r="G19" s="62">
        <f t="shared" si="12"/>
        <v>1</v>
      </c>
      <c r="H19" s="62">
        <f t="shared" si="12"/>
        <v>1</v>
      </c>
      <c r="I19" s="62">
        <f t="shared" si="12"/>
        <v>1</v>
      </c>
      <c r="J19" s="62">
        <f t="shared" si="12"/>
        <v>1</v>
      </c>
      <c r="K19" s="62">
        <f t="shared" si="12"/>
        <v>1</v>
      </c>
      <c r="L19" s="62">
        <f t="shared" si="12"/>
        <v>1</v>
      </c>
      <c r="M19" s="67">
        <v>1</v>
      </c>
      <c r="N19" s="68">
        <v>1</v>
      </c>
      <c r="O19" s="68">
        <v>1</v>
      </c>
      <c r="P19" s="68">
        <v>1</v>
      </c>
      <c r="Q19" s="68">
        <v>1</v>
      </c>
      <c r="R19" s="68">
        <v>1</v>
      </c>
      <c r="S19" s="68">
        <v>1</v>
      </c>
      <c r="T19" s="69">
        <v>1</v>
      </c>
      <c r="U19" s="67">
        <v>1</v>
      </c>
      <c r="V19" s="68">
        <v>1</v>
      </c>
      <c r="W19" s="68">
        <v>1</v>
      </c>
      <c r="X19" s="68">
        <v>1</v>
      </c>
      <c r="Y19" s="68">
        <v>1</v>
      </c>
      <c r="Z19" s="68">
        <v>1</v>
      </c>
      <c r="AA19" s="68">
        <v>1</v>
      </c>
      <c r="AB19" s="69">
        <v>1</v>
      </c>
      <c r="AC19" s="67">
        <v>1</v>
      </c>
      <c r="AD19" s="68">
        <v>1</v>
      </c>
      <c r="AE19" s="68">
        <v>1</v>
      </c>
      <c r="AF19" s="68">
        <v>1</v>
      </c>
      <c r="AG19" s="68">
        <v>1</v>
      </c>
      <c r="AH19" s="68">
        <v>1</v>
      </c>
      <c r="AI19" s="68">
        <v>1</v>
      </c>
      <c r="AJ19" s="69">
        <v>1</v>
      </c>
      <c r="AK19" s="67" t="s">
        <v>124</v>
      </c>
      <c r="AL19" s="68" t="s">
        <v>124</v>
      </c>
      <c r="AM19" s="68" t="s">
        <v>124</v>
      </c>
      <c r="AN19" s="68" t="s">
        <v>124</v>
      </c>
      <c r="AO19" s="68" t="s">
        <v>124</v>
      </c>
      <c r="AP19" s="68" t="s">
        <v>124</v>
      </c>
      <c r="AQ19" s="68"/>
      <c r="AR19" s="69"/>
      <c r="AS19" s="135"/>
      <c r="AT19" s="136"/>
      <c r="AU19" s="136"/>
      <c r="AV19" s="136"/>
      <c r="AW19" s="136"/>
      <c r="AX19" s="136"/>
      <c r="AY19" s="136"/>
      <c r="AZ19" s="137"/>
      <c r="BA19" s="37">
        <f t="shared" si="1"/>
        <v>32</v>
      </c>
      <c r="BB19" s="9">
        <f t="shared" si="3"/>
        <v>32</v>
      </c>
      <c r="BC19" s="10">
        <f t="shared" si="4"/>
        <v>84</v>
      </c>
    </row>
    <row r="20" spans="1:55" ht="15" customHeight="1" x14ac:dyDescent="0.35">
      <c r="A20" s="29">
        <v>820323205073</v>
      </c>
      <c r="B20" s="30" t="s">
        <v>30</v>
      </c>
      <c r="C20" s="11"/>
      <c r="D20" s="7"/>
      <c r="E20" s="61">
        <v>1</v>
      </c>
      <c r="F20" s="62">
        <f t="shared" ref="F20:L20" si="13">E20</f>
        <v>1</v>
      </c>
      <c r="G20" s="62">
        <f t="shared" si="13"/>
        <v>1</v>
      </c>
      <c r="H20" s="62">
        <f t="shared" si="13"/>
        <v>1</v>
      </c>
      <c r="I20" s="62">
        <f t="shared" si="13"/>
        <v>1</v>
      </c>
      <c r="J20" s="62">
        <f t="shared" si="13"/>
        <v>1</v>
      </c>
      <c r="K20" s="62">
        <f t="shared" si="13"/>
        <v>1</v>
      </c>
      <c r="L20" s="62">
        <f t="shared" si="13"/>
        <v>1</v>
      </c>
      <c r="M20" s="67">
        <v>1</v>
      </c>
      <c r="N20" s="68">
        <v>1</v>
      </c>
      <c r="O20" s="68">
        <v>1</v>
      </c>
      <c r="P20" s="68">
        <v>1</v>
      </c>
      <c r="Q20" s="68">
        <v>1</v>
      </c>
      <c r="R20" s="68">
        <v>1</v>
      </c>
      <c r="S20" s="68">
        <v>1</v>
      </c>
      <c r="T20" s="69">
        <v>1</v>
      </c>
      <c r="U20" s="67">
        <v>1</v>
      </c>
      <c r="V20" s="68">
        <v>1</v>
      </c>
      <c r="W20" s="68">
        <v>1</v>
      </c>
      <c r="X20" s="68">
        <v>1</v>
      </c>
      <c r="Y20" s="68">
        <v>1</v>
      </c>
      <c r="Z20" s="68">
        <v>1</v>
      </c>
      <c r="AA20" s="68">
        <v>1</v>
      </c>
      <c r="AB20" s="69">
        <v>1</v>
      </c>
      <c r="AC20" s="67">
        <v>1</v>
      </c>
      <c r="AD20" s="68">
        <v>1</v>
      </c>
      <c r="AE20" s="68">
        <v>1</v>
      </c>
      <c r="AF20" s="68">
        <v>1</v>
      </c>
      <c r="AG20" s="68">
        <v>1</v>
      </c>
      <c r="AH20" s="68">
        <v>1</v>
      </c>
      <c r="AI20" s="68">
        <v>1</v>
      </c>
      <c r="AJ20" s="69">
        <v>1</v>
      </c>
      <c r="AK20" s="67">
        <v>1</v>
      </c>
      <c r="AL20" s="68">
        <v>1</v>
      </c>
      <c r="AM20" s="68">
        <v>1</v>
      </c>
      <c r="AN20" s="68">
        <v>1</v>
      </c>
      <c r="AO20" s="68">
        <v>1</v>
      </c>
      <c r="AP20" s="68">
        <v>1</v>
      </c>
      <c r="AQ20" s="68"/>
      <c r="AR20" s="69"/>
      <c r="AS20" s="135"/>
      <c r="AT20" s="136"/>
      <c r="AU20" s="136"/>
      <c r="AV20" s="136"/>
      <c r="AW20" s="136"/>
      <c r="AX20" s="136"/>
      <c r="AY20" s="136"/>
      <c r="AZ20" s="137"/>
      <c r="BA20" s="37">
        <f t="shared" si="1"/>
        <v>38</v>
      </c>
      <c r="BB20" s="9">
        <f t="shared" si="3"/>
        <v>38</v>
      </c>
      <c r="BC20" s="10">
        <f t="shared" si="4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/>
      <c r="E21" s="61">
        <v>1</v>
      </c>
      <c r="F21" s="62">
        <f t="shared" ref="F21:L21" si="14">E21</f>
        <v>1</v>
      </c>
      <c r="G21" s="62">
        <f t="shared" si="14"/>
        <v>1</v>
      </c>
      <c r="H21" s="62">
        <f t="shared" si="14"/>
        <v>1</v>
      </c>
      <c r="I21" s="62">
        <f t="shared" si="14"/>
        <v>1</v>
      </c>
      <c r="J21" s="62">
        <f t="shared" si="14"/>
        <v>1</v>
      </c>
      <c r="K21" s="62">
        <f t="shared" si="14"/>
        <v>1</v>
      </c>
      <c r="L21" s="62">
        <f t="shared" si="14"/>
        <v>1</v>
      </c>
      <c r="M21" s="67">
        <v>1</v>
      </c>
      <c r="N21" s="68">
        <v>1</v>
      </c>
      <c r="O21" s="68">
        <v>1</v>
      </c>
      <c r="P21" s="68">
        <v>1</v>
      </c>
      <c r="Q21" s="68">
        <v>1</v>
      </c>
      <c r="R21" s="68">
        <v>1</v>
      </c>
      <c r="S21" s="68">
        <v>1</v>
      </c>
      <c r="T21" s="69">
        <v>1</v>
      </c>
      <c r="U21" s="67">
        <v>1</v>
      </c>
      <c r="V21" s="68">
        <v>1</v>
      </c>
      <c r="W21" s="68">
        <v>1</v>
      </c>
      <c r="X21" s="68">
        <v>1</v>
      </c>
      <c r="Y21" s="68">
        <v>1</v>
      </c>
      <c r="Z21" s="68">
        <v>1</v>
      </c>
      <c r="AA21" s="68">
        <v>1</v>
      </c>
      <c r="AB21" s="69">
        <v>1</v>
      </c>
      <c r="AC21" s="67">
        <v>1</v>
      </c>
      <c r="AD21" s="68">
        <v>1</v>
      </c>
      <c r="AE21" s="68">
        <v>1</v>
      </c>
      <c r="AF21" s="68">
        <v>1</v>
      </c>
      <c r="AG21" s="68">
        <v>1</v>
      </c>
      <c r="AH21" s="68">
        <v>1</v>
      </c>
      <c r="AI21" s="68">
        <v>1</v>
      </c>
      <c r="AJ21" s="69">
        <v>1</v>
      </c>
      <c r="AK21" s="67">
        <v>1</v>
      </c>
      <c r="AL21" s="68">
        <v>1</v>
      </c>
      <c r="AM21" s="68">
        <v>1</v>
      </c>
      <c r="AN21" s="68">
        <v>1</v>
      </c>
      <c r="AO21" s="68">
        <v>1</v>
      </c>
      <c r="AP21" s="68">
        <v>1</v>
      </c>
      <c r="AQ21" s="68"/>
      <c r="AR21" s="69"/>
      <c r="AS21" s="135"/>
      <c r="AT21" s="136"/>
      <c r="AU21" s="136"/>
      <c r="AV21" s="136"/>
      <c r="AW21" s="136"/>
      <c r="AX21" s="136"/>
      <c r="AY21" s="136"/>
      <c r="AZ21" s="137"/>
      <c r="BA21" s="37">
        <f t="shared" si="1"/>
        <v>38</v>
      </c>
      <c r="BB21" s="9">
        <f t="shared" si="3"/>
        <v>38</v>
      </c>
      <c r="BC21" s="10">
        <f t="shared" si="4"/>
        <v>100</v>
      </c>
    </row>
    <row r="22" spans="1:55" ht="15" customHeight="1" x14ac:dyDescent="0.35">
      <c r="A22" s="29">
        <v>820323205075</v>
      </c>
      <c r="B22" s="30" t="s">
        <v>32</v>
      </c>
      <c r="C22" s="11"/>
      <c r="D22" s="7"/>
      <c r="E22" s="61">
        <v>1</v>
      </c>
      <c r="F22" s="62">
        <f t="shared" ref="F22:L22" si="15">E22</f>
        <v>1</v>
      </c>
      <c r="G22" s="62">
        <f t="shared" si="15"/>
        <v>1</v>
      </c>
      <c r="H22" s="62">
        <f t="shared" si="15"/>
        <v>1</v>
      </c>
      <c r="I22" s="62">
        <f t="shared" si="15"/>
        <v>1</v>
      </c>
      <c r="J22" s="62">
        <f t="shared" si="15"/>
        <v>1</v>
      </c>
      <c r="K22" s="62">
        <f t="shared" si="15"/>
        <v>1</v>
      </c>
      <c r="L22" s="62">
        <f t="shared" si="15"/>
        <v>1</v>
      </c>
      <c r="M22" s="67">
        <v>1</v>
      </c>
      <c r="N22" s="68">
        <v>1</v>
      </c>
      <c r="O22" s="68">
        <v>1</v>
      </c>
      <c r="P22" s="68">
        <v>1</v>
      </c>
      <c r="Q22" s="68">
        <v>1</v>
      </c>
      <c r="R22" s="68">
        <v>1</v>
      </c>
      <c r="S22" s="68">
        <v>1</v>
      </c>
      <c r="T22" s="69">
        <v>1</v>
      </c>
      <c r="U22" s="67">
        <v>1</v>
      </c>
      <c r="V22" s="68">
        <v>1</v>
      </c>
      <c r="W22" s="68">
        <v>1</v>
      </c>
      <c r="X22" s="68">
        <v>1</v>
      </c>
      <c r="Y22" s="68">
        <v>1</v>
      </c>
      <c r="Z22" s="68">
        <v>1</v>
      </c>
      <c r="AA22" s="68">
        <v>1</v>
      </c>
      <c r="AB22" s="69">
        <v>1</v>
      </c>
      <c r="AC22" s="67">
        <v>1</v>
      </c>
      <c r="AD22" s="68">
        <v>1</v>
      </c>
      <c r="AE22" s="68">
        <v>1</v>
      </c>
      <c r="AF22" s="68">
        <v>1</v>
      </c>
      <c r="AG22" s="68">
        <v>1</v>
      </c>
      <c r="AH22" s="68">
        <v>1</v>
      </c>
      <c r="AI22" s="68">
        <v>1</v>
      </c>
      <c r="AJ22" s="69">
        <v>1</v>
      </c>
      <c r="AK22" s="67">
        <v>1</v>
      </c>
      <c r="AL22" s="68">
        <v>1</v>
      </c>
      <c r="AM22" s="68">
        <v>1</v>
      </c>
      <c r="AN22" s="68">
        <v>1</v>
      </c>
      <c r="AO22" s="68">
        <v>1</v>
      </c>
      <c r="AP22" s="68">
        <v>1</v>
      </c>
      <c r="AQ22" s="68"/>
      <c r="AR22" s="69"/>
      <c r="AS22" s="135"/>
      <c r="AT22" s="136"/>
      <c r="AU22" s="136"/>
      <c r="AV22" s="136"/>
      <c r="AW22" s="136"/>
      <c r="AX22" s="136"/>
      <c r="AY22" s="136"/>
      <c r="AZ22" s="137"/>
      <c r="BA22" s="37">
        <f t="shared" si="1"/>
        <v>38</v>
      </c>
      <c r="BB22" s="9">
        <f t="shared" si="3"/>
        <v>38</v>
      </c>
      <c r="BC22" s="10">
        <f t="shared" si="4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/>
      <c r="E23" s="61">
        <v>1</v>
      </c>
      <c r="F23" s="62">
        <f t="shared" ref="F23:L23" si="16">E23</f>
        <v>1</v>
      </c>
      <c r="G23" s="62">
        <f t="shared" si="16"/>
        <v>1</v>
      </c>
      <c r="H23" s="62">
        <f t="shared" si="16"/>
        <v>1</v>
      </c>
      <c r="I23" s="62">
        <f t="shared" si="16"/>
        <v>1</v>
      </c>
      <c r="J23" s="62">
        <f t="shared" si="16"/>
        <v>1</v>
      </c>
      <c r="K23" s="62">
        <f t="shared" si="16"/>
        <v>1</v>
      </c>
      <c r="L23" s="62">
        <f t="shared" si="16"/>
        <v>1</v>
      </c>
      <c r="M23" s="67">
        <v>1</v>
      </c>
      <c r="N23" s="68">
        <v>1</v>
      </c>
      <c r="O23" s="68">
        <v>1</v>
      </c>
      <c r="P23" s="68">
        <v>1</v>
      </c>
      <c r="Q23" s="68">
        <v>1</v>
      </c>
      <c r="R23" s="68">
        <v>1</v>
      </c>
      <c r="S23" s="68">
        <v>1</v>
      </c>
      <c r="T23" s="69">
        <v>1</v>
      </c>
      <c r="U23" s="67">
        <v>1</v>
      </c>
      <c r="V23" s="68">
        <v>1</v>
      </c>
      <c r="W23" s="68">
        <v>1</v>
      </c>
      <c r="X23" s="68">
        <v>1</v>
      </c>
      <c r="Y23" s="68">
        <v>1</v>
      </c>
      <c r="Z23" s="68">
        <v>1</v>
      </c>
      <c r="AA23" s="68">
        <v>1</v>
      </c>
      <c r="AB23" s="69">
        <v>1</v>
      </c>
      <c r="AC23" s="67">
        <v>1</v>
      </c>
      <c r="AD23" s="68">
        <v>1</v>
      </c>
      <c r="AE23" s="68">
        <v>1</v>
      </c>
      <c r="AF23" s="68">
        <v>1</v>
      </c>
      <c r="AG23" s="68">
        <v>1</v>
      </c>
      <c r="AH23" s="68">
        <v>1</v>
      </c>
      <c r="AI23" s="68">
        <v>1</v>
      </c>
      <c r="AJ23" s="69">
        <v>1</v>
      </c>
      <c r="AK23" s="67" t="s">
        <v>124</v>
      </c>
      <c r="AL23" s="68" t="s">
        <v>124</v>
      </c>
      <c r="AM23" s="68" t="s">
        <v>124</v>
      </c>
      <c r="AN23" s="68" t="s">
        <v>124</v>
      </c>
      <c r="AO23" s="68" t="s">
        <v>124</v>
      </c>
      <c r="AP23" s="68" t="s">
        <v>124</v>
      </c>
      <c r="AQ23" s="68"/>
      <c r="AR23" s="69"/>
      <c r="AS23" s="135"/>
      <c r="AT23" s="136"/>
      <c r="AU23" s="136"/>
      <c r="AV23" s="136"/>
      <c r="AW23" s="136"/>
      <c r="AX23" s="136"/>
      <c r="AY23" s="136"/>
      <c r="AZ23" s="137"/>
      <c r="BA23" s="37">
        <f t="shared" si="1"/>
        <v>32</v>
      </c>
      <c r="BB23" s="9">
        <f t="shared" si="3"/>
        <v>32</v>
      </c>
      <c r="BC23" s="10">
        <f t="shared" si="4"/>
        <v>84</v>
      </c>
    </row>
    <row r="24" spans="1:55" ht="15" customHeight="1" x14ac:dyDescent="0.35">
      <c r="A24" s="29">
        <v>820323205077</v>
      </c>
      <c r="B24" s="30" t="s">
        <v>34</v>
      </c>
      <c r="C24" s="11"/>
      <c r="D24" s="7"/>
      <c r="E24" s="61">
        <v>1</v>
      </c>
      <c r="F24" s="62">
        <f t="shared" ref="F24:L24" si="17">E24</f>
        <v>1</v>
      </c>
      <c r="G24" s="62">
        <f t="shared" si="17"/>
        <v>1</v>
      </c>
      <c r="H24" s="62">
        <f t="shared" si="17"/>
        <v>1</v>
      </c>
      <c r="I24" s="62">
        <f t="shared" si="17"/>
        <v>1</v>
      </c>
      <c r="J24" s="62">
        <f t="shared" si="17"/>
        <v>1</v>
      </c>
      <c r="K24" s="62">
        <f t="shared" si="17"/>
        <v>1</v>
      </c>
      <c r="L24" s="62">
        <f t="shared" si="17"/>
        <v>1</v>
      </c>
      <c r="M24" s="67">
        <v>1</v>
      </c>
      <c r="N24" s="68">
        <v>1</v>
      </c>
      <c r="O24" s="68">
        <v>1</v>
      </c>
      <c r="P24" s="68">
        <v>1</v>
      </c>
      <c r="Q24" s="68">
        <v>1</v>
      </c>
      <c r="R24" s="68">
        <v>1</v>
      </c>
      <c r="S24" s="68">
        <v>1</v>
      </c>
      <c r="T24" s="69">
        <v>1</v>
      </c>
      <c r="U24" s="67">
        <v>1</v>
      </c>
      <c r="V24" s="68">
        <v>1</v>
      </c>
      <c r="W24" s="68">
        <v>1</v>
      </c>
      <c r="X24" s="68">
        <v>1</v>
      </c>
      <c r="Y24" s="68">
        <v>1</v>
      </c>
      <c r="Z24" s="68">
        <v>1</v>
      </c>
      <c r="AA24" s="68">
        <v>1</v>
      </c>
      <c r="AB24" s="69">
        <v>1</v>
      </c>
      <c r="AC24" s="67">
        <v>1</v>
      </c>
      <c r="AD24" s="68">
        <v>1</v>
      </c>
      <c r="AE24" s="68">
        <v>1</v>
      </c>
      <c r="AF24" s="68">
        <v>1</v>
      </c>
      <c r="AG24" s="68">
        <v>1</v>
      </c>
      <c r="AH24" s="68">
        <v>1</v>
      </c>
      <c r="AI24" s="68">
        <v>1</v>
      </c>
      <c r="AJ24" s="69">
        <v>1</v>
      </c>
      <c r="AK24" s="67" t="s">
        <v>124</v>
      </c>
      <c r="AL24" s="68" t="s">
        <v>124</v>
      </c>
      <c r="AM24" s="68" t="s">
        <v>124</v>
      </c>
      <c r="AN24" s="68" t="s">
        <v>124</v>
      </c>
      <c r="AO24" s="68" t="s">
        <v>124</v>
      </c>
      <c r="AP24" s="68" t="s">
        <v>124</v>
      </c>
      <c r="AQ24" s="68"/>
      <c r="AR24" s="69"/>
      <c r="AS24" s="135"/>
      <c r="AT24" s="136"/>
      <c r="AU24" s="136"/>
      <c r="AV24" s="136"/>
      <c r="AW24" s="136"/>
      <c r="AX24" s="136"/>
      <c r="AY24" s="136"/>
      <c r="AZ24" s="137"/>
      <c r="BA24" s="37">
        <f t="shared" si="1"/>
        <v>32</v>
      </c>
      <c r="BB24" s="9">
        <f t="shared" si="3"/>
        <v>32</v>
      </c>
      <c r="BC24" s="10">
        <f t="shared" si="4"/>
        <v>84</v>
      </c>
    </row>
    <row r="25" spans="1:55" ht="15" customHeight="1" x14ac:dyDescent="0.35">
      <c r="A25" s="29">
        <v>820323205078</v>
      </c>
      <c r="B25" s="30" t="s">
        <v>35</v>
      </c>
      <c r="C25" s="12"/>
      <c r="D25" s="7"/>
      <c r="E25" s="61">
        <v>1</v>
      </c>
      <c r="F25" s="62">
        <f t="shared" ref="F25:L25" si="18">E25</f>
        <v>1</v>
      </c>
      <c r="G25" s="62">
        <f t="shared" si="18"/>
        <v>1</v>
      </c>
      <c r="H25" s="62">
        <f t="shared" si="18"/>
        <v>1</v>
      </c>
      <c r="I25" s="62">
        <f t="shared" si="18"/>
        <v>1</v>
      </c>
      <c r="J25" s="62">
        <f t="shared" si="18"/>
        <v>1</v>
      </c>
      <c r="K25" s="62">
        <f t="shared" si="18"/>
        <v>1</v>
      </c>
      <c r="L25" s="62">
        <f t="shared" si="18"/>
        <v>1</v>
      </c>
      <c r="M25" s="67">
        <v>1</v>
      </c>
      <c r="N25" s="68">
        <v>1</v>
      </c>
      <c r="O25" s="68">
        <v>1</v>
      </c>
      <c r="P25" s="68">
        <v>1</v>
      </c>
      <c r="Q25" s="68">
        <v>1</v>
      </c>
      <c r="R25" s="68">
        <v>1</v>
      </c>
      <c r="S25" s="68">
        <v>1</v>
      </c>
      <c r="T25" s="69">
        <v>1</v>
      </c>
      <c r="U25" s="67">
        <v>1</v>
      </c>
      <c r="V25" s="68">
        <v>1</v>
      </c>
      <c r="W25" s="68">
        <v>1</v>
      </c>
      <c r="X25" s="68">
        <v>1</v>
      </c>
      <c r="Y25" s="68">
        <v>1</v>
      </c>
      <c r="Z25" s="68">
        <v>1</v>
      </c>
      <c r="AA25" s="68">
        <v>1</v>
      </c>
      <c r="AB25" s="69">
        <v>1</v>
      </c>
      <c r="AC25" s="67" t="s">
        <v>124</v>
      </c>
      <c r="AD25" s="68" t="s">
        <v>124</v>
      </c>
      <c r="AE25" s="68" t="s">
        <v>124</v>
      </c>
      <c r="AF25" s="68" t="s">
        <v>124</v>
      </c>
      <c r="AG25" s="68" t="s">
        <v>124</v>
      </c>
      <c r="AH25" s="68" t="s">
        <v>124</v>
      </c>
      <c r="AI25" s="68" t="s">
        <v>124</v>
      </c>
      <c r="AJ25" s="69" t="s">
        <v>124</v>
      </c>
      <c r="AK25" s="67">
        <v>1</v>
      </c>
      <c r="AL25" s="68">
        <v>1</v>
      </c>
      <c r="AM25" s="68">
        <v>1</v>
      </c>
      <c r="AN25" s="68">
        <v>1</v>
      </c>
      <c r="AO25" s="68">
        <v>1</v>
      </c>
      <c r="AP25" s="68">
        <v>1</v>
      </c>
      <c r="AQ25" s="68"/>
      <c r="AR25" s="69"/>
      <c r="AS25" s="135"/>
      <c r="AT25" s="136"/>
      <c r="AU25" s="136"/>
      <c r="AV25" s="136"/>
      <c r="AW25" s="136"/>
      <c r="AX25" s="136"/>
      <c r="AY25" s="136"/>
      <c r="AZ25" s="137"/>
      <c r="BA25" s="37">
        <f t="shared" si="1"/>
        <v>30</v>
      </c>
      <c r="BB25" s="9">
        <f t="shared" si="3"/>
        <v>30</v>
      </c>
      <c r="BC25" s="10">
        <f t="shared" si="4"/>
        <v>79</v>
      </c>
    </row>
    <row r="26" spans="1:55" ht="15" customHeight="1" x14ac:dyDescent="0.35">
      <c r="A26" s="29">
        <v>820323205079</v>
      </c>
      <c r="B26" s="30" t="s">
        <v>36</v>
      </c>
      <c r="C26" s="11"/>
      <c r="D26" s="7"/>
      <c r="E26" s="61">
        <v>1</v>
      </c>
      <c r="F26" s="62">
        <f t="shared" ref="F26:L26" si="19">E26</f>
        <v>1</v>
      </c>
      <c r="G26" s="62">
        <f t="shared" si="19"/>
        <v>1</v>
      </c>
      <c r="H26" s="62">
        <f t="shared" si="19"/>
        <v>1</v>
      </c>
      <c r="I26" s="62">
        <f t="shared" si="19"/>
        <v>1</v>
      </c>
      <c r="J26" s="62">
        <f t="shared" si="19"/>
        <v>1</v>
      </c>
      <c r="K26" s="62">
        <f t="shared" si="19"/>
        <v>1</v>
      </c>
      <c r="L26" s="62">
        <f t="shared" si="19"/>
        <v>1</v>
      </c>
      <c r="M26" s="67">
        <v>1</v>
      </c>
      <c r="N26" s="68">
        <v>1</v>
      </c>
      <c r="O26" s="68">
        <v>1</v>
      </c>
      <c r="P26" s="68">
        <v>1</v>
      </c>
      <c r="Q26" s="68">
        <v>1</v>
      </c>
      <c r="R26" s="68">
        <v>1</v>
      </c>
      <c r="S26" s="68">
        <v>1</v>
      </c>
      <c r="T26" s="69">
        <v>1</v>
      </c>
      <c r="U26" s="67">
        <v>1</v>
      </c>
      <c r="V26" s="68">
        <v>1</v>
      </c>
      <c r="W26" s="68">
        <v>1</v>
      </c>
      <c r="X26" s="68">
        <v>1</v>
      </c>
      <c r="Y26" s="68">
        <v>1</v>
      </c>
      <c r="Z26" s="68">
        <v>1</v>
      </c>
      <c r="AA26" s="68">
        <v>1</v>
      </c>
      <c r="AB26" s="69">
        <v>1</v>
      </c>
      <c r="AC26" s="67">
        <v>1</v>
      </c>
      <c r="AD26" s="68">
        <v>1</v>
      </c>
      <c r="AE26" s="68">
        <v>1</v>
      </c>
      <c r="AF26" s="68">
        <v>1</v>
      </c>
      <c r="AG26" s="68">
        <v>1</v>
      </c>
      <c r="AH26" s="68">
        <v>1</v>
      </c>
      <c r="AI26" s="68">
        <v>1</v>
      </c>
      <c r="AJ26" s="69">
        <v>1</v>
      </c>
      <c r="AK26" s="67" t="s">
        <v>124</v>
      </c>
      <c r="AL26" s="68" t="s">
        <v>124</v>
      </c>
      <c r="AM26" s="68" t="s">
        <v>124</v>
      </c>
      <c r="AN26" s="68" t="s">
        <v>124</v>
      </c>
      <c r="AO26" s="68" t="s">
        <v>124</v>
      </c>
      <c r="AP26" s="68" t="s">
        <v>124</v>
      </c>
      <c r="AQ26" s="68"/>
      <c r="AR26" s="69"/>
      <c r="AS26" s="135"/>
      <c r="AT26" s="136"/>
      <c r="AU26" s="136"/>
      <c r="AV26" s="136"/>
      <c r="AW26" s="136"/>
      <c r="AX26" s="136"/>
      <c r="AY26" s="136"/>
      <c r="AZ26" s="137"/>
      <c r="BA26" s="37">
        <f t="shared" si="1"/>
        <v>32</v>
      </c>
      <c r="BB26" s="9">
        <f t="shared" si="3"/>
        <v>32</v>
      </c>
      <c r="BC26" s="10">
        <f t="shared" si="4"/>
        <v>84</v>
      </c>
    </row>
    <row r="27" spans="1:55" ht="15" customHeight="1" x14ac:dyDescent="0.35">
      <c r="A27" s="29">
        <v>820323205080</v>
      </c>
      <c r="B27" s="30" t="s">
        <v>37</v>
      </c>
      <c r="C27" s="11"/>
      <c r="D27" s="7"/>
      <c r="E27" s="61">
        <v>1</v>
      </c>
      <c r="F27" s="62">
        <f t="shared" ref="F27:L27" si="20">E27</f>
        <v>1</v>
      </c>
      <c r="G27" s="62">
        <f t="shared" si="20"/>
        <v>1</v>
      </c>
      <c r="H27" s="62">
        <f t="shared" si="20"/>
        <v>1</v>
      </c>
      <c r="I27" s="62">
        <f t="shared" si="20"/>
        <v>1</v>
      </c>
      <c r="J27" s="62">
        <f t="shared" si="20"/>
        <v>1</v>
      </c>
      <c r="K27" s="62">
        <f t="shared" si="20"/>
        <v>1</v>
      </c>
      <c r="L27" s="62">
        <f t="shared" si="20"/>
        <v>1</v>
      </c>
      <c r="M27" s="67">
        <v>1</v>
      </c>
      <c r="N27" s="68">
        <v>1</v>
      </c>
      <c r="O27" s="68">
        <v>1</v>
      </c>
      <c r="P27" s="68">
        <v>1</v>
      </c>
      <c r="Q27" s="68">
        <v>1</v>
      </c>
      <c r="R27" s="68">
        <v>1</v>
      </c>
      <c r="S27" s="68">
        <v>1</v>
      </c>
      <c r="T27" s="69">
        <v>1</v>
      </c>
      <c r="U27" s="67">
        <v>1</v>
      </c>
      <c r="V27" s="68">
        <v>1</v>
      </c>
      <c r="W27" s="68">
        <v>1</v>
      </c>
      <c r="X27" s="68">
        <v>1</v>
      </c>
      <c r="Y27" s="68">
        <v>1</v>
      </c>
      <c r="Z27" s="68">
        <v>1</v>
      </c>
      <c r="AA27" s="68">
        <v>1</v>
      </c>
      <c r="AB27" s="69">
        <v>1</v>
      </c>
      <c r="AC27" s="67">
        <v>1</v>
      </c>
      <c r="AD27" s="68">
        <v>1</v>
      </c>
      <c r="AE27" s="68">
        <v>1</v>
      </c>
      <c r="AF27" s="68">
        <v>1</v>
      </c>
      <c r="AG27" s="68">
        <v>1</v>
      </c>
      <c r="AH27" s="68">
        <v>1</v>
      </c>
      <c r="AI27" s="68">
        <v>1</v>
      </c>
      <c r="AJ27" s="69">
        <v>1</v>
      </c>
      <c r="AK27" s="67">
        <v>1</v>
      </c>
      <c r="AL27" s="68">
        <v>1</v>
      </c>
      <c r="AM27" s="68">
        <v>1</v>
      </c>
      <c r="AN27" s="68">
        <v>1</v>
      </c>
      <c r="AO27" s="68">
        <v>1</v>
      </c>
      <c r="AP27" s="68">
        <v>1</v>
      </c>
      <c r="AQ27" s="68"/>
      <c r="AR27" s="69"/>
      <c r="AS27" s="135"/>
      <c r="AT27" s="136"/>
      <c r="AU27" s="136"/>
      <c r="AV27" s="136"/>
      <c r="AW27" s="136"/>
      <c r="AX27" s="136"/>
      <c r="AY27" s="136"/>
      <c r="AZ27" s="137"/>
      <c r="BA27" s="37">
        <f t="shared" si="1"/>
        <v>38</v>
      </c>
      <c r="BB27" s="9">
        <f t="shared" si="3"/>
        <v>38</v>
      </c>
      <c r="BC27" s="10">
        <f t="shared" si="4"/>
        <v>100</v>
      </c>
    </row>
    <row r="28" spans="1:55" ht="15" customHeight="1" x14ac:dyDescent="0.35">
      <c r="A28" s="29">
        <v>820323205081</v>
      </c>
      <c r="B28" s="30" t="s">
        <v>38</v>
      </c>
      <c r="C28" s="13"/>
      <c r="D28" s="7"/>
      <c r="E28" s="61" t="s">
        <v>124</v>
      </c>
      <c r="F28" s="62" t="str">
        <f t="shared" ref="F28:L28" si="21">E28</f>
        <v>a</v>
      </c>
      <c r="G28" s="62" t="str">
        <f t="shared" si="21"/>
        <v>a</v>
      </c>
      <c r="H28" s="62" t="str">
        <f t="shared" si="21"/>
        <v>a</v>
      </c>
      <c r="I28" s="62" t="str">
        <f t="shared" si="21"/>
        <v>a</v>
      </c>
      <c r="J28" s="62" t="str">
        <f t="shared" si="21"/>
        <v>a</v>
      </c>
      <c r="K28" s="62" t="str">
        <f t="shared" si="21"/>
        <v>a</v>
      </c>
      <c r="L28" s="62" t="str">
        <f t="shared" si="21"/>
        <v>a</v>
      </c>
      <c r="M28" s="67">
        <v>1</v>
      </c>
      <c r="N28" s="68">
        <v>1</v>
      </c>
      <c r="O28" s="68">
        <v>1</v>
      </c>
      <c r="P28" s="68">
        <v>1</v>
      </c>
      <c r="Q28" s="68">
        <v>1</v>
      </c>
      <c r="R28" s="68">
        <v>1</v>
      </c>
      <c r="S28" s="68">
        <v>1</v>
      </c>
      <c r="T28" s="69">
        <v>1</v>
      </c>
      <c r="U28" s="67">
        <v>1</v>
      </c>
      <c r="V28" s="68">
        <v>1</v>
      </c>
      <c r="W28" s="68">
        <v>1</v>
      </c>
      <c r="X28" s="68">
        <v>1</v>
      </c>
      <c r="Y28" s="68">
        <v>1</v>
      </c>
      <c r="Z28" s="68">
        <v>1</v>
      </c>
      <c r="AA28" s="68">
        <v>1</v>
      </c>
      <c r="AB28" s="69">
        <v>1</v>
      </c>
      <c r="AC28" s="67" t="s">
        <v>124</v>
      </c>
      <c r="AD28" s="68" t="s">
        <v>124</v>
      </c>
      <c r="AE28" s="68" t="s">
        <v>124</v>
      </c>
      <c r="AF28" s="68" t="s">
        <v>124</v>
      </c>
      <c r="AG28" s="68" t="s">
        <v>124</v>
      </c>
      <c r="AH28" s="68" t="s">
        <v>124</v>
      </c>
      <c r="AI28" s="68" t="s">
        <v>124</v>
      </c>
      <c r="AJ28" s="69" t="s">
        <v>124</v>
      </c>
      <c r="AK28" s="67">
        <v>1</v>
      </c>
      <c r="AL28" s="68">
        <v>1</v>
      </c>
      <c r="AM28" s="68">
        <v>1</v>
      </c>
      <c r="AN28" s="68">
        <v>1</v>
      </c>
      <c r="AO28" s="68">
        <v>1</v>
      </c>
      <c r="AP28" s="68">
        <v>1</v>
      </c>
      <c r="AQ28" s="68"/>
      <c r="AR28" s="69"/>
      <c r="AS28" s="135"/>
      <c r="AT28" s="136"/>
      <c r="AU28" s="136"/>
      <c r="AV28" s="136"/>
      <c r="AW28" s="136"/>
      <c r="AX28" s="136"/>
      <c r="AY28" s="136"/>
      <c r="AZ28" s="137"/>
      <c r="BA28" s="37">
        <f t="shared" si="1"/>
        <v>22</v>
      </c>
      <c r="BB28" s="9">
        <f t="shared" si="3"/>
        <v>22</v>
      </c>
      <c r="BC28" s="10">
        <f t="shared" si="4"/>
        <v>58</v>
      </c>
    </row>
    <row r="29" spans="1:55" ht="15" customHeight="1" x14ac:dyDescent="0.35">
      <c r="A29" s="29">
        <v>820323205082</v>
      </c>
      <c r="B29" s="30" t="s">
        <v>39</v>
      </c>
      <c r="C29" s="13"/>
      <c r="D29" s="7"/>
      <c r="E29" s="61">
        <v>1</v>
      </c>
      <c r="F29" s="62">
        <f t="shared" ref="F29:L29" si="22">E29</f>
        <v>1</v>
      </c>
      <c r="G29" s="62">
        <f t="shared" si="22"/>
        <v>1</v>
      </c>
      <c r="H29" s="62">
        <f t="shared" si="22"/>
        <v>1</v>
      </c>
      <c r="I29" s="62">
        <f t="shared" si="22"/>
        <v>1</v>
      </c>
      <c r="J29" s="62">
        <f t="shared" si="22"/>
        <v>1</v>
      </c>
      <c r="K29" s="62">
        <f t="shared" si="22"/>
        <v>1</v>
      </c>
      <c r="L29" s="62">
        <f t="shared" si="22"/>
        <v>1</v>
      </c>
      <c r="M29" s="67" t="s">
        <v>124</v>
      </c>
      <c r="N29" s="68" t="s">
        <v>124</v>
      </c>
      <c r="O29" s="68" t="s">
        <v>124</v>
      </c>
      <c r="P29" s="68" t="s">
        <v>124</v>
      </c>
      <c r="Q29" s="68" t="s">
        <v>124</v>
      </c>
      <c r="R29" s="68" t="s">
        <v>124</v>
      </c>
      <c r="S29" s="68" t="s">
        <v>124</v>
      </c>
      <c r="T29" s="69" t="s">
        <v>124</v>
      </c>
      <c r="U29" s="67">
        <v>1</v>
      </c>
      <c r="V29" s="68">
        <v>1</v>
      </c>
      <c r="W29" s="68">
        <v>1</v>
      </c>
      <c r="X29" s="68">
        <v>1</v>
      </c>
      <c r="Y29" s="68">
        <v>1</v>
      </c>
      <c r="Z29" s="68">
        <v>1</v>
      </c>
      <c r="AA29" s="68">
        <v>1</v>
      </c>
      <c r="AB29" s="69">
        <v>1</v>
      </c>
      <c r="AC29" s="67">
        <v>1</v>
      </c>
      <c r="AD29" s="68">
        <v>1</v>
      </c>
      <c r="AE29" s="68">
        <v>1</v>
      </c>
      <c r="AF29" s="68">
        <v>1</v>
      </c>
      <c r="AG29" s="68">
        <v>1</v>
      </c>
      <c r="AH29" s="68">
        <v>1</v>
      </c>
      <c r="AI29" s="68">
        <v>1</v>
      </c>
      <c r="AJ29" s="69">
        <v>1</v>
      </c>
      <c r="AK29" s="67" t="s">
        <v>124</v>
      </c>
      <c r="AL29" s="68" t="s">
        <v>124</v>
      </c>
      <c r="AM29" s="68" t="s">
        <v>124</v>
      </c>
      <c r="AN29" s="68" t="s">
        <v>124</v>
      </c>
      <c r="AO29" s="68" t="s">
        <v>124</v>
      </c>
      <c r="AP29" s="68" t="s">
        <v>124</v>
      </c>
      <c r="AQ29" s="68"/>
      <c r="AR29" s="69"/>
      <c r="AS29" s="135"/>
      <c r="AT29" s="136"/>
      <c r="AU29" s="136"/>
      <c r="AV29" s="136"/>
      <c r="AW29" s="136"/>
      <c r="AX29" s="136"/>
      <c r="AY29" s="136"/>
      <c r="AZ29" s="137"/>
      <c r="BA29" s="37">
        <f t="shared" si="1"/>
        <v>24</v>
      </c>
      <c r="BB29" s="9">
        <f t="shared" si="3"/>
        <v>24</v>
      </c>
      <c r="BC29" s="10">
        <f t="shared" si="4"/>
        <v>63</v>
      </c>
    </row>
    <row r="30" spans="1:55" ht="15" customHeight="1" x14ac:dyDescent="0.35">
      <c r="A30" s="29">
        <v>820323205083</v>
      </c>
      <c r="B30" s="30" t="s">
        <v>40</v>
      </c>
      <c r="C30" s="11"/>
      <c r="D30" s="7"/>
      <c r="E30" s="61">
        <v>1</v>
      </c>
      <c r="F30" s="62">
        <f t="shared" ref="F30:L30" si="23">E30</f>
        <v>1</v>
      </c>
      <c r="G30" s="62">
        <f t="shared" si="23"/>
        <v>1</v>
      </c>
      <c r="H30" s="62">
        <f t="shared" si="23"/>
        <v>1</v>
      </c>
      <c r="I30" s="62">
        <f t="shared" si="23"/>
        <v>1</v>
      </c>
      <c r="J30" s="62">
        <f t="shared" si="23"/>
        <v>1</v>
      </c>
      <c r="K30" s="62">
        <f t="shared" si="23"/>
        <v>1</v>
      </c>
      <c r="L30" s="62">
        <f t="shared" si="23"/>
        <v>1</v>
      </c>
      <c r="M30" s="67">
        <v>1</v>
      </c>
      <c r="N30" s="68">
        <v>1</v>
      </c>
      <c r="O30" s="68">
        <v>1</v>
      </c>
      <c r="P30" s="68">
        <v>1</v>
      </c>
      <c r="Q30" s="68">
        <v>1</v>
      </c>
      <c r="R30" s="68">
        <v>1</v>
      </c>
      <c r="S30" s="68">
        <v>1</v>
      </c>
      <c r="T30" s="69">
        <v>1</v>
      </c>
      <c r="U30" s="67">
        <v>1</v>
      </c>
      <c r="V30" s="68">
        <v>1</v>
      </c>
      <c r="W30" s="68">
        <v>1</v>
      </c>
      <c r="X30" s="68">
        <v>1</v>
      </c>
      <c r="Y30" s="68">
        <v>1</v>
      </c>
      <c r="Z30" s="68">
        <v>1</v>
      </c>
      <c r="AA30" s="68">
        <v>1</v>
      </c>
      <c r="AB30" s="69">
        <v>1</v>
      </c>
      <c r="AC30" s="67" t="s">
        <v>124</v>
      </c>
      <c r="AD30" s="68" t="s">
        <v>124</v>
      </c>
      <c r="AE30" s="68" t="s">
        <v>124</v>
      </c>
      <c r="AF30" s="68" t="s">
        <v>124</v>
      </c>
      <c r="AG30" s="68" t="s">
        <v>124</v>
      </c>
      <c r="AH30" s="68" t="s">
        <v>124</v>
      </c>
      <c r="AI30" s="68" t="s">
        <v>124</v>
      </c>
      <c r="AJ30" s="69" t="s">
        <v>124</v>
      </c>
      <c r="AK30" s="67" t="s">
        <v>124</v>
      </c>
      <c r="AL30" s="68" t="s">
        <v>124</v>
      </c>
      <c r="AM30" s="68" t="s">
        <v>124</v>
      </c>
      <c r="AN30" s="68" t="s">
        <v>124</v>
      </c>
      <c r="AO30" s="68" t="s">
        <v>124</v>
      </c>
      <c r="AP30" s="68" t="s">
        <v>124</v>
      </c>
      <c r="AQ30" s="68"/>
      <c r="AR30" s="69"/>
      <c r="AS30" s="135"/>
      <c r="AT30" s="136"/>
      <c r="AU30" s="136"/>
      <c r="AV30" s="136"/>
      <c r="AW30" s="136"/>
      <c r="AX30" s="136"/>
      <c r="AY30" s="136"/>
      <c r="AZ30" s="137"/>
      <c r="BA30" s="37">
        <f t="shared" si="1"/>
        <v>24</v>
      </c>
      <c r="BB30" s="9">
        <f t="shared" si="3"/>
        <v>24</v>
      </c>
      <c r="BC30" s="10">
        <f t="shared" si="4"/>
        <v>63</v>
      </c>
    </row>
    <row r="31" spans="1:55" ht="15" customHeight="1" x14ac:dyDescent="0.35">
      <c r="A31" s="29">
        <v>820323205084</v>
      </c>
      <c r="B31" s="30" t="s">
        <v>41</v>
      </c>
      <c r="C31" s="11"/>
      <c r="D31" s="7"/>
      <c r="E31" s="61">
        <v>1</v>
      </c>
      <c r="F31" s="62">
        <f t="shared" ref="F31:L31" si="24">E31</f>
        <v>1</v>
      </c>
      <c r="G31" s="62">
        <f t="shared" si="24"/>
        <v>1</v>
      </c>
      <c r="H31" s="62">
        <f t="shared" si="24"/>
        <v>1</v>
      </c>
      <c r="I31" s="62">
        <f t="shared" si="24"/>
        <v>1</v>
      </c>
      <c r="J31" s="62">
        <f t="shared" si="24"/>
        <v>1</v>
      </c>
      <c r="K31" s="62">
        <f t="shared" si="24"/>
        <v>1</v>
      </c>
      <c r="L31" s="62">
        <f t="shared" si="24"/>
        <v>1</v>
      </c>
      <c r="M31" s="67">
        <v>1</v>
      </c>
      <c r="N31" s="68">
        <v>1</v>
      </c>
      <c r="O31" s="68">
        <v>1</v>
      </c>
      <c r="P31" s="68">
        <v>1</v>
      </c>
      <c r="Q31" s="68">
        <v>1</v>
      </c>
      <c r="R31" s="68">
        <v>1</v>
      </c>
      <c r="S31" s="68">
        <v>1</v>
      </c>
      <c r="T31" s="69">
        <v>1</v>
      </c>
      <c r="U31" s="67">
        <v>1</v>
      </c>
      <c r="V31" s="68">
        <v>1</v>
      </c>
      <c r="W31" s="68">
        <v>1</v>
      </c>
      <c r="X31" s="68">
        <v>1</v>
      </c>
      <c r="Y31" s="68">
        <v>1</v>
      </c>
      <c r="Z31" s="68">
        <v>1</v>
      </c>
      <c r="AA31" s="68">
        <v>1</v>
      </c>
      <c r="AB31" s="69">
        <v>1</v>
      </c>
      <c r="AC31" s="67">
        <v>1</v>
      </c>
      <c r="AD31" s="68">
        <v>1</v>
      </c>
      <c r="AE31" s="68">
        <v>1</v>
      </c>
      <c r="AF31" s="68">
        <v>1</v>
      </c>
      <c r="AG31" s="68">
        <v>1</v>
      </c>
      <c r="AH31" s="68">
        <v>1</v>
      </c>
      <c r="AI31" s="68">
        <v>1</v>
      </c>
      <c r="AJ31" s="69">
        <v>1</v>
      </c>
      <c r="AK31" s="67">
        <v>1</v>
      </c>
      <c r="AL31" s="68">
        <v>1</v>
      </c>
      <c r="AM31" s="68">
        <v>1</v>
      </c>
      <c r="AN31" s="68">
        <v>1</v>
      </c>
      <c r="AO31" s="68">
        <v>1</v>
      </c>
      <c r="AP31" s="68">
        <v>1</v>
      </c>
      <c r="AQ31" s="68"/>
      <c r="AR31" s="69"/>
      <c r="AS31" s="135"/>
      <c r="AT31" s="136"/>
      <c r="AU31" s="136"/>
      <c r="AV31" s="136"/>
      <c r="AW31" s="136"/>
      <c r="AX31" s="136"/>
      <c r="AY31" s="136"/>
      <c r="AZ31" s="137"/>
      <c r="BA31" s="37">
        <f t="shared" si="1"/>
        <v>38</v>
      </c>
      <c r="BB31" s="9">
        <f t="shared" si="3"/>
        <v>38</v>
      </c>
      <c r="BC31" s="10">
        <f t="shared" si="4"/>
        <v>100</v>
      </c>
    </row>
    <row r="32" spans="1:55" ht="15" customHeight="1" x14ac:dyDescent="0.35">
      <c r="A32" s="29">
        <v>820323205085</v>
      </c>
      <c r="B32" s="30" t="s">
        <v>42</v>
      </c>
      <c r="C32" s="11"/>
      <c r="D32" s="7"/>
      <c r="E32" s="61">
        <v>1</v>
      </c>
      <c r="F32" s="62">
        <f t="shared" ref="F32:L32" si="25">E32</f>
        <v>1</v>
      </c>
      <c r="G32" s="62">
        <f t="shared" si="25"/>
        <v>1</v>
      </c>
      <c r="H32" s="62">
        <f t="shared" si="25"/>
        <v>1</v>
      </c>
      <c r="I32" s="62">
        <f t="shared" si="25"/>
        <v>1</v>
      </c>
      <c r="J32" s="62">
        <f t="shared" si="25"/>
        <v>1</v>
      </c>
      <c r="K32" s="62">
        <f t="shared" si="25"/>
        <v>1</v>
      </c>
      <c r="L32" s="62">
        <f t="shared" si="25"/>
        <v>1</v>
      </c>
      <c r="M32" s="67">
        <v>1</v>
      </c>
      <c r="N32" s="68">
        <v>1</v>
      </c>
      <c r="O32" s="68">
        <v>1</v>
      </c>
      <c r="P32" s="68">
        <v>1</v>
      </c>
      <c r="Q32" s="68">
        <v>1</v>
      </c>
      <c r="R32" s="68">
        <v>1</v>
      </c>
      <c r="S32" s="68">
        <v>1</v>
      </c>
      <c r="T32" s="69">
        <v>1</v>
      </c>
      <c r="U32" s="67" t="s">
        <v>124</v>
      </c>
      <c r="V32" s="68" t="s">
        <v>124</v>
      </c>
      <c r="W32" s="68" t="s">
        <v>124</v>
      </c>
      <c r="X32" s="68" t="s">
        <v>124</v>
      </c>
      <c r="Y32" s="68" t="s">
        <v>124</v>
      </c>
      <c r="Z32" s="68" t="s">
        <v>124</v>
      </c>
      <c r="AA32" s="68" t="s">
        <v>124</v>
      </c>
      <c r="AB32" s="69" t="s">
        <v>124</v>
      </c>
      <c r="AC32" s="67" t="s">
        <v>124</v>
      </c>
      <c r="AD32" s="68" t="s">
        <v>124</v>
      </c>
      <c r="AE32" s="68" t="s">
        <v>124</v>
      </c>
      <c r="AF32" s="68" t="s">
        <v>124</v>
      </c>
      <c r="AG32" s="68" t="s">
        <v>124</v>
      </c>
      <c r="AH32" s="68" t="s">
        <v>124</v>
      </c>
      <c r="AI32" s="68" t="s">
        <v>124</v>
      </c>
      <c r="AJ32" s="69" t="s">
        <v>124</v>
      </c>
      <c r="AK32" s="67">
        <v>1</v>
      </c>
      <c r="AL32" s="68">
        <v>1</v>
      </c>
      <c r="AM32" s="68">
        <v>1</v>
      </c>
      <c r="AN32" s="68">
        <v>1</v>
      </c>
      <c r="AO32" s="68">
        <v>1</v>
      </c>
      <c r="AP32" s="68">
        <v>1</v>
      </c>
      <c r="AQ32" s="68"/>
      <c r="AR32" s="69"/>
      <c r="AS32" s="135"/>
      <c r="AT32" s="136"/>
      <c r="AU32" s="136"/>
      <c r="AV32" s="136"/>
      <c r="AW32" s="136"/>
      <c r="AX32" s="136"/>
      <c r="AY32" s="136"/>
      <c r="AZ32" s="137"/>
      <c r="BA32" s="37">
        <f t="shared" si="1"/>
        <v>22</v>
      </c>
      <c r="BB32" s="9">
        <f t="shared" si="3"/>
        <v>22</v>
      </c>
      <c r="BC32" s="10">
        <f t="shared" si="4"/>
        <v>58</v>
      </c>
    </row>
    <row r="33" spans="1:55" ht="15" customHeight="1" x14ac:dyDescent="0.35">
      <c r="A33" s="29">
        <v>820323205086</v>
      </c>
      <c r="B33" s="30" t="s">
        <v>43</v>
      </c>
      <c r="C33" s="11"/>
      <c r="D33" s="7"/>
      <c r="E33" s="61">
        <v>1</v>
      </c>
      <c r="F33" s="62">
        <f t="shared" ref="F33:L33" si="26">E33</f>
        <v>1</v>
      </c>
      <c r="G33" s="62">
        <f t="shared" si="26"/>
        <v>1</v>
      </c>
      <c r="H33" s="62">
        <f t="shared" si="26"/>
        <v>1</v>
      </c>
      <c r="I33" s="62">
        <f t="shared" si="26"/>
        <v>1</v>
      </c>
      <c r="J33" s="62">
        <f t="shared" si="26"/>
        <v>1</v>
      </c>
      <c r="K33" s="62">
        <f t="shared" si="26"/>
        <v>1</v>
      </c>
      <c r="L33" s="62">
        <f t="shared" si="26"/>
        <v>1</v>
      </c>
      <c r="M33" s="67">
        <v>1</v>
      </c>
      <c r="N33" s="68">
        <v>1</v>
      </c>
      <c r="O33" s="68">
        <v>1</v>
      </c>
      <c r="P33" s="68">
        <v>1</v>
      </c>
      <c r="Q33" s="68">
        <v>1</v>
      </c>
      <c r="R33" s="68">
        <v>1</v>
      </c>
      <c r="S33" s="68">
        <v>1</v>
      </c>
      <c r="T33" s="69">
        <v>1</v>
      </c>
      <c r="U33" s="67">
        <v>1</v>
      </c>
      <c r="V33" s="68">
        <v>1</v>
      </c>
      <c r="W33" s="68">
        <v>1</v>
      </c>
      <c r="X33" s="68">
        <v>1</v>
      </c>
      <c r="Y33" s="68">
        <v>1</v>
      </c>
      <c r="Z33" s="68">
        <v>1</v>
      </c>
      <c r="AA33" s="68">
        <v>1</v>
      </c>
      <c r="AB33" s="69">
        <v>1</v>
      </c>
      <c r="AC33" s="67">
        <v>1</v>
      </c>
      <c r="AD33" s="68">
        <v>1</v>
      </c>
      <c r="AE33" s="68">
        <v>1</v>
      </c>
      <c r="AF33" s="68">
        <v>1</v>
      </c>
      <c r="AG33" s="68">
        <v>1</v>
      </c>
      <c r="AH33" s="68">
        <v>1</v>
      </c>
      <c r="AI33" s="68">
        <v>1</v>
      </c>
      <c r="AJ33" s="69">
        <v>1</v>
      </c>
      <c r="AK33" s="67" t="s">
        <v>124</v>
      </c>
      <c r="AL33" s="68" t="s">
        <v>124</v>
      </c>
      <c r="AM33" s="68" t="s">
        <v>124</v>
      </c>
      <c r="AN33" s="68" t="s">
        <v>124</v>
      </c>
      <c r="AO33" s="68" t="s">
        <v>124</v>
      </c>
      <c r="AP33" s="68" t="s">
        <v>124</v>
      </c>
      <c r="AQ33" s="68"/>
      <c r="AR33" s="69"/>
      <c r="AS33" s="135"/>
      <c r="AT33" s="136"/>
      <c r="AU33" s="136"/>
      <c r="AV33" s="136"/>
      <c r="AW33" s="136"/>
      <c r="AX33" s="136"/>
      <c r="AY33" s="136"/>
      <c r="AZ33" s="137"/>
      <c r="BA33" s="37">
        <f t="shared" si="1"/>
        <v>32</v>
      </c>
      <c r="BB33" s="9">
        <f t="shared" si="3"/>
        <v>32</v>
      </c>
      <c r="BC33" s="10">
        <f t="shared" si="4"/>
        <v>84</v>
      </c>
    </row>
    <row r="34" spans="1:55" ht="15" customHeight="1" x14ac:dyDescent="0.35">
      <c r="A34" s="29">
        <v>820323205087</v>
      </c>
      <c r="B34" s="30" t="s">
        <v>44</v>
      </c>
      <c r="C34" s="14"/>
      <c r="D34" s="7"/>
      <c r="E34" s="61">
        <v>1</v>
      </c>
      <c r="F34" s="62">
        <f t="shared" ref="F34:L34" si="27">E34</f>
        <v>1</v>
      </c>
      <c r="G34" s="62">
        <f t="shared" si="27"/>
        <v>1</v>
      </c>
      <c r="H34" s="62">
        <f t="shared" si="27"/>
        <v>1</v>
      </c>
      <c r="I34" s="62">
        <f t="shared" si="27"/>
        <v>1</v>
      </c>
      <c r="J34" s="62">
        <f t="shared" si="27"/>
        <v>1</v>
      </c>
      <c r="K34" s="62">
        <f t="shared" si="27"/>
        <v>1</v>
      </c>
      <c r="L34" s="62">
        <f t="shared" si="27"/>
        <v>1</v>
      </c>
      <c r="M34" s="67" t="s">
        <v>124</v>
      </c>
      <c r="N34" s="68" t="s">
        <v>124</v>
      </c>
      <c r="O34" s="68" t="s">
        <v>124</v>
      </c>
      <c r="P34" s="68" t="s">
        <v>124</v>
      </c>
      <c r="Q34" s="68" t="s">
        <v>124</v>
      </c>
      <c r="R34" s="68" t="s">
        <v>124</v>
      </c>
      <c r="S34" s="68" t="s">
        <v>124</v>
      </c>
      <c r="T34" s="69" t="s">
        <v>124</v>
      </c>
      <c r="U34" s="67">
        <v>1</v>
      </c>
      <c r="V34" s="68">
        <v>1</v>
      </c>
      <c r="W34" s="68">
        <v>1</v>
      </c>
      <c r="X34" s="68">
        <v>1</v>
      </c>
      <c r="Y34" s="68">
        <v>1</v>
      </c>
      <c r="Z34" s="68">
        <v>1</v>
      </c>
      <c r="AA34" s="68">
        <v>1</v>
      </c>
      <c r="AB34" s="69">
        <v>1</v>
      </c>
      <c r="AC34" s="67">
        <v>1</v>
      </c>
      <c r="AD34" s="68">
        <v>1</v>
      </c>
      <c r="AE34" s="68">
        <v>1</v>
      </c>
      <c r="AF34" s="68">
        <v>1</v>
      </c>
      <c r="AG34" s="68">
        <v>1</v>
      </c>
      <c r="AH34" s="68">
        <v>1</v>
      </c>
      <c r="AI34" s="68">
        <v>1</v>
      </c>
      <c r="AJ34" s="69">
        <v>1</v>
      </c>
      <c r="AK34" s="67" t="s">
        <v>124</v>
      </c>
      <c r="AL34" s="68" t="s">
        <v>124</v>
      </c>
      <c r="AM34" s="68" t="s">
        <v>124</v>
      </c>
      <c r="AN34" s="68" t="s">
        <v>124</v>
      </c>
      <c r="AO34" s="68" t="s">
        <v>124</v>
      </c>
      <c r="AP34" s="68" t="s">
        <v>124</v>
      </c>
      <c r="AQ34" s="68"/>
      <c r="AR34" s="69"/>
      <c r="AS34" s="135"/>
      <c r="AT34" s="136"/>
      <c r="AU34" s="136"/>
      <c r="AV34" s="136"/>
      <c r="AW34" s="136"/>
      <c r="AX34" s="136"/>
      <c r="AY34" s="136"/>
      <c r="AZ34" s="137"/>
      <c r="BA34" s="37">
        <f t="shared" si="1"/>
        <v>24</v>
      </c>
      <c r="BB34" s="9">
        <f t="shared" si="3"/>
        <v>24</v>
      </c>
      <c r="BC34" s="10">
        <f t="shared" si="4"/>
        <v>63</v>
      </c>
    </row>
    <row r="35" spans="1:55" ht="15" customHeight="1" x14ac:dyDescent="0.35">
      <c r="A35" s="29">
        <v>820323205088</v>
      </c>
      <c r="B35" s="30" t="s">
        <v>45</v>
      </c>
      <c r="C35" s="14"/>
      <c r="D35" s="7"/>
      <c r="E35" s="61">
        <v>1</v>
      </c>
      <c r="F35" s="62">
        <f t="shared" ref="F35:L35" si="28">E35</f>
        <v>1</v>
      </c>
      <c r="G35" s="62">
        <f t="shared" si="28"/>
        <v>1</v>
      </c>
      <c r="H35" s="62">
        <f t="shared" si="28"/>
        <v>1</v>
      </c>
      <c r="I35" s="62">
        <f t="shared" si="28"/>
        <v>1</v>
      </c>
      <c r="J35" s="62">
        <f t="shared" si="28"/>
        <v>1</v>
      </c>
      <c r="K35" s="62">
        <f t="shared" si="28"/>
        <v>1</v>
      </c>
      <c r="L35" s="62">
        <f t="shared" si="28"/>
        <v>1</v>
      </c>
      <c r="M35" s="67">
        <v>1</v>
      </c>
      <c r="N35" s="68">
        <v>1</v>
      </c>
      <c r="O35" s="68">
        <v>1</v>
      </c>
      <c r="P35" s="68">
        <v>1</v>
      </c>
      <c r="Q35" s="68">
        <v>1</v>
      </c>
      <c r="R35" s="68">
        <v>1</v>
      </c>
      <c r="S35" s="68">
        <v>1</v>
      </c>
      <c r="T35" s="69">
        <v>1</v>
      </c>
      <c r="U35" s="67">
        <v>1</v>
      </c>
      <c r="V35" s="68">
        <v>1</v>
      </c>
      <c r="W35" s="68">
        <v>1</v>
      </c>
      <c r="X35" s="68">
        <v>1</v>
      </c>
      <c r="Y35" s="68">
        <v>1</v>
      </c>
      <c r="Z35" s="68">
        <v>1</v>
      </c>
      <c r="AA35" s="68">
        <v>1</v>
      </c>
      <c r="AB35" s="69">
        <v>1</v>
      </c>
      <c r="AC35" s="67">
        <v>1</v>
      </c>
      <c r="AD35" s="68">
        <v>1</v>
      </c>
      <c r="AE35" s="68">
        <v>1</v>
      </c>
      <c r="AF35" s="68">
        <v>1</v>
      </c>
      <c r="AG35" s="68">
        <v>1</v>
      </c>
      <c r="AH35" s="68">
        <v>1</v>
      </c>
      <c r="AI35" s="68">
        <v>1</v>
      </c>
      <c r="AJ35" s="69">
        <v>1</v>
      </c>
      <c r="AK35" s="67">
        <v>1</v>
      </c>
      <c r="AL35" s="68">
        <v>1</v>
      </c>
      <c r="AM35" s="68">
        <v>1</v>
      </c>
      <c r="AN35" s="68">
        <v>1</v>
      </c>
      <c r="AO35" s="68">
        <v>1</v>
      </c>
      <c r="AP35" s="68">
        <v>1</v>
      </c>
      <c r="AQ35" s="68"/>
      <c r="AR35" s="69"/>
      <c r="AS35" s="135"/>
      <c r="AT35" s="136"/>
      <c r="AU35" s="136"/>
      <c r="AV35" s="136"/>
      <c r="AW35" s="136"/>
      <c r="AX35" s="136"/>
      <c r="AY35" s="136"/>
      <c r="AZ35" s="137"/>
      <c r="BA35" s="37">
        <f t="shared" si="1"/>
        <v>38</v>
      </c>
      <c r="BB35" s="9">
        <f t="shared" si="3"/>
        <v>38</v>
      </c>
      <c r="BC35" s="10">
        <f t="shared" si="4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/>
      <c r="E36" s="61" t="s">
        <v>124</v>
      </c>
      <c r="F36" s="62" t="str">
        <f t="shared" ref="F36:L36" si="29">E36</f>
        <v>a</v>
      </c>
      <c r="G36" s="62">
        <v>1</v>
      </c>
      <c r="H36" s="62">
        <f t="shared" si="29"/>
        <v>1</v>
      </c>
      <c r="I36" s="62">
        <f t="shared" si="29"/>
        <v>1</v>
      </c>
      <c r="J36" s="62">
        <f t="shared" si="29"/>
        <v>1</v>
      </c>
      <c r="K36" s="62">
        <f t="shared" si="29"/>
        <v>1</v>
      </c>
      <c r="L36" s="62">
        <f t="shared" si="29"/>
        <v>1</v>
      </c>
      <c r="M36" s="67">
        <v>1</v>
      </c>
      <c r="N36" s="68">
        <v>1</v>
      </c>
      <c r="O36" s="68">
        <v>1</v>
      </c>
      <c r="P36" s="68">
        <v>1</v>
      </c>
      <c r="Q36" s="68">
        <v>1</v>
      </c>
      <c r="R36" s="68">
        <v>1</v>
      </c>
      <c r="S36" s="68">
        <v>1</v>
      </c>
      <c r="T36" s="69">
        <v>1</v>
      </c>
      <c r="U36" s="67">
        <v>1</v>
      </c>
      <c r="V36" s="68">
        <v>1</v>
      </c>
      <c r="W36" s="68">
        <v>1</v>
      </c>
      <c r="X36" s="68">
        <v>1</v>
      </c>
      <c r="Y36" s="68">
        <v>1</v>
      </c>
      <c r="Z36" s="68">
        <v>1</v>
      </c>
      <c r="AA36" s="68">
        <v>1</v>
      </c>
      <c r="AB36" s="69">
        <v>1</v>
      </c>
      <c r="AC36" s="67">
        <v>1</v>
      </c>
      <c r="AD36" s="68">
        <v>1</v>
      </c>
      <c r="AE36" s="68">
        <v>1</v>
      </c>
      <c r="AF36" s="68">
        <v>1</v>
      </c>
      <c r="AG36" s="68">
        <v>1</v>
      </c>
      <c r="AH36" s="68">
        <v>1</v>
      </c>
      <c r="AI36" s="68">
        <v>1</v>
      </c>
      <c r="AJ36" s="69">
        <v>1</v>
      </c>
      <c r="AK36" s="67" t="s">
        <v>124</v>
      </c>
      <c r="AL36" s="68" t="s">
        <v>124</v>
      </c>
      <c r="AM36" s="68" t="s">
        <v>124</v>
      </c>
      <c r="AN36" s="68" t="s">
        <v>124</v>
      </c>
      <c r="AO36" s="68" t="s">
        <v>124</v>
      </c>
      <c r="AP36" s="68" t="s">
        <v>124</v>
      </c>
      <c r="AQ36" s="68"/>
      <c r="AR36" s="69"/>
      <c r="AS36" s="135"/>
      <c r="AT36" s="136"/>
      <c r="AU36" s="136"/>
      <c r="AV36" s="136"/>
      <c r="AW36" s="136"/>
      <c r="AX36" s="136"/>
      <c r="AY36" s="136"/>
      <c r="AZ36" s="137"/>
      <c r="BA36" s="37">
        <f t="shared" si="1"/>
        <v>30</v>
      </c>
      <c r="BB36" s="9">
        <f t="shared" si="3"/>
        <v>30</v>
      </c>
      <c r="BC36" s="10">
        <f t="shared" si="4"/>
        <v>79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/>
      <c r="E37" s="61">
        <v>1</v>
      </c>
      <c r="F37" s="62">
        <f t="shared" ref="F37:L37" si="30">E37</f>
        <v>1</v>
      </c>
      <c r="G37" s="62">
        <f t="shared" si="30"/>
        <v>1</v>
      </c>
      <c r="H37" s="62">
        <f t="shared" si="30"/>
        <v>1</v>
      </c>
      <c r="I37" s="62">
        <f t="shared" si="30"/>
        <v>1</v>
      </c>
      <c r="J37" s="62">
        <f t="shared" si="30"/>
        <v>1</v>
      </c>
      <c r="K37" s="62">
        <f t="shared" si="30"/>
        <v>1</v>
      </c>
      <c r="L37" s="62">
        <f t="shared" si="30"/>
        <v>1</v>
      </c>
      <c r="M37" s="67">
        <v>1</v>
      </c>
      <c r="N37" s="68">
        <v>1</v>
      </c>
      <c r="O37" s="68">
        <v>1</v>
      </c>
      <c r="P37" s="68">
        <v>1</v>
      </c>
      <c r="Q37" s="68">
        <v>1</v>
      </c>
      <c r="R37" s="68">
        <v>1</v>
      </c>
      <c r="S37" s="68">
        <v>1</v>
      </c>
      <c r="T37" s="69">
        <v>1</v>
      </c>
      <c r="U37" s="67">
        <v>1</v>
      </c>
      <c r="V37" s="68">
        <v>1</v>
      </c>
      <c r="W37" s="68">
        <v>1</v>
      </c>
      <c r="X37" s="68">
        <v>1</v>
      </c>
      <c r="Y37" s="68">
        <v>1</v>
      </c>
      <c r="Z37" s="68">
        <v>1</v>
      </c>
      <c r="AA37" s="68">
        <v>1</v>
      </c>
      <c r="AB37" s="69">
        <v>1</v>
      </c>
      <c r="AC37" s="67">
        <v>1</v>
      </c>
      <c r="AD37" s="68">
        <v>1</v>
      </c>
      <c r="AE37" s="68">
        <v>1</v>
      </c>
      <c r="AF37" s="68">
        <v>1</v>
      </c>
      <c r="AG37" s="68">
        <v>1</v>
      </c>
      <c r="AH37" s="68">
        <v>1</v>
      </c>
      <c r="AI37" s="68">
        <v>1</v>
      </c>
      <c r="AJ37" s="69">
        <v>1</v>
      </c>
      <c r="AK37" s="67">
        <v>1</v>
      </c>
      <c r="AL37" s="68">
        <v>1</v>
      </c>
      <c r="AM37" s="68">
        <v>1</v>
      </c>
      <c r="AN37" s="68">
        <v>1</v>
      </c>
      <c r="AO37" s="68">
        <v>1</v>
      </c>
      <c r="AP37" s="68">
        <v>1</v>
      </c>
      <c r="AQ37" s="68"/>
      <c r="AR37" s="69"/>
      <c r="AS37" s="135"/>
      <c r="AT37" s="136"/>
      <c r="AU37" s="136"/>
      <c r="AV37" s="136"/>
      <c r="AW37" s="136"/>
      <c r="AX37" s="136"/>
      <c r="AY37" s="136"/>
      <c r="AZ37" s="137"/>
      <c r="BA37" s="38">
        <f t="shared" si="1"/>
        <v>38</v>
      </c>
      <c r="BB37" s="9">
        <f t="shared" si="3"/>
        <v>38</v>
      </c>
      <c r="BC37" s="10">
        <f t="shared" si="4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/>
      <c r="E38" s="61" t="s">
        <v>124</v>
      </c>
      <c r="F38" s="62" t="s">
        <v>124</v>
      </c>
      <c r="G38" s="62">
        <v>1</v>
      </c>
      <c r="H38" s="62">
        <f t="shared" ref="H38:L38" si="31">G38</f>
        <v>1</v>
      </c>
      <c r="I38" s="62">
        <f t="shared" si="31"/>
        <v>1</v>
      </c>
      <c r="J38" s="62">
        <f t="shared" si="31"/>
        <v>1</v>
      </c>
      <c r="K38" s="62">
        <f t="shared" si="31"/>
        <v>1</v>
      </c>
      <c r="L38" s="62">
        <f t="shared" si="31"/>
        <v>1</v>
      </c>
      <c r="M38" s="67">
        <v>1</v>
      </c>
      <c r="N38" s="68">
        <v>1</v>
      </c>
      <c r="O38" s="68">
        <v>1</v>
      </c>
      <c r="P38" s="68">
        <v>1</v>
      </c>
      <c r="Q38" s="68">
        <v>1</v>
      </c>
      <c r="R38" s="68">
        <v>1</v>
      </c>
      <c r="S38" s="68">
        <v>1</v>
      </c>
      <c r="T38" s="69">
        <v>1</v>
      </c>
      <c r="U38" s="67">
        <v>1</v>
      </c>
      <c r="V38" s="68">
        <v>1</v>
      </c>
      <c r="W38" s="68">
        <v>1</v>
      </c>
      <c r="X38" s="68">
        <v>1</v>
      </c>
      <c r="Y38" s="68">
        <v>1</v>
      </c>
      <c r="Z38" s="68">
        <v>1</v>
      </c>
      <c r="AA38" s="68">
        <v>1</v>
      </c>
      <c r="AB38" s="69">
        <v>1</v>
      </c>
      <c r="AC38" s="67" t="s">
        <v>124</v>
      </c>
      <c r="AD38" s="68" t="s">
        <v>124</v>
      </c>
      <c r="AE38" s="68" t="s">
        <v>124</v>
      </c>
      <c r="AF38" s="68" t="s">
        <v>124</v>
      </c>
      <c r="AG38" s="68" t="s">
        <v>124</v>
      </c>
      <c r="AH38" s="68" t="s">
        <v>124</v>
      </c>
      <c r="AI38" s="68" t="s">
        <v>124</v>
      </c>
      <c r="AJ38" s="69" t="s">
        <v>124</v>
      </c>
      <c r="AK38" s="67" t="s">
        <v>124</v>
      </c>
      <c r="AL38" s="68" t="s">
        <v>124</v>
      </c>
      <c r="AM38" s="68" t="s">
        <v>124</v>
      </c>
      <c r="AN38" s="68" t="s">
        <v>124</v>
      </c>
      <c r="AO38" s="68" t="s">
        <v>124</v>
      </c>
      <c r="AP38" s="68" t="s">
        <v>124</v>
      </c>
      <c r="AQ38" s="68"/>
      <c r="AR38" s="69"/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22</v>
      </c>
      <c r="BB38" s="9">
        <f t="shared" si="3"/>
        <v>22</v>
      </c>
      <c r="BC38" s="10">
        <f t="shared" si="4"/>
        <v>58</v>
      </c>
    </row>
    <row r="39" spans="1:55" ht="15" customHeight="1" x14ac:dyDescent="0.35">
      <c r="A39" s="29">
        <v>820323205092</v>
      </c>
      <c r="B39" s="30" t="s">
        <v>49</v>
      </c>
      <c r="C39" s="11"/>
      <c r="D39" s="46"/>
      <c r="E39" s="61">
        <v>1</v>
      </c>
      <c r="F39" s="62">
        <f t="shared" ref="F39:L39" si="32">E39</f>
        <v>1</v>
      </c>
      <c r="G39" s="62">
        <f t="shared" si="32"/>
        <v>1</v>
      </c>
      <c r="H39" s="62">
        <f t="shared" si="32"/>
        <v>1</v>
      </c>
      <c r="I39" s="62">
        <f t="shared" si="32"/>
        <v>1</v>
      </c>
      <c r="J39" s="62">
        <f t="shared" si="32"/>
        <v>1</v>
      </c>
      <c r="K39" s="62">
        <f t="shared" si="32"/>
        <v>1</v>
      </c>
      <c r="L39" s="62">
        <f t="shared" si="32"/>
        <v>1</v>
      </c>
      <c r="M39" s="67">
        <v>1</v>
      </c>
      <c r="N39" s="68">
        <v>1</v>
      </c>
      <c r="O39" s="68">
        <v>1</v>
      </c>
      <c r="P39" s="68">
        <v>1</v>
      </c>
      <c r="Q39" s="68">
        <v>1</v>
      </c>
      <c r="R39" s="68">
        <v>1</v>
      </c>
      <c r="S39" s="68">
        <v>1</v>
      </c>
      <c r="T39" s="69">
        <v>1</v>
      </c>
      <c r="U39" s="67" t="s">
        <v>124</v>
      </c>
      <c r="V39" s="68" t="s">
        <v>124</v>
      </c>
      <c r="W39" s="68" t="s">
        <v>124</v>
      </c>
      <c r="X39" s="68" t="s">
        <v>124</v>
      </c>
      <c r="Y39" s="68" t="s">
        <v>124</v>
      </c>
      <c r="Z39" s="68" t="s">
        <v>124</v>
      </c>
      <c r="AA39" s="68" t="s">
        <v>124</v>
      </c>
      <c r="AB39" s="69" t="s">
        <v>124</v>
      </c>
      <c r="AC39" s="67">
        <v>1</v>
      </c>
      <c r="AD39" s="68">
        <v>1</v>
      </c>
      <c r="AE39" s="68">
        <v>1</v>
      </c>
      <c r="AF39" s="68">
        <v>1</v>
      </c>
      <c r="AG39" s="68">
        <v>1</v>
      </c>
      <c r="AH39" s="68">
        <v>1</v>
      </c>
      <c r="AI39" s="68">
        <v>1</v>
      </c>
      <c r="AJ39" s="69">
        <v>1</v>
      </c>
      <c r="AK39" s="67">
        <v>1</v>
      </c>
      <c r="AL39" s="68">
        <v>1</v>
      </c>
      <c r="AM39" s="68">
        <v>1</v>
      </c>
      <c r="AN39" s="68">
        <v>1</v>
      </c>
      <c r="AO39" s="68">
        <v>1</v>
      </c>
      <c r="AP39" s="68">
        <v>1</v>
      </c>
      <c r="AQ39" s="68"/>
      <c r="AR39" s="69"/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33">SUM(E39:AZ39)</f>
        <v>30</v>
      </c>
      <c r="BB39" s="9">
        <f t="shared" si="3"/>
        <v>30</v>
      </c>
      <c r="BC39" s="10">
        <f t="shared" si="4"/>
        <v>79</v>
      </c>
    </row>
    <row r="40" spans="1:55" ht="15" customHeight="1" x14ac:dyDescent="0.35">
      <c r="A40" s="29">
        <v>820323205093</v>
      </c>
      <c r="B40" s="30" t="s">
        <v>50</v>
      </c>
      <c r="C40" s="11"/>
      <c r="D40" s="46"/>
      <c r="E40" s="61" t="s">
        <v>124</v>
      </c>
      <c r="F40" s="62" t="str">
        <f t="shared" ref="F40:L40" si="34">E40</f>
        <v>a</v>
      </c>
      <c r="G40" s="62" t="str">
        <f t="shared" si="34"/>
        <v>a</v>
      </c>
      <c r="H40" s="62" t="str">
        <f t="shared" si="34"/>
        <v>a</v>
      </c>
      <c r="I40" s="62" t="str">
        <f t="shared" si="34"/>
        <v>a</v>
      </c>
      <c r="J40" s="62" t="str">
        <f t="shared" si="34"/>
        <v>a</v>
      </c>
      <c r="K40" s="62" t="str">
        <f t="shared" si="34"/>
        <v>a</v>
      </c>
      <c r="L40" s="62" t="str">
        <f t="shared" si="34"/>
        <v>a</v>
      </c>
      <c r="M40" s="67">
        <v>1</v>
      </c>
      <c r="N40" s="68">
        <v>1</v>
      </c>
      <c r="O40" s="68">
        <v>1</v>
      </c>
      <c r="P40" s="68">
        <v>1</v>
      </c>
      <c r="Q40" s="68">
        <v>1</v>
      </c>
      <c r="R40" s="68">
        <v>1</v>
      </c>
      <c r="S40" s="68">
        <v>1</v>
      </c>
      <c r="T40" s="69">
        <v>1</v>
      </c>
      <c r="U40" s="67">
        <v>1</v>
      </c>
      <c r="V40" s="68">
        <v>1</v>
      </c>
      <c r="W40" s="68">
        <v>1</v>
      </c>
      <c r="X40" s="68">
        <v>1</v>
      </c>
      <c r="Y40" s="68">
        <v>1</v>
      </c>
      <c r="Z40" s="68">
        <v>1</v>
      </c>
      <c r="AA40" s="68">
        <v>1</v>
      </c>
      <c r="AB40" s="69">
        <v>1</v>
      </c>
      <c r="AC40" s="67">
        <v>1</v>
      </c>
      <c r="AD40" s="68">
        <v>1</v>
      </c>
      <c r="AE40" s="68">
        <v>1</v>
      </c>
      <c r="AF40" s="68">
        <v>1</v>
      </c>
      <c r="AG40" s="68">
        <v>1</v>
      </c>
      <c r="AH40" s="68">
        <v>1</v>
      </c>
      <c r="AI40" s="68">
        <v>1</v>
      </c>
      <c r="AJ40" s="69">
        <v>1</v>
      </c>
      <c r="AK40" s="67" t="s">
        <v>124</v>
      </c>
      <c r="AL40" s="68" t="s">
        <v>124</v>
      </c>
      <c r="AM40" s="68" t="s">
        <v>124</v>
      </c>
      <c r="AN40" s="68" t="s">
        <v>124</v>
      </c>
      <c r="AO40" s="68" t="s">
        <v>124</v>
      </c>
      <c r="AP40" s="68" t="s">
        <v>124</v>
      </c>
      <c r="AQ40" s="68"/>
      <c r="AR40" s="69"/>
      <c r="AS40" s="135"/>
      <c r="AT40" s="136"/>
      <c r="AU40" s="136"/>
      <c r="AV40" s="136"/>
      <c r="AW40" s="136"/>
      <c r="AX40" s="136"/>
      <c r="AY40" s="136"/>
      <c r="AZ40" s="137"/>
      <c r="BA40" s="37">
        <f t="shared" si="33"/>
        <v>24</v>
      </c>
      <c r="BB40" s="9">
        <f t="shared" si="3"/>
        <v>24</v>
      </c>
      <c r="BC40" s="10">
        <f t="shared" si="4"/>
        <v>63</v>
      </c>
    </row>
    <row r="41" spans="1:55" ht="15" customHeight="1" x14ac:dyDescent="0.35">
      <c r="A41" s="29">
        <v>820323205094</v>
      </c>
      <c r="B41" s="30" t="s">
        <v>51</v>
      </c>
      <c r="C41" s="11"/>
      <c r="D41" s="46"/>
      <c r="E41" s="61">
        <v>1</v>
      </c>
      <c r="F41" s="62">
        <f t="shared" ref="F41:L41" si="35">E41</f>
        <v>1</v>
      </c>
      <c r="G41" s="62">
        <f t="shared" si="35"/>
        <v>1</v>
      </c>
      <c r="H41" s="62">
        <f t="shared" si="35"/>
        <v>1</v>
      </c>
      <c r="I41" s="62">
        <f t="shared" si="35"/>
        <v>1</v>
      </c>
      <c r="J41" s="62">
        <f t="shared" si="35"/>
        <v>1</v>
      </c>
      <c r="K41" s="62">
        <f t="shared" si="35"/>
        <v>1</v>
      </c>
      <c r="L41" s="62">
        <f t="shared" si="35"/>
        <v>1</v>
      </c>
      <c r="M41" s="67">
        <v>1</v>
      </c>
      <c r="N41" s="68">
        <v>1</v>
      </c>
      <c r="O41" s="68">
        <v>1</v>
      </c>
      <c r="P41" s="68">
        <v>1</v>
      </c>
      <c r="Q41" s="68">
        <v>1</v>
      </c>
      <c r="R41" s="68">
        <v>1</v>
      </c>
      <c r="S41" s="68">
        <v>1</v>
      </c>
      <c r="T41" s="69">
        <v>1</v>
      </c>
      <c r="U41" s="67">
        <v>1</v>
      </c>
      <c r="V41" s="68">
        <v>1</v>
      </c>
      <c r="W41" s="68">
        <v>1</v>
      </c>
      <c r="X41" s="68">
        <v>1</v>
      </c>
      <c r="Y41" s="68">
        <v>1</v>
      </c>
      <c r="Z41" s="68">
        <v>1</v>
      </c>
      <c r="AA41" s="68">
        <v>1</v>
      </c>
      <c r="AB41" s="69">
        <v>1</v>
      </c>
      <c r="AC41" s="67">
        <v>1</v>
      </c>
      <c r="AD41" s="68">
        <v>1</v>
      </c>
      <c r="AE41" s="68">
        <v>1</v>
      </c>
      <c r="AF41" s="68">
        <v>1</v>
      </c>
      <c r="AG41" s="68">
        <v>1</v>
      </c>
      <c r="AH41" s="68">
        <v>1</v>
      </c>
      <c r="AI41" s="68">
        <v>1</v>
      </c>
      <c r="AJ41" s="69">
        <v>1</v>
      </c>
      <c r="AK41" s="67">
        <v>1</v>
      </c>
      <c r="AL41" s="68">
        <v>1</v>
      </c>
      <c r="AM41" s="68">
        <v>1</v>
      </c>
      <c r="AN41" s="68">
        <v>1</v>
      </c>
      <c r="AO41" s="68">
        <v>1</v>
      </c>
      <c r="AP41" s="68">
        <v>1</v>
      </c>
      <c r="AQ41" s="68"/>
      <c r="AR41" s="69"/>
      <c r="AS41" s="135"/>
      <c r="AT41" s="136"/>
      <c r="AU41" s="136"/>
      <c r="AV41" s="136"/>
      <c r="AW41" s="136"/>
      <c r="AX41" s="136"/>
      <c r="AY41" s="136"/>
      <c r="AZ41" s="137"/>
      <c r="BA41" s="37">
        <f t="shared" si="33"/>
        <v>38</v>
      </c>
      <c r="BB41" s="9">
        <f t="shared" si="3"/>
        <v>38</v>
      </c>
      <c r="BC41" s="10">
        <f t="shared" si="4"/>
        <v>100</v>
      </c>
    </row>
    <row r="42" spans="1:55" ht="15" customHeight="1" thickBot="1" x14ac:dyDescent="0.4">
      <c r="A42" s="82">
        <v>820323205095</v>
      </c>
      <c r="B42" s="83" t="s">
        <v>52</v>
      </c>
      <c r="C42" s="84"/>
      <c r="D42" s="85"/>
      <c r="E42" s="61">
        <v>1</v>
      </c>
      <c r="F42" s="62">
        <f t="shared" ref="F42:L42" si="36">E42</f>
        <v>1</v>
      </c>
      <c r="G42" s="62">
        <f t="shared" si="36"/>
        <v>1</v>
      </c>
      <c r="H42" s="62">
        <f t="shared" si="36"/>
        <v>1</v>
      </c>
      <c r="I42" s="62">
        <f t="shared" si="36"/>
        <v>1</v>
      </c>
      <c r="J42" s="62">
        <f t="shared" si="36"/>
        <v>1</v>
      </c>
      <c r="K42" s="62">
        <f t="shared" si="36"/>
        <v>1</v>
      </c>
      <c r="L42" s="62">
        <f t="shared" si="36"/>
        <v>1</v>
      </c>
      <c r="M42" s="70">
        <v>1</v>
      </c>
      <c r="N42" s="71">
        <v>1</v>
      </c>
      <c r="O42" s="71">
        <v>1</v>
      </c>
      <c r="P42" s="71">
        <v>1</v>
      </c>
      <c r="Q42" s="71">
        <v>1</v>
      </c>
      <c r="R42" s="71">
        <v>1</v>
      </c>
      <c r="S42" s="71">
        <v>1</v>
      </c>
      <c r="T42" s="72">
        <v>1</v>
      </c>
      <c r="U42" s="70">
        <v>1</v>
      </c>
      <c r="V42" s="71">
        <v>1</v>
      </c>
      <c r="W42" s="71">
        <v>1</v>
      </c>
      <c r="X42" s="71">
        <v>1</v>
      </c>
      <c r="Y42" s="71">
        <v>1</v>
      </c>
      <c r="Z42" s="71">
        <v>1</v>
      </c>
      <c r="AA42" s="71">
        <v>1</v>
      </c>
      <c r="AB42" s="72">
        <v>1</v>
      </c>
      <c r="AC42" s="70">
        <v>1</v>
      </c>
      <c r="AD42" s="71">
        <v>1</v>
      </c>
      <c r="AE42" s="71">
        <v>1</v>
      </c>
      <c r="AF42" s="71">
        <v>1</v>
      </c>
      <c r="AG42" s="71">
        <v>1</v>
      </c>
      <c r="AH42" s="71">
        <v>1</v>
      </c>
      <c r="AI42" s="71">
        <v>1</v>
      </c>
      <c r="AJ42" s="72">
        <v>1</v>
      </c>
      <c r="AK42" s="70">
        <v>1</v>
      </c>
      <c r="AL42" s="71">
        <v>1</v>
      </c>
      <c r="AM42" s="71">
        <v>1</v>
      </c>
      <c r="AN42" s="71">
        <v>1</v>
      </c>
      <c r="AO42" s="71">
        <v>1</v>
      </c>
      <c r="AP42" s="71">
        <v>1</v>
      </c>
      <c r="AQ42" s="71"/>
      <c r="AR42" s="72"/>
      <c r="AS42" s="217"/>
      <c r="AT42" s="218"/>
      <c r="AU42" s="218"/>
      <c r="AV42" s="218"/>
      <c r="AW42" s="218"/>
      <c r="AX42" s="218"/>
      <c r="AY42" s="218"/>
      <c r="AZ42" s="219"/>
      <c r="BA42" s="86">
        <f t="shared" si="33"/>
        <v>38</v>
      </c>
      <c r="BB42" s="87">
        <f t="shared" si="3"/>
        <v>38</v>
      </c>
      <c r="BC42" s="10">
        <f t="shared" si="4"/>
        <v>100</v>
      </c>
    </row>
    <row r="43" spans="1:55" ht="15" customHeight="1" x14ac:dyDescent="0.35">
      <c r="A43" s="80">
        <v>820323205096</v>
      </c>
      <c r="B43" s="81" t="s">
        <v>53</v>
      </c>
      <c r="C43" s="6"/>
      <c r="D43" s="46"/>
      <c r="E43" s="61">
        <v>1</v>
      </c>
      <c r="F43" s="62">
        <f t="shared" ref="F43:L43" si="37">E43</f>
        <v>1</v>
      </c>
      <c r="G43" s="62">
        <f t="shared" si="37"/>
        <v>1</v>
      </c>
      <c r="H43" s="62">
        <f t="shared" si="37"/>
        <v>1</v>
      </c>
      <c r="I43" s="62">
        <f t="shared" si="37"/>
        <v>1</v>
      </c>
      <c r="J43" s="62">
        <f t="shared" si="37"/>
        <v>1</v>
      </c>
      <c r="K43" s="62">
        <f t="shared" si="37"/>
        <v>1</v>
      </c>
      <c r="L43" s="62">
        <f t="shared" si="37"/>
        <v>1</v>
      </c>
      <c r="M43" s="61">
        <v>1</v>
      </c>
      <c r="N43" s="62">
        <v>1</v>
      </c>
      <c r="O43" s="62">
        <v>1</v>
      </c>
      <c r="P43" s="62">
        <v>1</v>
      </c>
      <c r="Q43" s="62">
        <v>1</v>
      </c>
      <c r="R43" s="62">
        <v>1</v>
      </c>
      <c r="S43" s="62">
        <v>1</v>
      </c>
      <c r="T43" s="63">
        <v>1</v>
      </c>
      <c r="U43" s="61">
        <v>1</v>
      </c>
      <c r="V43" s="62">
        <v>1</v>
      </c>
      <c r="W43" s="62">
        <v>1</v>
      </c>
      <c r="X43" s="62">
        <v>1</v>
      </c>
      <c r="Y43" s="62">
        <v>1</v>
      </c>
      <c r="Z43" s="62">
        <v>1</v>
      </c>
      <c r="AA43" s="62">
        <v>1</v>
      </c>
      <c r="AB43" s="63">
        <v>1</v>
      </c>
      <c r="AC43" s="61">
        <v>1</v>
      </c>
      <c r="AD43" s="62">
        <v>1</v>
      </c>
      <c r="AE43" s="62">
        <v>1</v>
      </c>
      <c r="AF43" s="62">
        <v>1</v>
      </c>
      <c r="AG43" s="62">
        <v>1</v>
      </c>
      <c r="AH43" s="62">
        <v>1</v>
      </c>
      <c r="AI43" s="62">
        <v>1</v>
      </c>
      <c r="AJ43" s="63">
        <v>1</v>
      </c>
      <c r="AK43" s="61">
        <v>1</v>
      </c>
      <c r="AL43" s="62">
        <v>1</v>
      </c>
      <c r="AM43" s="62">
        <v>1</v>
      </c>
      <c r="AN43" s="62">
        <v>1</v>
      </c>
      <c r="AO43" s="62">
        <v>1</v>
      </c>
      <c r="AP43" s="62">
        <v>1</v>
      </c>
      <c r="AQ43" s="62"/>
      <c r="AR43" s="63"/>
      <c r="AS43" s="153" t="s">
        <v>115</v>
      </c>
      <c r="AT43" s="133"/>
      <c r="AU43" s="133"/>
      <c r="AV43" s="133"/>
      <c r="AW43" s="133"/>
      <c r="AX43" s="133"/>
      <c r="AY43" s="133"/>
      <c r="AZ43" s="134"/>
      <c r="BA43" s="37">
        <f t="shared" si="33"/>
        <v>38</v>
      </c>
      <c r="BB43" s="9">
        <f t="shared" si="3"/>
        <v>38</v>
      </c>
      <c r="BC43" s="10">
        <f t="shared" si="4"/>
        <v>100</v>
      </c>
    </row>
    <row r="44" spans="1:55" ht="15" customHeight="1" x14ac:dyDescent="0.35">
      <c r="A44" s="29">
        <v>820323205097</v>
      </c>
      <c r="B44" s="30" t="s">
        <v>54</v>
      </c>
      <c r="C44" s="11"/>
      <c r="D44" s="46"/>
      <c r="E44" s="61" t="s">
        <v>124</v>
      </c>
      <c r="F44" s="62" t="str">
        <f t="shared" ref="F44:L44" si="38">E44</f>
        <v>a</v>
      </c>
      <c r="G44" s="62" t="str">
        <f t="shared" si="38"/>
        <v>a</v>
      </c>
      <c r="H44" s="62" t="str">
        <f t="shared" si="38"/>
        <v>a</v>
      </c>
      <c r="I44" s="62" t="str">
        <f t="shared" si="38"/>
        <v>a</v>
      </c>
      <c r="J44" s="62" t="str">
        <f t="shared" si="38"/>
        <v>a</v>
      </c>
      <c r="K44" s="62" t="str">
        <f t="shared" si="38"/>
        <v>a</v>
      </c>
      <c r="L44" s="62" t="str">
        <f t="shared" si="38"/>
        <v>a</v>
      </c>
      <c r="M44" s="67" t="s">
        <v>124</v>
      </c>
      <c r="N44" s="68" t="s">
        <v>124</v>
      </c>
      <c r="O44" s="68" t="s">
        <v>124</v>
      </c>
      <c r="P44" s="68" t="s">
        <v>124</v>
      </c>
      <c r="Q44" s="68" t="s">
        <v>124</v>
      </c>
      <c r="R44" s="68" t="s">
        <v>124</v>
      </c>
      <c r="S44" s="68" t="s">
        <v>124</v>
      </c>
      <c r="T44" s="69" t="s">
        <v>124</v>
      </c>
      <c r="U44" s="67" t="s">
        <v>124</v>
      </c>
      <c r="V44" s="68" t="s">
        <v>124</v>
      </c>
      <c r="W44" s="68" t="s">
        <v>124</v>
      </c>
      <c r="X44" s="68" t="s">
        <v>124</v>
      </c>
      <c r="Y44" s="68" t="s">
        <v>124</v>
      </c>
      <c r="Z44" s="68" t="s">
        <v>124</v>
      </c>
      <c r="AA44" s="68" t="s">
        <v>124</v>
      </c>
      <c r="AB44" s="69" t="s">
        <v>124</v>
      </c>
      <c r="AC44" s="67" t="s">
        <v>124</v>
      </c>
      <c r="AD44" s="68" t="s">
        <v>124</v>
      </c>
      <c r="AE44" s="68" t="s">
        <v>124</v>
      </c>
      <c r="AF44" s="68" t="s">
        <v>124</v>
      </c>
      <c r="AG44" s="68" t="s">
        <v>124</v>
      </c>
      <c r="AH44" s="68" t="s">
        <v>124</v>
      </c>
      <c r="AI44" s="68" t="s">
        <v>124</v>
      </c>
      <c r="AJ44" s="69" t="s">
        <v>124</v>
      </c>
      <c r="AK44" s="67" t="s">
        <v>124</v>
      </c>
      <c r="AL44" s="68" t="s">
        <v>124</v>
      </c>
      <c r="AM44" s="68" t="s">
        <v>124</v>
      </c>
      <c r="AN44" s="68" t="s">
        <v>124</v>
      </c>
      <c r="AO44" s="68" t="s">
        <v>124</v>
      </c>
      <c r="AP44" s="68" t="s">
        <v>124</v>
      </c>
      <c r="AQ44" s="68"/>
      <c r="AR44" s="69"/>
      <c r="AS44" s="135"/>
      <c r="AT44" s="136"/>
      <c r="AU44" s="136"/>
      <c r="AV44" s="136"/>
      <c r="AW44" s="136"/>
      <c r="AX44" s="136"/>
      <c r="AY44" s="136"/>
      <c r="AZ44" s="137"/>
      <c r="BA44" s="37">
        <f t="shared" si="33"/>
        <v>0</v>
      </c>
      <c r="BB44" s="9">
        <f t="shared" si="3"/>
        <v>0</v>
      </c>
      <c r="BC44" s="10">
        <f t="shared" si="4"/>
        <v>0</v>
      </c>
    </row>
    <row r="45" spans="1:55" ht="15" customHeight="1" x14ac:dyDescent="0.35">
      <c r="A45" s="29">
        <v>820323205098</v>
      </c>
      <c r="B45" s="30" t="s">
        <v>55</v>
      </c>
      <c r="C45" s="11"/>
      <c r="D45" s="46"/>
      <c r="E45" s="61">
        <v>1</v>
      </c>
      <c r="F45" s="62">
        <f t="shared" ref="F45:L45" si="39">E45</f>
        <v>1</v>
      </c>
      <c r="G45" s="62">
        <f t="shared" si="39"/>
        <v>1</v>
      </c>
      <c r="H45" s="62">
        <f t="shared" si="39"/>
        <v>1</v>
      </c>
      <c r="I45" s="62">
        <f t="shared" si="39"/>
        <v>1</v>
      </c>
      <c r="J45" s="62">
        <f t="shared" si="39"/>
        <v>1</v>
      </c>
      <c r="K45" s="62">
        <f t="shared" si="39"/>
        <v>1</v>
      </c>
      <c r="L45" s="62">
        <f t="shared" si="39"/>
        <v>1</v>
      </c>
      <c r="M45" s="67">
        <v>1</v>
      </c>
      <c r="N45" s="68">
        <v>1</v>
      </c>
      <c r="O45" s="68">
        <v>1</v>
      </c>
      <c r="P45" s="68">
        <v>1</v>
      </c>
      <c r="Q45" s="68">
        <v>1</v>
      </c>
      <c r="R45" s="68">
        <v>1</v>
      </c>
      <c r="S45" s="68">
        <v>1</v>
      </c>
      <c r="T45" s="69">
        <v>1</v>
      </c>
      <c r="U45" s="67">
        <v>1</v>
      </c>
      <c r="V45" s="68">
        <v>1</v>
      </c>
      <c r="W45" s="68">
        <v>1</v>
      </c>
      <c r="X45" s="68">
        <v>1</v>
      </c>
      <c r="Y45" s="68">
        <v>1</v>
      </c>
      <c r="Z45" s="68">
        <v>1</v>
      </c>
      <c r="AA45" s="68">
        <v>1</v>
      </c>
      <c r="AB45" s="69">
        <v>1</v>
      </c>
      <c r="AC45" s="67">
        <v>1</v>
      </c>
      <c r="AD45" s="68">
        <v>1</v>
      </c>
      <c r="AE45" s="68">
        <v>1</v>
      </c>
      <c r="AF45" s="68">
        <v>1</v>
      </c>
      <c r="AG45" s="68">
        <v>1</v>
      </c>
      <c r="AH45" s="68">
        <v>1</v>
      </c>
      <c r="AI45" s="68">
        <v>1</v>
      </c>
      <c r="AJ45" s="69">
        <v>1</v>
      </c>
      <c r="AK45" s="67">
        <v>1</v>
      </c>
      <c r="AL45" s="68">
        <v>1</v>
      </c>
      <c r="AM45" s="68">
        <v>1</v>
      </c>
      <c r="AN45" s="68">
        <v>1</v>
      </c>
      <c r="AO45" s="68">
        <v>1</v>
      </c>
      <c r="AP45" s="68">
        <v>1</v>
      </c>
      <c r="AQ45" s="68"/>
      <c r="AR45" s="69"/>
      <c r="AS45" s="135"/>
      <c r="AT45" s="136"/>
      <c r="AU45" s="136"/>
      <c r="AV45" s="136"/>
      <c r="AW45" s="136"/>
      <c r="AX45" s="136"/>
      <c r="AY45" s="136"/>
      <c r="AZ45" s="137"/>
      <c r="BA45" s="37">
        <f t="shared" si="33"/>
        <v>38</v>
      </c>
      <c r="BB45" s="9">
        <f t="shared" si="3"/>
        <v>38</v>
      </c>
      <c r="BC45" s="10">
        <f t="shared" si="4"/>
        <v>100</v>
      </c>
    </row>
    <row r="46" spans="1:55" ht="15" customHeight="1" x14ac:dyDescent="0.35">
      <c r="A46" s="29">
        <v>820323205099</v>
      </c>
      <c r="B46" s="30" t="s">
        <v>56</v>
      </c>
      <c r="C46" s="11"/>
      <c r="D46" s="46"/>
      <c r="E46" s="61">
        <v>1</v>
      </c>
      <c r="F46" s="62">
        <f t="shared" ref="F46:L46" si="40">E46</f>
        <v>1</v>
      </c>
      <c r="G46" s="62">
        <f t="shared" si="40"/>
        <v>1</v>
      </c>
      <c r="H46" s="62">
        <f t="shared" si="40"/>
        <v>1</v>
      </c>
      <c r="I46" s="62">
        <f t="shared" si="40"/>
        <v>1</v>
      </c>
      <c r="J46" s="62">
        <f t="shared" si="40"/>
        <v>1</v>
      </c>
      <c r="K46" s="62">
        <f t="shared" si="40"/>
        <v>1</v>
      </c>
      <c r="L46" s="62">
        <f t="shared" si="40"/>
        <v>1</v>
      </c>
      <c r="M46" s="67">
        <v>1</v>
      </c>
      <c r="N46" s="68">
        <v>1</v>
      </c>
      <c r="O46" s="68">
        <v>1</v>
      </c>
      <c r="P46" s="68">
        <v>1</v>
      </c>
      <c r="Q46" s="68">
        <v>1</v>
      </c>
      <c r="R46" s="68">
        <v>1</v>
      </c>
      <c r="S46" s="68">
        <v>1</v>
      </c>
      <c r="T46" s="69">
        <v>1</v>
      </c>
      <c r="U46" s="67">
        <v>1</v>
      </c>
      <c r="V46" s="68">
        <v>1</v>
      </c>
      <c r="W46" s="68">
        <v>1</v>
      </c>
      <c r="X46" s="68">
        <v>1</v>
      </c>
      <c r="Y46" s="68">
        <v>1</v>
      </c>
      <c r="Z46" s="68">
        <v>1</v>
      </c>
      <c r="AA46" s="68">
        <v>1</v>
      </c>
      <c r="AB46" s="69">
        <v>1</v>
      </c>
      <c r="AC46" s="67">
        <v>1</v>
      </c>
      <c r="AD46" s="68">
        <v>1</v>
      </c>
      <c r="AE46" s="68">
        <v>1</v>
      </c>
      <c r="AF46" s="68">
        <v>1</v>
      </c>
      <c r="AG46" s="68">
        <v>1</v>
      </c>
      <c r="AH46" s="68">
        <v>1</v>
      </c>
      <c r="AI46" s="68">
        <v>1</v>
      </c>
      <c r="AJ46" s="69">
        <v>1</v>
      </c>
      <c r="AK46" s="67" t="s">
        <v>124</v>
      </c>
      <c r="AL46" s="68" t="s">
        <v>124</v>
      </c>
      <c r="AM46" s="68" t="s">
        <v>124</v>
      </c>
      <c r="AN46" s="68" t="s">
        <v>124</v>
      </c>
      <c r="AO46" s="68" t="s">
        <v>124</v>
      </c>
      <c r="AP46" s="68" t="s">
        <v>124</v>
      </c>
      <c r="AQ46" s="68"/>
      <c r="AR46" s="69"/>
      <c r="AS46" s="135"/>
      <c r="AT46" s="136"/>
      <c r="AU46" s="136"/>
      <c r="AV46" s="136"/>
      <c r="AW46" s="136"/>
      <c r="AX46" s="136"/>
      <c r="AY46" s="136"/>
      <c r="AZ46" s="137"/>
      <c r="BA46" s="37">
        <f t="shared" si="33"/>
        <v>32</v>
      </c>
      <c r="BB46" s="9">
        <f t="shared" si="3"/>
        <v>32</v>
      </c>
      <c r="BC46" s="10">
        <f t="shared" si="4"/>
        <v>84</v>
      </c>
    </row>
    <row r="47" spans="1:55" ht="15" customHeight="1" x14ac:dyDescent="0.35">
      <c r="A47" s="29">
        <v>820323205100</v>
      </c>
      <c r="B47" s="30" t="s">
        <v>57</v>
      </c>
      <c r="C47" s="11"/>
      <c r="D47" s="46"/>
      <c r="E47" s="61">
        <v>1</v>
      </c>
      <c r="F47" s="62">
        <f t="shared" ref="F47:L47" si="41">E47</f>
        <v>1</v>
      </c>
      <c r="G47" s="62">
        <f t="shared" si="41"/>
        <v>1</v>
      </c>
      <c r="H47" s="62">
        <f t="shared" si="41"/>
        <v>1</v>
      </c>
      <c r="I47" s="62">
        <f t="shared" si="41"/>
        <v>1</v>
      </c>
      <c r="J47" s="62">
        <f t="shared" si="41"/>
        <v>1</v>
      </c>
      <c r="K47" s="62">
        <f t="shared" si="41"/>
        <v>1</v>
      </c>
      <c r="L47" s="62">
        <f t="shared" si="41"/>
        <v>1</v>
      </c>
      <c r="M47" s="67">
        <v>1</v>
      </c>
      <c r="N47" s="68">
        <v>1</v>
      </c>
      <c r="O47" s="68">
        <v>1</v>
      </c>
      <c r="P47" s="68">
        <v>1</v>
      </c>
      <c r="Q47" s="68">
        <v>1</v>
      </c>
      <c r="R47" s="68">
        <v>1</v>
      </c>
      <c r="S47" s="68">
        <v>1</v>
      </c>
      <c r="T47" s="69">
        <v>1</v>
      </c>
      <c r="U47" s="67">
        <v>1</v>
      </c>
      <c r="V47" s="68">
        <v>1</v>
      </c>
      <c r="W47" s="68">
        <v>1</v>
      </c>
      <c r="X47" s="68">
        <v>1</v>
      </c>
      <c r="Y47" s="68">
        <v>1</v>
      </c>
      <c r="Z47" s="68">
        <v>1</v>
      </c>
      <c r="AA47" s="68">
        <v>1</v>
      </c>
      <c r="AB47" s="69">
        <v>1</v>
      </c>
      <c r="AC47" s="67">
        <v>1</v>
      </c>
      <c r="AD47" s="68">
        <v>1</v>
      </c>
      <c r="AE47" s="68">
        <v>1</v>
      </c>
      <c r="AF47" s="68">
        <v>1</v>
      </c>
      <c r="AG47" s="68">
        <v>1</v>
      </c>
      <c r="AH47" s="68">
        <v>1</v>
      </c>
      <c r="AI47" s="68">
        <v>1</v>
      </c>
      <c r="AJ47" s="69">
        <v>1</v>
      </c>
      <c r="AK47" s="67" t="s">
        <v>124</v>
      </c>
      <c r="AL47" s="68" t="s">
        <v>124</v>
      </c>
      <c r="AM47" s="68" t="s">
        <v>124</v>
      </c>
      <c r="AN47" s="68" t="s">
        <v>124</v>
      </c>
      <c r="AO47" s="68" t="s">
        <v>124</v>
      </c>
      <c r="AP47" s="68" t="s">
        <v>124</v>
      </c>
      <c r="AQ47" s="68"/>
      <c r="AR47" s="69"/>
      <c r="AS47" s="135"/>
      <c r="AT47" s="136"/>
      <c r="AU47" s="136"/>
      <c r="AV47" s="136"/>
      <c r="AW47" s="136"/>
      <c r="AX47" s="136"/>
      <c r="AY47" s="136"/>
      <c r="AZ47" s="137"/>
      <c r="BA47" s="37">
        <f t="shared" si="33"/>
        <v>32</v>
      </c>
      <c r="BB47" s="9">
        <f t="shared" si="3"/>
        <v>32</v>
      </c>
      <c r="BC47" s="10">
        <f t="shared" si="4"/>
        <v>84</v>
      </c>
    </row>
    <row r="48" spans="1:55" ht="15" customHeight="1" x14ac:dyDescent="0.35">
      <c r="A48" s="29">
        <v>820323205101</v>
      </c>
      <c r="B48" s="30" t="s">
        <v>58</v>
      </c>
      <c r="C48" s="11"/>
      <c r="D48" s="46"/>
      <c r="E48" s="61" t="s">
        <v>124</v>
      </c>
      <c r="F48" s="62" t="str">
        <f t="shared" ref="F48:L48" si="42">E48</f>
        <v>a</v>
      </c>
      <c r="G48" s="62">
        <v>1</v>
      </c>
      <c r="H48" s="62">
        <f t="shared" si="42"/>
        <v>1</v>
      </c>
      <c r="I48" s="62">
        <f t="shared" si="42"/>
        <v>1</v>
      </c>
      <c r="J48" s="62">
        <f t="shared" si="42"/>
        <v>1</v>
      </c>
      <c r="K48" s="62">
        <f t="shared" si="42"/>
        <v>1</v>
      </c>
      <c r="L48" s="62">
        <f t="shared" si="42"/>
        <v>1</v>
      </c>
      <c r="M48" s="67">
        <v>1</v>
      </c>
      <c r="N48" s="68">
        <v>1</v>
      </c>
      <c r="O48" s="68">
        <v>1</v>
      </c>
      <c r="P48" s="68">
        <v>1</v>
      </c>
      <c r="Q48" s="68">
        <v>1</v>
      </c>
      <c r="R48" s="68">
        <v>1</v>
      </c>
      <c r="S48" s="68">
        <v>1</v>
      </c>
      <c r="T48" s="69">
        <v>1</v>
      </c>
      <c r="U48" s="67">
        <v>1</v>
      </c>
      <c r="V48" s="68">
        <v>1</v>
      </c>
      <c r="W48" s="68">
        <v>1</v>
      </c>
      <c r="X48" s="68">
        <v>1</v>
      </c>
      <c r="Y48" s="68">
        <v>1</v>
      </c>
      <c r="Z48" s="68">
        <v>1</v>
      </c>
      <c r="AA48" s="68">
        <v>1</v>
      </c>
      <c r="AB48" s="69">
        <v>1</v>
      </c>
      <c r="AC48" s="67">
        <v>1</v>
      </c>
      <c r="AD48" s="68">
        <v>1</v>
      </c>
      <c r="AE48" s="68">
        <v>1</v>
      </c>
      <c r="AF48" s="68">
        <v>1</v>
      </c>
      <c r="AG48" s="68">
        <v>1</v>
      </c>
      <c r="AH48" s="68">
        <v>1</v>
      </c>
      <c r="AI48" s="68">
        <v>1</v>
      </c>
      <c r="AJ48" s="69">
        <v>1</v>
      </c>
      <c r="AK48" s="67" t="s">
        <v>124</v>
      </c>
      <c r="AL48" s="68" t="s">
        <v>124</v>
      </c>
      <c r="AM48" s="68" t="s">
        <v>124</v>
      </c>
      <c r="AN48" s="68" t="s">
        <v>124</v>
      </c>
      <c r="AO48" s="68" t="s">
        <v>124</v>
      </c>
      <c r="AP48" s="68" t="s">
        <v>124</v>
      </c>
      <c r="AQ48" s="68"/>
      <c r="AR48" s="69"/>
      <c r="AS48" s="135"/>
      <c r="AT48" s="136"/>
      <c r="AU48" s="136"/>
      <c r="AV48" s="136"/>
      <c r="AW48" s="136"/>
      <c r="AX48" s="136"/>
      <c r="AY48" s="136"/>
      <c r="AZ48" s="137"/>
      <c r="BA48" s="37">
        <f t="shared" si="33"/>
        <v>30</v>
      </c>
      <c r="BB48" s="9">
        <f t="shared" si="3"/>
        <v>30</v>
      </c>
      <c r="BC48" s="10">
        <f t="shared" si="4"/>
        <v>79</v>
      </c>
    </row>
    <row r="49" spans="1:55" ht="15" customHeight="1" x14ac:dyDescent="0.35">
      <c r="A49" s="29">
        <v>820323205102</v>
      </c>
      <c r="B49" s="30" t="s">
        <v>59</v>
      </c>
      <c r="C49" s="11"/>
      <c r="D49" s="46"/>
      <c r="E49" s="61">
        <v>1</v>
      </c>
      <c r="F49" s="62">
        <f t="shared" ref="F49:L49" si="43">E49</f>
        <v>1</v>
      </c>
      <c r="G49" s="62">
        <f t="shared" si="43"/>
        <v>1</v>
      </c>
      <c r="H49" s="62">
        <f t="shared" si="43"/>
        <v>1</v>
      </c>
      <c r="I49" s="62">
        <f t="shared" si="43"/>
        <v>1</v>
      </c>
      <c r="J49" s="62">
        <f t="shared" si="43"/>
        <v>1</v>
      </c>
      <c r="K49" s="62">
        <f t="shared" si="43"/>
        <v>1</v>
      </c>
      <c r="L49" s="62">
        <f t="shared" si="43"/>
        <v>1</v>
      </c>
      <c r="M49" s="67">
        <v>1</v>
      </c>
      <c r="N49" s="68">
        <v>1</v>
      </c>
      <c r="O49" s="68">
        <v>1</v>
      </c>
      <c r="P49" s="68">
        <v>1</v>
      </c>
      <c r="Q49" s="68">
        <v>1</v>
      </c>
      <c r="R49" s="68">
        <v>1</v>
      </c>
      <c r="S49" s="68">
        <v>1</v>
      </c>
      <c r="T49" s="69">
        <v>1</v>
      </c>
      <c r="U49" s="67">
        <v>1</v>
      </c>
      <c r="V49" s="68">
        <v>1</v>
      </c>
      <c r="W49" s="68">
        <v>1</v>
      </c>
      <c r="X49" s="68">
        <v>1</v>
      </c>
      <c r="Y49" s="68">
        <v>1</v>
      </c>
      <c r="Z49" s="68">
        <v>1</v>
      </c>
      <c r="AA49" s="68">
        <v>1</v>
      </c>
      <c r="AB49" s="69">
        <v>1</v>
      </c>
      <c r="AC49" s="67">
        <v>1</v>
      </c>
      <c r="AD49" s="68">
        <v>1</v>
      </c>
      <c r="AE49" s="68">
        <v>1</v>
      </c>
      <c r="AF49" s="68">
        <v>1</v>
      </c>
      <c r="AG49" s="68">
        <v>1</v>
      </c>
      <c r="AH49" s="68">
        <v>1</v>
      </c>
      <c r="AI49" s="68">
        <v>1</v>
      </c>
      <c r="AJ49" s="69">
        <v>1</v>
      </c>
      <c r="AK49" s="67">
        <v>1</v>
      </c>
      <c r="AL49" s="68">
        <v>1</v>
      </c>
      <c r="AM49" s="68">
        <v>1</v>
      </c>
      <c r="AN49" s="68">
        <v>1</v>
      </c>
      <c r="AO49" s="68">
        <v>1</v>
      </c>
      <c r="AP49" s="68">
        <v>1</v>
      </c>
      <c r="AQ49" s="68"/>
      <c r="AR49" s="69"/>
      <c r="AS49" s="135"/>
      <c r="AT49" s="136"/>
      <c r="AU49" s="136"/>
      <c r="AV49" s="136"/>
      <c r="AW49" s="136"/>
      <c r="AX49" s="136"/>
      <c r="AY49" s="136"/>
      <c r="AZ49" s="137"/>
      <c r="BA49" s="37">
        <f t="shared" si="33"/>
        <v>38</v>
      </c>
      <c r="BB49" s="9">
        <f t="shared" si="3"/>
        <v>38</v>
      </c>
      <c r="BC49" s="10">
        <f t="shared" si="4"/>
        <v>100</v>
      </c>
    </row>
    <row r="50" spans="1:55" ht="15" customHeight="1" x14ac:dyDescent="0.35">
      <c r="A50" s="29">
        <v>820323205103</v>
      </c>
      <c r="B50" s="30" t="s">
        <v>60</v>
      </c>
      <c r="C50" s="11"/>
      <c r="D50" s="46"/>
      <c r="E50" s="61">
        <v>1</v>
      </c>
      <c r="F50" s="62">
        <f t="shared" ref="F50:L50" si="44">E50</f>
        <v>1</v>
      </c>
      <c r="G50" s="62">
        <f t="shared" si="44"/>
        <v>1</v>
      </c>
      <c r="H50" s="62">
        <f t="shared" si="44"/>
        <v>1</v>
      </c>
      <c r="I50" s="62">
        <f t="shared" si="44"/>
        <v>1</v>
      </c>
      <c r="J50" s="62">
        <f t="shared" si="44"/>
        <v>1</v>
      </c>
      <c r="K50" s="62">
        <f t="shared" si="44"/>
        <v>1</v>
      </c>
      <c r="L50" s="62">
        <f t="shared" si="44"/>
        <v>1</v>
      </c>
      <c r="M50" s="67">
        <v>1</v>
      </c>
      <c r="N50" s="68">
        <v>1</v>
      </c>
      <c r="O50" s="68">
        <v>1</v>
      </c>
      <c r="P50" s="68">
        <v>1</v>
      </c>
      <c r="Q50" s="68">
        <v>1</v>
      </c>
      <c r="R50" s="68">
        <v>1</v>
      </c>
      <c r="S50" s="68">
        <v>1</v>
      </c>
      <c r="T50" s="69">
        <v>1</v>
      </c>
      <c r="U50" s="67">
        <v>1</v>
      </c>
      <c r="V50" s="68">
        <v>1</v>
      </c>
      <c r="W50" s="68">
        <v>1</v>
      </c>
      <c r="X50" s="68">
        <v>1</v>
      </c>
      <c r="Y50" s="68">
        <v>1</v>
      </c>
      <c r="Z50" s="68">
        <v>1</v>
      </c>
      <c r="AA50" s="68">
        <v>1</v>
      </c>
      <c r="AB50" s="69">
        <v>1</v>
      </c>
      <c r="AC50" s="67">
        <v>1</v>
      </c>
      <c r="AD50" s="68">
        <v>1</v>
      </c>
      <c r="AE50" s="68">
        <v>1</v>
      </c>
      <c r="AF50" s="68">
        <v>1</v>
      </c>
      <c r="AG50" s="68">
        <v>1</v>
      </c>
      <c r="AH50" s="68">
        <v>1</v>
      </c>
      <c r="AI50" s="68">
        <v>1</v>
      </c>
      <c r="AJ50" s="69">
        <v>1</v>
      </c>
      <c r="AK50" s="67" t="s">
        <v>124</v>
      </c>
      <c r="AL50" s="68" t="s">
        <v>124</v>
      </c>
      <c r="AM50" s="68" t="s">
        <v>124</v>
      </c>
      <c r="AN50" s="68" t="s">
        <v>124</v>
      </c>
      <c r="AO50" s="68" t="s">
        <v>124</v>
      </c>
      <c r="AP50" s="68" t="s">
        <v>124</v>
      </c>
      <c r="AQ50" s="68"/>
      <c r="AR50" s="69"/>
      <c r="AS50" s="135"/>
      <c r="AT50" s="136"/>
      <c r="AU50" s="136"/>
      <c r="AV50" s="136"/>
      <c r="AW50" s="136"/>
      <c r="AX50" s="136"/>
      <c r="AY50" s="136"/>
      <c r="AZ50" s="137"/>
      <c r="BA50" s="37">
        <f t="shared" si="33"/>
        <v>32</v>
      </c>
      <c r="BB50" s="9">
        <f t="shared" si="3"/>
        <v>32</v>
      </c>
      <c r="BC50" s="10">
        <f t="shared" si="4"/>
        <v>84</v>
      </c>
    </row>
    <row r="51" spans="1:55" ht="15" customHeight="1" x14ac:dyDescent="0.35">
      <c r="A51" s="29">
        <v>820323205104</v>
      </c>
      <c r="B51" s="30" t="s">
        <v>61</v>
      </c>
      <c r="C51" s="11"/>
      <c r="D51" s="46"/>
      <c r="E51" s="61">
        <v>1</v>
      </c>
      <c r="F51" s="62">
        <f t="shared" ref="F51:L51" si="45">E51</f>
        <v>1</v>
      </c>
      <c r="G51" s="62">
        <f t="shared" si="45"/>
        <v>1</v>
      </c>
      <c r="H51" s="62">
        <f t="shared" si="45"/>
        <v>1</v>
      </c>
      <c r="I51" s="62">
        <f t="shared" si="45"/>
        <v>1</v>
      </c>
      <c r="J51" s="62">
        <f t="shared" si="45"/>
        <v>1</v>
      </c>
      <c r="K51" s="62">
        <f t="shared" si="45"/>
        <v>1</v>
      </c>
      <c r="L51" s="62">
        <f t="shared" si="45"/>
        <v>1</v>
      </c>
      <c r="M51" s="67">
        <v>1</v>
      </c>
      <c r="N51" s="68">
        <v>1</v>
      </c>
      <c r="O51" s="68">
        <v>1</v>
      </c>
      <c r="P51" s="68">
        <v>1</v>
      </c>
      <c r="Q51" s="68">
        <v>1</v>
      </c>
      <c r="R51" s="68">
        <v>1</v>
      </c>
      <c r="S51" s="68">
        <v>1</v>
      </c>
      <c r="T51" s="69">
        <v>1</v>
      </c>
      <c r="U51" s="67">
        <v>1</v>
      </c>
      <c r="V51" s="68">
        <v>1</v>
      </c>
      <c r="W51" s="68">
        <v>1</v>
      </c>
      <c r="X51" s="68">
        <v>1</v>
      </c>
      <c r="Y51" s="68">
        <v>1</v>
      </c>
      <c r="Z51" s="68">
        <v>1</v>
      </c>
      <c r="AA51" s="68">
        <v>1</v>
      </c>
      <c r="AB51" s="69">
        <v>1</v>
      </c>
      <c r="AC51" s="67">
        <v>1</v>
      </c>
      <c r="AD51" s="68">
        <v>1</v>
      </c>
      <c r="AE51" s="68">
        <v>1</v>
      </c>
      <c r="AF51" s="68">
        <v>1</v>
      </c>
      <c r="AG51" s="68">
        <v>1</v>
      </c>
      <c r="AH51" s="68">
        <v>1</v>
      </c>
      <c r="AI51" s="68">
        <v>1</v>
      </c>
      <c r="AJ51" s="69">
        <v>1</v>
      </c>
      <c r="AK51" s="67" t="s">
        <v>124</v>
      </c>
      <c r="AL51" s="68" t="s">
        <v>124</v>
      </c>
      <c r="AM51" s="68" t="s">
        <v>124</v>
      </c>
      <c r="AN51" s="68" t="s">
        <v>124</v>
      </c>
      <c r="AO51" s="68" t="s">
        <v>124</v>
      </c>
      <c r="AP51" s="68" t="s">
        <v>124</v>
      </c>
      <c r="AQ51" s="68"/>
      <c r="AR51" s="69"/>
      <c r="AS51" s="135"/>
      <c r="AT51" s="136"/>
      <c r="AU51" s="136"/>
      <c r="AV51" s="136"/>
      <c r="AW51" s="136"/>
      <c r="AX51" s="136"/>
      <c r="AY51" s="136"/>
      <c r="AZ51" s="137"/>
      <c r="BA51" s="37">
        <f t="shared" si="33"/>
        <v>32</v>
      </c>
      <c r="BB51" s="9">
        <f t="shared" si="3"/>
        <v>32</v>
      </c>
      <c r="BC51" s="10">
        <f t="shared" si="4"/>
        <v>84</v>
      </c>
    </row>
    <row r="52" spans="1:55" ht="15" customHeight="1" x14ac:dyDescent="0.35">
      <c r="A52" s="29">
        <v>820323205105</v>
      </c>
      <c r="B52" s="30" t="s">
        <v>62</v>
      </c>
      <c r="C52" s="11"/>
      <c r="D52" s="46"/>
      <c r="E52" s="61">
        <v>1</v>
      </c>
      <c r="F52" s="62">
        <f t="shared" ref="F52:L52" si="46">E52</f>
        <v>1</v>
      </c>
      <c r="G52" s="62">
        <f t="shared" si="46"/>
        <v>1</v>
      </c>
      <c r="H52" s="62">
        <f t="shared" si="46"/>
        <v>1</v>
      </c>
      <c r="I52" s="62">
        <f t="shared" si="46"/>
        <v>1</v>
      </c>
      <c r="J52" s="62">
        <f t="shared" si="46"/>
        <v>1</v>
      </c>
      <c r="K52" s="62">
        <f t="shared" si="46"/>
        <v>1</v>
      </c>
      <c r="L52" s="62">
        <f t="shared" si="46"/>
        <v>1</v>
      </c>
      <c r="M52" s="67">
        <v>1</v>
      </c>
      <c r="N52" s="68">
        <v>1</v>
      </c>
      <c r="O52" s="68">
        <v>1</v>
      </c>
      <c r="P52" s="68">
        <v>1</v>
      </c>
      <c r="Q52" s="68">
        <v>1</v>
      </c>
      <c r="R52" s="68">
        <v>1</v>
      </c>
      <c r="S52" s="68">
        <v>1</v>
      </c>
      <c r="T52" s="69">
        <v>1</v>
      </c>
      <c r="U52" s="67">
        <v>1</v>
      </c>
      <c r="V52" s="68">
        <v>1</v>
      </c>
      <c r="W52" s="68">
        <v>1</v>
      </c>
      <c r="X52" s="68">
        <v>1</v>
      </c>
      <c r="Y52" s="68">
        <v>1</v>
      </c>
      <c r="Z52" s="68">
        <v>1</v>
      </c>
      <c r="AA52" s="68">
        <v>1</v>
      </c>
      <c r="AB52" s="69">
        <v>1</v>
      </c>
      <c r="AC52" s="67">
        <v>1</v>
      </c>
      <c r="AD52" s="68">
        <v>1</v>
      </c>
      <c r="AE52" s="68">
        <v>1</v>
      </c>
      <c r="AF52" s="68">
        <v>1</v>
      </c>
      <c r="AG52" s="68">
        <v>1</v>
      </c>
      <c r="AH52" s="68">
        <v>1</v>
      </c>
      <c r="AI52" s="68">
        <v>1</v>
      </c>
      <c r="AJ52" s="69">
        <v>1</v>
      </c>
      <c r="AK52" s="67" t="s">
        <v>124</v>
      </c>
      <c r="AL52" s="68" t="s">
        <v>124</v>
      </c>
      <c r="AM52" s="68" t="s">
        <v>124</v>
      </c>
      <c r="AN52" s="68" t="s">
        <v>124</v>
      </c>
      <c r="AO52" s="68" t="s">
        <v>124</v>
      </c>
      <c r="AP52" s="68" t="s">
        <v>124</v>
      </c>
      <c r="AQ52" s="68"/>
      <c r="AR52" s="69"/>
      <c r="AS52" s="135"/>
      <c r="AT52" s="136"/>
      <c r="AU52" s="136"/>
      <c r="AV52" s="136"/>
      <c r="AW52" s="136"/>
      <c r="AX52" s="136"/>
      <c r="AY52" s="136"/>
      <c r="AZ52" s="137"/>
      <c r="BA52" s="37">
        <f t="shared" si="33"/>
        <v>32</v>
      </c>
      <c r="BB52" s="9">
        <f t="shared" si="3"/>
        <v>32</v>
      </c>
      <c r="BC52" s="10">
        <f t="shared" si="4"/>
        <v>84</v>
      </c>
    </row>
    <row r="53" spans="1:55" ht="15" customHeight="1" x14ac:dyDescent="0.35">
      <c r="A53" s="29">
        <v>820323205106</v>
      </c>
      <c r="B53" s="30" t="s">
        <v>63</v>
      </c>
      <c r="C53" s="11"/>
      <c r="D53" s="46"/>
      <c r="E53" s="61">
        <v>1</v>
      </c>
      <c r="F53" s="62">
        <f t="shared" ref="F53:L53" si="47">E53</f>
        <v>1</v>
      </c>
      <c r="G53" s="62">
        <f t="shared" si="47"/>
        <v>1</v>
      </c>
      <c r="H53" s="62">
        <f t="shared" si="47"/>
        <v>1</v>
      </c>
      <c r="I53" s="62">
        <f t="shared" si="47"/>
        <v>1</v>
      </c>
      <c r="J53" s="62">
        <f t="shared" si="47"/>
        <v>1</v>
      </c>
      <c r="K53" s="62">
        <f t="shared" si="47"/>
        <v>1</v>
      </c>
      <c r="L53" s="62">
        <f t="shared" si="47"/>
        <v>1</v>
      </c>
      <c r="M53" s="67">
        <v>1</v>
      </c>
      <c r="N53" s="68">
        <v>1</v>
      </c>
      <c r="O53" s="68">
        <v>1</v>
      </c>
      <c r="P53" s="68">
        <v>1</v>
      </c>
      <c r="Q53" s="68">
        <v>1</v>
      </c>
      <c r="R53" s="68">
        <v>1</v>
      </c>
      <c r="S53" s="68">
        <v>1</v>
      </c>
      <c r="T53" s="69">
        <v>1</v>
      </c>
      <c r="U53" s="67">
        <v>1</v>
      </c>
      <c r="V53" s="68">
        <v>1</v>
      </c>
      <c r="W53" s="68">
        <v>1</v>
      </c>
      <c r="X53" s="68">
        <v>1</v>
      </c>
      <c r="Y53" s="68">
        <v>1</v>
      </c>
      <c r="Z53" s="68">
        <v>1</v>
      </c>
      <c r="AA53" s="68">
        <v>1</v>
      </c>
      <c r="AB53" s="69">
        <v>1</v>
      </c>
      <c r="AC53" s="67">
        <v>1</v>
      </c>
      <c r="AD53" s="68">
        <v>1</v>
      </c>
      <c r="AE53" s="68">
        <v>1</v>
      </c>
      <c r="AF53" s="68">
        <v>1</v>
      </c>
      <c r="AG53" s="68">
        <v>1</v>
      </c>
      <c r="AH53" s="68">
        <v>1</v>
      </c>
      <c r="AI53" s="68">
        <v>1</v>
      </c>
      <c r="AJ53" s="69">
        <v>1</v>
      </c>
      <c r="AK53" s="67">
        <v>1</v>
      </c>
      <c r="AL53" s="68">
        <v>1</v>
      </c>
      <c r="AM53" s="68">
        <v>1</v>
      </c>
      <c r="AN53" s="68">
        <v>1</v>
      </c>
      <c r="AO53" s="68">
        <v>1</v>
      </c>
      <c r="AP53" s="68">
        <v>1</v>
      </c>
      <c r="AQ53" s="68"/>
      <c r="AR53" s="69"/>
      <c r="AS53" s="135"/>
      <c r="AT53" s="136"/>
      <c r="AU53" s="136"/>
      <c r="AV53" s="136"/>
      <c r="AW53" s="136"/>
      <c r="AX53" s="136"/>
      <c r="AY53" s="136"/>
      <c r="AZ53" s="137"/>
      <c r="BA53" s="37">
        <f t="shared" si="33"/>
        <v>38</v>
      </c>
      <c r="BB53" s="9">
        <f t="shared" si="3"/>
        <v>38</v>
      </c>
      <c r="BC53" s="10">
        <f t="shared" si="4"/>
        <v>100</v>
      </c>
    </row>
    <row r="54" spans="1:55" ht="15" customHeight="1" x14ac:dyDescent="0.35">
      <c r="A54" s="29">
        <v>820323205107</v>
      </c>
      <c r="B54" s="30" t="s">
        <v>64</v>
      </c>
      <c r="C54" s="12"/>
      <c r="D54" s="46"/>
      <c r="E54" s="61">
        <v>1</v>
      </c>
      <c r="F54" s="62">
        <f t="shared" ref="F54:L54" si="48">E54</f>
        <v>1</v>
      </c>
      <c r="G54" s="62">
        <f t="shared" si="48"/>
        <v>1</v>
      </c>
      <c r="H54" s="62">
        <f t="shared" si="48"/>
        <v>1</v>
      </c>
      <c r="I54" s="62">
        <f t="shared" si="48"/>
        <v>1</v>
      </c>
      <c r="J54" s="62">
        <f t="shared" si="48"/>
        <v>1</v>
      </c>
      <c r="K54" s="62">
        <f t="shared" si="48"/>
        <v>1</v>
      </c>
      <c r="L54" s="62">
        <f t="shared" si="48"/>
        <v>1</v>
      </c>
      <c r="M54" s="67">
        <v>1</v>
      </c>
      <c r="N54" s="68">
        <v>1</v>
      </c>
      <c r="O54" s="68">
        <v>1</v>
      </c>
      <c r="P54" s="68">
        <v>1</v>
      </c>
      <c r="Q54" s="68">
        <v>1</v>
      </c>
      <c r="R54" s="68">
        <v>1</v>
      </c>
      <c r="S54" s="68">
        <v>1</v>
      </c>
      <c r="T54" s="69">
        <v>1</v>
      </c>
      <c r="U54" s="67">
        <v>1</v>
      </c>
      <c r="V54" s="68">
        <v>1</v>
      </c>
      <c r="W54" s="68">
        <v>1</v>
      </c>
      <c r="X54" s="68">
        <v>1</v>
      </c>
      <c r="Y54" s="68">
        <v>1</v>
      </c>
      <c r="Z54" s="68">
        <v>1</v>
      </c>
      <c r="AA54" s="68">
        <v>1</v>
      </c>
      <c r="AB54" s="69">
        <v>1</v>
      </c>
      <c r="AC54" s="67" t="s">
        <v>124</v>
      </c>
      <c r="AD54" s="68" t="s">
        <v>124</v>
      </c>
      <c r="AE54" s="68" t="s">
        <v>124</v>
      </c>
      <c r="AF54" s="68" t="s">
        <v>124</v>
      </c>
      <c r="AG54" s="68" t="s">
        <v>124</v>
      </c>
      <c r="AH54" s="68" t="s">
        <v>124</v>
      </c>
      <c r="AI54" s="68" t="s">
        <v>124</v>
      </c>
      <c r="AJ54" s="69" t="s">
        <v>124</v>
      </c>
      <c r="AK54" s="67" t="s">
        <v>124</v>
      </c>
      <c r="AL54" s="68" t="s">
        <v>124</v>
      </c>
      <c r="AM54" s="68" t="s">
        <v>124</v>
      </c>
      <c r="AN54" s="68" t="s">
        <v>124</v>
      </c>
      <c r="AO54" s="68" t="s">
        <v>124</v>
      </c>
      <c r="AP54" s="68" t="s">
        <v>124</v>
      </c>
      <c r="AQ54" s="68"/>
      <c r="AR54" s="69"/>
      <c r="AS54" s="135"/>
      <c r="AT54" s="136"/>
      <c r="AU54" s="136"/>
      <c r="AV54" s="136"/>
      <c r="AW54" s="136"/>
      <c r="AX54" s="136"/>
      <c r="AY54" s="136"/>
      <c r="AZ54" s="137"/>
      <c r="BA54" s="37">
        <f t="shared" si="33"/>
        <v>24</v>
      </c>
      <c r="BB54" s="9">
        <f t="shared" si="3"/>
        <v>24</v>
      </c>
      <c r="BC54" s="10">
        <f t="shared" si="4"/>
        <v>63</v>
      </c>
    </row>
    <row r="55" spans="1:55" ht="15" customHeight="1" x14ac:dyDescent="0.35">
      <c r="A55" s="29">
        <v>820323205108</v>
      </c>
      <c r="B55" s="30" t="s">
        <v>65</v>
      </c>
      <c r="C55" s="11"/>
      <c r="D55" s="46"/>
      <c r="E55" s="61">
        <v>1</v>
      </c>
      <c r="F55" s="62">
        <f t="shared" ref="F55:L55" si="49">E55</f>
        <v>1</v>
      </c>
      <c r="G55" s="62">
        <f t="shared" si="49"/>
        <v>1</v>
      </c>
      <c r="H55" s="62">
        <f t="shared" si="49"/>
        <v>1</v>
      </c>
      <c r="I55" s="62">
        <f t="shared" si="49"/>
        <v>1</v>
      </c>
      <c r="J55" s="62">
        <f t="shared" si="49"/>
        <v>1</v>
      </c>
      <c r="K55" s="62">
        <f t="shared" si="49"/>
        <v>1</v>
      </c>
      <c r="L55" s="62">
        <f t="shared" si="49"/>
        <v>1</v>
      </c>
      <c r="M55" s="67">
        <v>1</v>
      </c>
      <c r="N55" s="68">
        <v>1</v>
      </c>
      <c r="O55" s="68">
        <v>1</v>
      </c>
      <c r="P55" s="68">
        <v>1</v>
      </c>
      <c r="Q55" s="68">
        <v>1</v>
      </c>
      <c r="R55" s="68">
        <v>1</v>
      </c>
      <c r="S55" s="68">
        <v>1</v>
      </c>
      <c r="T55" s="69">
        <v>1</v>
      </c>
      <c r="U55" s="67">
        <v>1</v>
      </c>
      <c r="V55" s="68">
        <v>1</v>
      </c>
      <c r="W55" s="68">
        <v>1</v>
      </c>
      <c r="X55" s="68">
        <v>1</v>
      </c>
      <c r="Y55" s="68">
        <v>1</v>
      </c>
      <c r="Z55" s="68">
        <v>1</v>
      </c>
      <c r="AA55" s="68">
        <v>1</v>
      </c>
      <c r="AB55" s="69">
        <v>1</v>
      </c>
      <c r="AC55" s="67">
        <v>1</v>
      </c>
      <c r="AD55" s="68">
        <v>1</v>
      </c>
      <c r="AE55" s="68">
        <v>1</v>
      </c>
      <c r="AF55" s="68">
        <v>1</v>
      </c>
      <c r="AG55" s="68">
        <v>1</v>
      </c>
      <c r="AH55" s="68">
        <v>1</v>
      </c>
      <c r="AI55" s="68">
        <v>1</v>
      </c>
      <c r="AJ55" s="69">
        <v>1</v>
      </c>
      <c r="AK55" s="67">
        <v>1</v>
      </c>
      <c r="AL55" s="68">
        <v>1</v>
      </c>
      <c r="AM55" s="68">
        <v>1</v>
      </c>
      <c r="AN55" s="68">
        <v>1</v>
      </c>
      <c r="AO55" s="68">
        <v>1</v>
      </c>
      <c r="AP55" s="68">
        <v>1</v>
      </c>
      <c r="AQ55" s="68"/>
      <c r="AR55" s="69"/>
      <c r="AS55" s="135"/>
      <c r="AT55" s="136"/>
      <c r="AU55" s="136"/>
      <c r="AV55" s="136"/>
      <c r="AW55" s="136"/>
      <c r="AX55" s="136"/>
      <c r="AY55" s="136"/>
      <c r="AZ55" s="137"/>
      <c r="BA55" s="37">
        <f t="shared" si="33"/>
        <v>38</v>
      </c>
      <c r="BB55" s="9">
        <f t="shared" si="3"/>
        <v>38</v>
      </c>
      <c r="BC55" s="10">
        <f t="shared" si="4"/>
        <v>100</v>
      </c>
    </row>
    <row r="56" spans="1:55" ht="15" customHeight="1" x14ac:dyDescent="0.35">
      <c r="A56" s="29">
        <v>820323205109</v>
      </c>
      <c r="B56" s="30" t="s">
        <v>66</v>
      </c>
      <c r="C56" s="11"/>
      <c r="D56" s="46"/>
      <c r="E56" s="61" t="s">
        <v>124</v>
      </c>
      <c r="F56" s="62" t="str">
        <f t="shared" ref="F56:L56" si="50">E56</f>
        <v>a</v>
      </c>
      <c r="G56" s="62" t="str">
        <f t="shared" si="50"/>
        <v>a</v>
      </c>
      <c r="H56" s="62" t="str">
        <f t="shared" si="50"/>
        <v>a</v>
      </c>
      <c r="I56" s="62" t="str">
        <f t="shared" si="50"/>
        <v>a</v>
      </c>
      <c r="J56" s="62" t="str">
        <f t="shared" si="50"/>
        <v>a</v>
      </c>
      <c r="K56" s="62" t="str">
        <f t="shared" si="50"/>
        <v>a</v>
      </c>
      <c r="L56" s="62" t="str">
        <f t="shared" si="50"/>
        <v>a</v>
      </c>
      <c r="M56" s="67">
        <v>1</v>
      </c>
      <c r="N56" s="68">
        <v>1</v>
      </c>
      <c r="O56" s="68">
        <v>1</v>
      </c>
      <c r="P56" s="68">
        <v>1</v>
      </c>
      <c r="Q56" s="68">
        <v>1</v>
      </c>
      <c r="R56" s="68">
        <v>1</v>
      </c>
      <c r="S56" s="68">
        <v>1</v>
      </c>
      <c r="T56" s="69">
        <v>1</v>
      </c>
      <c r="U56" s="67">
        <v>1</v>
      </c>
      <c r="V56" s="68">
        <v>1</v>
      </c>
      <c r="W56" s="68">
        <v>1</v>
      </c>
      <c r="X56" s="68">
        <v>1</v>
      </c>
      <c r="Y56" s="68">
        <v>1</v>
      </c>
      <c r="Z56" s="68">
        <v>1</v>
      </c>
      <c r="AA56" s="68">
        <v>1</v>
      </c>
      <c r="AB56" s="69">
        <v>1</v>
      </c>
      <c r="AC56" s="67">
        <v>1</v>
      </c>
      <c r="AD56" s="68">
        <v>1</v>
      </c>
      <c r="AE56" s="68">
        <v>1</v>
      </c>
      <c r="AF56" s="68">
        <v>1</v>
      </c>
      <c r="AG56" s="68">
        <v>1</v>
      </c>
      <c r="AH56" s="68">
        <v>1</v>
      </c>
      <c r="AI56" s="68">
        <v>1</v>
      </c>
      <c r="AJ56" s="69">
        <v>1</v>
      </c>
      <c r="AK56" s="67">
        <v>1</v>
      </c>
      <c r="AL56" s="68">
        <v>1</v>
      </c>
      <c r="AM56" s="68">
        <v>1</v>
      </c>
      <c r="AN56" s="68">
        <v>1</v>
      </c>
      <c r="AO56" s="68">
        <v>1</v>
      </c>
      <c r="AP56" s="68">
        <v>1</v>
      </c>
      <c r="AQ56" s="68"/>
      <c r="AR56" s="69"/>
      <c r="AS56" s="135"/>
      <c r="AT56" s="136"/>
      <c r="AU56" s="136"/>
      <c r="AV56" s="136"/>
      <c r="AW56" s="136"/>
      <c r="AX56" s="136"/>
      <c r="AY56" s="136"/>
      <c r="AZ56" s="137"/>
      <c r="BA56" s="37">
        <f t="shared" si="33"/>
        <v>30</v>
      </c>
      <c r="BB56" s="9">
        <f t="shared" si="3"/>
        <v>30</v>
      </c>
      <c r="BC56" s="10">
        <f t="shared" si="4"/>
        <v>79</v>
      </c>
    </row>
    <row r="57" spans="1:55" ht="15" customHeight="1" x14ac:dyDescent="0.35">
      <c r="A57" s="29">
        <v>820323205110</v>
      </c>
      <c r="B57" s="30" t="s">
        <v>67</v>
      </c>
      <c r="C57" s="13"/>
      <c r="D57" s="46"/>
      <c r="E57" s="61">
        <v>1</v>
      </c>
      <c r="F57" s="62">
        <f t="shared" ref="F57:L57" si="51">E57</f>
        <v>1</v>
      </c>
      <c r="G57" s="62">
        <f t="shared" si="51"/>
        <v>1</v>
      </c>
      <c r="H57" s="62">
        <f t="shared" si="51"/>
        <v>1</v>
      </c>
      <c r="I57" s="62">
        <f t="shared" si="51"/>
        <v>1</v>
      </c>
      <c r="J57" s="62">
        <f t="shared" si="51"/>
        <v>1</v>
      </c>
      <c r="K57" s="62">
        <f t="shared" si="51"/>
        <v>1</v>
      </c>
      <c r="L57" s="62">
        <f t="shared" si="51"/>
        <v>1</v>
      </c>
      <c r="M57" s="67">
        <v>1</v>
      </c>
      <c r="N57" s="68">
        <v>1</v>
      </c>
      <c r="O57" s="68">
        <v>1</v>
      </c>
      <c r="P57" s="68">
        <v>1</v>
      </c>
      <c r="Q57" s="68">
        <v>1</v>
      </c>
      <c r="R57" s="68">
        <v>1</v>
      </c>
      <c r="S57" s="68">
        <v>1</v>
      </c>
      <c r="T57" s="69">
        <v>1</v>
      </c>
      <c r="U57" s="67">
        <v>1</v>
      </c>
      <c r="V57" s="68">
        <v>1</v>
      </c>
      <c r="W57" s="68">
        <v>1</v>
      </c>
      <c r="X57" s="68">
        <v>1</v>
      </c>
      <c r="Y57" s="68">
        <v>1</v>
      </c>
      <c r="Z57" s="68">
        <v>1</v>
      </c>
      <c r="AA57" s="68">
        <v>1</v>
      </c>
      <c r="AB57" s="69">
        <v>1</v>
      </c>
      <c r="AC57" s="67" t="s">
        <v>124</v>
      </c>
      <c r="AD57" s="68" t="s">
        <v>124</v>
      </c>
      <c r="AE57" s="68" t="s">
        <v>124</v>
      </c>
      <c r="AF57" s="68" t="s">
        <v>124</v>
      </c>
      <c r="AG57" s="68" t="s">
        <v>124</v>
      </c>
      <c r="AH57" s="68" t="s">
        <v>124</v>
      </c>
      <c r="AI57" s="68" t="s">
        <v>124</v>
      </c>
      <c r="AJ57" s="69" t="s">
        <v>124</v>
      </c>
      <c r="AK57" s="67">
        <v>1</v>
      </c>
      <c r="AL57" s="68">
        <v>1</v>
      </c>
      <c r="AM57" s="68">
        <v>1</v>
      </c>
      <c r="AN57" s="68">
        <v>1</v>
      </c>
      <c r="AO57" s="68">
        <v>1</v>
      </c>
      <c r="AP57" s="68">
        <v>1</v>
      </c>
      <c r="AQ57" s="68"/>
      <c r="AR57" s="69"/>
      <c r="AS57" s="135"/>
      <c r="AT57" s="136"/>
      <c r="AU57" s="136"/>
      <c r="AV57" s="136"/>
      <c r="AW57" s="136"/>
      <c r="AX57" s="136"/>
      <c r="AY57" s="136"/>
      <c r="AZ57" s="137"/>
      <c r="BA57" s="37">
        <f t="shared" si="33"/>
        <v>30</v>
      </c>
      <c r="BB57" s="9">
        <f t="shared" si="3"/>
        <v>30</v>
      </c>
      <c r="BC57" s="10">
        <f t="shared" si="4"/>
        <v>79</v>
      </c>
    </row>
    <row r="58" spans="1:55" ht="15" customHeight="1" x14ac:dyDescent="0.35">
      <c r="A58" s="29">
        <v>820323205111</v>
      </c>
      <c r="B58" s="30" t="s">
        <v>68</v>
      </c>
      <c r="C58" s="13"/>
      <c r="D58" s="46"/>
      <c r="E58" s="61" t="s">
        <v>124</v>
      </c>
      <c r="F58" s="62" t="str">
        <f t="shared" ref="F58:L58" si="52">E58</f>
        <v>a</v>
      </c>
      <c r="G58" s="62" t="str">
        <f t="shared" si="52"/>
        <v>a</v>
      </c>
      <c r="H58" s="62" t="str">
        <f t="shared" si="52"/>
        <v>a</v>
      </c>
      <c r="I58" s="62" t="str">
        <f t="shared" si="52"/>
        <v>a</v>
      </c>
      <c r="J58" s="62" t="str">
        <f t="shared" si="52"/>
        <v>a</v>
      </c>
      <c r="K58" s="62" t="str">
        <f t="shared" si="52"/>
        <v>a</v>
      </c>
      <c r="L58" s="62" t="str">
        <f t="shared" si="52"/>
        <v>a</v>
      </c>
      <c r="M58" s="67">
        <v>1</v>
      </c>
      <c r="N58" s="68">
        <v>1</v>
      </c>
      <c r="O58" s="68">
        <v>1</v>
      </c>
      <c r="P58" s="68">
        <v>1</v>
      </c>
      <c r="Q58" s="68">
        <v>1</v>
      </c>
      <c r="R58" s="68">
        <v>1</v>
      </c>
      <c r="S58" s="68">
        <v>1</v>
      </c>
      <c r="T58" s="69">
        <v>1</v>
      </c>
      <c r="U58" s="67">
        <v>1</v>
      </c>
      <c r="V58" s="68">
        <v>1</v>
      </c>
      <c r="W58" s="68">
        <v>1</v>
      </c>
      <c r="X58" s="68">
        <v>1</v>
      </c>
      <c r="Y58" s="68">
        <v>1</v>
      </c>
      <c r="Z58" s="68">
        <v>1</v>
      </c>
      <c r="AA58" s="68">
        <v>1</v>
      </c>
      <c r="AB58" s="69">
        <v>1</v>
      </c>
      <c r="AC58" s="67">
        <v>1</v>
      </c>
      <c r="AD58" s="68">
        <v>1</v>
      </c>
      <c r="AE58" s="68">
        <v>1</v>
      </c>
      <c r="AF58" s="68">
        <v>1</v>
      </c>
      <c r="AG58" s="68">
        <v>1</v>
      </c>
      <c r="AH58" s="68">
        <v>1</v>
      </c>
      <c r="AI58" s="68">
        <v>1</v>
      </c>
      <c r="AJ58" s="69">
        <v>1</v>
      </c>
      <c r="AK58" s="67">
        <v>1</v>
      </c>
      <c r="AL58" s="68">
        <v>1</v>
      </c>
      <c r="AM58" s="68">
        <v>1</v>
      </c>
      <c r="AN58" s="68">
        <v>1</v>
      </c>
      <c r="AO58" s="68">
        <v>1</v>
      </c>
      <c r="AP58" s="68">
        <v>1</v>
      </c>
      <c r="AQ58" s="68"/>
      <c r="AR58" s="69"/>
      <c r="AS58" s="135"/>
      <c r="AT58" s="136"/>
      <c r="AU58" s="136"/>
      <c r="AV58" s="136"/>
      <c r="AW58" s="136"/>
      <c r="AX58" s="136"/>
      <c r="AY58" s="136"/>
      <c r="AZ58" s="137"/>
      <c r="BA58" s="37">
        <f t="shared" si="33"/>
        <v>30</v>
      </c>
      <c r="BB58" s="9">
        <f t="shared" si="3"/>
        <v>30</v>
      </c>
      <c r="BC58" s="10">
        <f t="shared" si="4"/>
        <v>79</v>
      </c>
    </row>
    <row r="59" spans="1:55" ht="15" customHeight="1" x14ac:dyDescent="0.35">
      <c r="A59" s="29">
        <v>820323205112</v>
      </c>
      <c r="B59" s="30" t="s">
        <v>69</v>
      </c>
      <c r="C59" s="11"/>
      <c r="D59" s="46"/>
      <c r="E59" s="61">
        <v>1</v>
      </c>
      <c r="F59" s="62">
        <f t="shared" ref="F59:L59" si="53">E59</f>
        <v>1</v>
      </c>
      <c r="G59" s="62">
        <f t="shared" si="53"/>
        <v>1</v>
      </c>
      <c r="H59" s="62">
        <f t="shared" si="53"/>
        <v>1</v>
      </c>
      <c r="I59" s="62">
        <f t="shared" si="53"/>
        <v>1</v>
      </c>
      <c r="J59" s="62">
        <f t="shared" si="53"/>
        <v>1</v>
      </c>
      <c r="K59" s="62">
        <f t="shared" si="53"/>
        <v>1</v>
      </c>
      <c r="L59" s="62">
        <f t="shared" si="53"/>
        <v>1</v>
      </c>
      <c r="M59" s="67" t="s">
        <v>124</v>
      </c>
      <c r="N59" s="68" t="s">
        <v>124</v>
      </c>
      <c r="O59" s="68" t="s">
        <v>124</v>
      </c>
      <c r="P59" s="68" t="s">
        <v>124</v>
      </c>
      <c r="Q59" s="68" t="s">
        <v>124</v>
      </c>
      <c r="R59" s="68" t="s">
        <v>124</v>
      </c>
      <c r="S59" s="68" t="s">
        <v>124</v>
      </c>
      <c r="T59" s="69" t="s">
        <v>124</v>
      </c>
      <c r="U59" s="67">
        <v>1</v>
      </c>
      <c r="V59" s="68">
        <v>1</v>
      </c>
      <c r="W59" s="68">
        <v>1</v>
      </c>
      <c r="X59" s="68">
        <v>1</v>
      </c>
      <c r="Y59" s="68">
        <v>1</v>
      </c>
      <c r="Z59" s="68">
        <v>1</v>
      </c>
      <c r="AA59" s="68">
        <v>1</v>
      </c>
      <c r="AB59" s="69">
        <v>1</v>
      </c>
      <c r="AC59" s="67">
        <v>1</v>
      </c>
      <c r="AD59" s="68">
        <v>1</v>
      </c>
      <c r="AE59" s="68">
        <v>1</v>
      </c>
      <c r="AF59" s="68">
        <v>1</v>
      </c>
      <c r="AG59" s="68">
        <v>1</v>
      </c>
      <c r="AH59" s="68">
        <v>1</v>
      </c>
      <c r="AI59" s="68">
        <v>1</v>
      </c>
      <c r="AJ59" s="69">
        <v>1</v>
      </c>
      <c r="AK59" s="67">
        <v>1</v>
      </c>
      <c r="AL59" s="68">
        <v>1</v>
      </c>
      <c r="AM59" s="68">
        <v>1</v>
      </c>
      <c r="AN59" s="68">
        <v>1</v>
      </c>
      <c r="AO59" s="68">
        <v>1</v>
      </c>
      <c r="AP59" s="68">
        <v>1</v>
      </c>
      <c r="AQ59" s="68"/>
      <c r="AR59" s="69"/>
      <c r="AS59" s="135"/>
      <c r="AT59" s="136"/>
      <c r="AU59" s="136"/>
      <c r="AV59" s="136"/>
      <c r="AW59" s="136"/>
      <c r="AX59" s="136"/>
      <c r="AY59" s="136"/>
      <c r="AZ59" s="137"/>
      <c r="BA59" s="37">
        <f t="shared" si="33"/>
        <v>30</v>
      </c>
      <c r="BB59" s="9">
        <f t="shared" si="3"/>
        <v>30</v>
      </c>
      <c r="BC59" s="10">
        <f t="shared" si="4"/>
        <v>79</v>
      </c>
    </row>
    <row r="60" spans="1:55" ht="15" customHeight="1" x14ac:dyDescent="0.35">
      <c r="A60" s="29">
        <v>820323205113</v>
      </c>
      <c r="B60" s="30" t="s">
        <v>70</v>
      </c>
      <c r="C60" s="11"/>
      <c r="D60" s="46"/>
      <c r="E60" s="61" t="s">
        <v>124</v>
      </c>
      <c r="F60" s="62" t="str">
        <f t="shared" ref="F60:L60" si="54">E60</f>
        <v>a</v>
      </c>
      <c r="G60" s="62">
        <v>1</v>
      </c>
      <c r="H60" s="62">
        <f t="shared" si="54"/>
        <v>1</v>
      </c>
      <c r="I60" s="62">
        <f t="shared" si="54"/>
        <v>1</v>
      </c>
      <c r="J60" s="62">
        <f t="shared" si="54"/>
        <v>1</v>
      </c>
      <c r="K60" s="62">
        <f t="shared" si="54"/>
        <v>1</v>
      </c>
      <c r="L60" s="62">
        <f t="shared" si="54"/>
        <v>1</v>
      </c>
      <c r="M60" s="67">
        <v>1</v>
      </c>
      <c r="N60" s="68">
        <v>1</v>
      </c>
      <c r="O60" s="68">
        <v>1</v>
      </c>
      <c r="P60" s="68">
        <v>1</v>
      </c>
      <c r="Q60" s="68">
        <v>1</v>
      </c>
      <c r="R60" s="68">
        <v>1</v>
      </c>
      <c r="S60" s="68">
        <v>1</v>
      </c>
      <c r="T60" s="69">
        <v>1</v>
      </c>
      <c r="U60" s="67">
        <v>1</v>
      </c>
      <c r="V60" s="68">
        <v>1</v>
      </c>
      <c r="W60" s="68">
        <v>1</v>
      </c>
      <c r="X60" s="68">
        <v>1</v>
      </c>
      <c r="Y60" s="68">
        <v>1</v>
      </c>
      <c r="Z60" s="68">
        <v>1</v>
      </c>
      <c r="AA60" s="68">
        <v>1</v>
      </c>
      <c r="AB60" s="69">
        <v>1</v>
      </c>
      <c r="AC60" s="67">
        <v>1</v>
      </c>
      <c r="AD60" s="68">
        <v>1</v>
      </c>
      <c r="AE60" s="68">
        <v>1</v>
      </c>
      <c r="AF60" s="68">
        <v>1</v>
      </c>
      <c r="AG60" s="68">
        <v>1</v>
      </c>
      <c r="AH60" s="68">
        <v>1</v>
      </c>
      <c r="AI60" s="68">
        <v>1</v>
      </c>
      <c r="AJ60" s="69">
        <v>1</v>
      </c>
      <c r="AK60" s="67" t="s">
        <v>124</v>
      </c>
      <c r="AL60" s="68" t="s">
        <v>124</v>
      </c>
      <c r="AM60" s="68" t="s">
        <v>124</v>
      </c>
      <c r="AN60" s="68" t="s">
        <v>124</v>
      </c>
      <c r="AO60" s="68" t="s">
        <v>124</v>
      </c>
      <c r="AP60" s="68" t="s">
        <v>124</v>
      </c>
      <c r="AQ60" s="68"/>
      <c r="AR60" s="69"/>
      <c r="AS60" s="135"/>
      <c r="AT60" s="136"/>
      <c r="AU60" s="136"/>
      <c r="AV60" s="136"/>
      <c r="AW60" s="136"/>
      <c r="AX60" s="136"/>
      <c r="AY60" s="136"/>
      <c r="AZ60" s="137"/>
      <c r="BA60" s="37">
        <f t="shared" si="33"/>
        <v>30</v>
      </c>
      <c r="BB60" s="9">
        <f t="shared" si="3"/>
        <v>30</v>
      </c>
      <c r="BC60" s="10">
        <f t="shared" si="4"/>
        <v>79</v>
      </c>
    </row>
    <row r="61" spans="1:55" ht="15" customHeight="1" x14ac:dyDescent="0.35">
      <c r="A61" s="29">
        <v>820323205114</v>
      </c>
      <c r="B61" s="30" t="s">
        <v>71</v>
      </c>
      <c r="C61" s="11"/>
      <c r="D61" s="46"/>
      <c r="E61" s="61">
        <v>1</v>
      </c>
      <c r="F61" s="62">
        <f t="shared" ref="F61:L61" si="55">E61</f>
        <v>1</v>
      </c>
      <c r="G61" s="62">
        <f t="shared" si="55"/>
        <v>1</v>
      </c>
      <c r="H61" s="62">
        <f t="shared" si="55"/>
        <v>1</v>
      </c>
      <c r="I61" s="62">
        <f t="shared" si="55"/>
        <v>1</v>
      </c>
      <c r="J61" s="62">
        <f t="shared" si="55"/>
        <v>1</v>
      </c>
      <c r="K61" s="62">
        <f t="shared" si="55"/>
        <v>1</v>
      </c>
      <c r="L61" s="62">
        <f t="shared" si="55"/>
        <v>1</v>
      </c>
      <c r="M61" s="67">
        <v>1</v>
      </c>
      <c r="N61" s="68">
        <v>1</v>
      </c>
      <c r="O61" s="68">
        <v>1</v>
      </c>
      <c r="P61" s="68">
        <v>1</v>
      </c>
      <c r="Q61" s="68">
        <v>1</v>
      </c>
      <c r="R61" s="68">
        <v>1</v>
      </c>
      <c r="S61" s="68">
        <v>1</v>
      </c>
      <c r="T61" s="69">
        <v>1</v>
      </c>
      <c r="U61" s="67">
        <v>1</v>
      </c>
      <c r="V61" s="68">
        <v>1</v>
      </c>
      <c r="W61" s="68">
        <v>1</v>
      </c>
      <c r="X61" s="68">
        <v>1</v>
      </c>
      <c r="Y61" s="68">
        <v>1</v>
      </c>
      <c r="Z61" s="68">
        <v>1</v>
      </c>
      <c r="AA61" s="68">
        <v>1</v>
      </c>
      <c r="AB61" s="69">
        <v>1</v>
      </c>
      <c r="AC61" s="67">
        <v>1</v>
      </c>
      <c r="AD61" s="68">
        <v>1</v>
      </c>
      <c r="AE61" s="68">
        <v>1</v>
      </c>
      <c r="AF61" s="68">
        <v>1</v>
      </c>
      <c r="AG61" s="68">
        <v>1</v>
      </c>
      <c r="AH61" s="68">
        <v>1</v>
      </c>
      <c r="AI61" s="68">
        <v>1</v>
      </c>
      <c r="AJ61" s="69">
        <v>1</v>
      </c>
      <c r="AK61" s="67">
        <v>1</v>
      </c>
      <c r="AL61" s="68">
        <v>1</v>
      </c>
      <c r="AM61" s="68">
        <v>1</v>
      </c>
      <c r="AN61" s="68">
        <v>1</v>
      </c>
      <c r="AO61" s="68">
        <v>1</v>
      </c>
      <c r="AP61" s="68">
        <v>1</v>
      </c>
      <c r="AQ61" s="68"/>
      <c r="AR61" s="69"/>
      <c r="AS61" s="135"/>
      <c r="AT61" s="136"/>
      <c r="AU61" s="136"/>
      <c r="AV61" s="136"/>
      <c r="AW61" s="136"/>
      <c r="AX61" s="136"/>
      <c r="AY61" s="136"/>
      <c r="AZ61" s="137"/>
      <c r="BA61" s="37">
        <f t="shared" si="33"/>
        <v>38</v>
      </c>
      <c r="BB61" s="9">
        <f t="shared" si="3"/>
        <v>38</v>
      </c>
      <c r="BC61" s="10">
        <f t="shared" si="4"/>
        <v>100</v>
      </c>
    </row>
    <row r="62" spans="1:55" ht="15" customHeight="1" x14ac:dyDescent="0.35">
      <c r="A62" s="31">
        <v>820323205115</v>
      </c>
      <c r="B62" s="32" t="s">
        <v>72</v>
      </c>
      <c r="C62" s="33"/>
      <c r="D62" s="46"/>
      <c r="E62" s="61" t="s">
        <v>124</v>
      </c>
      <c r="F62" s="62" t="str">
        <f t="shared" ref="F62:L62" si="56">E62</f>
        <v>a</v>
      </c>
      <c r="G62" s="62" t="str">
        <f t="shared" si="56"/>
        <v>a</v>
      </c>
      <c r="H62" s="62" t="str">
        <f t="shared" si="56"/>
        <v>a</v>
      </c>
      <c r="I62" s="62" t="str">
        <f t="shared" si="56"/>
        <v>a</v>
      </c>
      <c r="J62" s="62" t="str">
        <f t="shared" si="56"/>
        <v>a</v>
      </c>
      <c r="K62" s="62" t="str">
        <f t="shared" si="56"/>
        <v>a</v>
      </c>
      <c r="L62" s="62" t="str">
        <f t="shared" si="56"/>
        <v>a</v>
      </c>
      <c r="M62" s="67">
        <v>1</v>
      </c>
      <c r="N62" s="68">
        <v>1</v>
      </c>
      <c r="O62" s="68">
        <v>1</v>
      </c>
      <c r="P62" s="68">
        <v>1</v>
      </c>
      <c r="Q62" s="68">
        <v>1</v>
      </c>
      <c r="R62" s="68">
        <v>1</v>
      </c>
      <c r="S62" s="68">
        <v>1</v>
      </c>
      <c r="T62" s="69">
        <v>1</v>
      </c>
      <c r="U62" s="67">
        <v>1</v>
      </c>
      <c r="V62" s="68">
        <v>1</v>
      </c>
      <c r="W62" s="68">
        <v>1</v>
      </c>
      <c r="X62" s="68">
        <v>1</v>
      </c>
      <c r="Y62" s="68">
        <v>1</v>
      </c>
      <c r="Z62" s="68">
        <v>1</v>
      </c>
      <c r="AA62" s="68">
        <v>1</v>
      </c>
      <c r="AB62" s="69">
        <v>1</v>
      </c>
      <c r="AC62" s="67">
        <v>1</v>
      </c>
      <c r="AD62" s="68">
        <v>1</v>
      </c>
      <c r="AE62" s="68">
        <v>1</v>
      </c>
      <c r="AF62" s="68">
        <v>1</v>
      </c>
      <c r="AG62" s="68">
        <v>1</v>
      </c>
      <c r="AH62" s="68">
        <v>1</v>
      </c>
      <c r="AI62" s="68">
        <v>1</v>
      </c>
      <c r="AJ62" s="69">
        <v>1</v>
      </c>
      <c r="AK62" s="67" t="s">
        <v>124</v>
      </c>
      <c r="AL62" s="68" t="s">
        <v>124</v>
      </c>
      <c r="AM62" s="68" t="s">
        <v>124</v>
      </c>
      <c r="AN62" s="68" t="s">
        <v>124</v>
      </c>
      <c r="AO62" s="68" t="s">
        <v>124</v>
      </c>
      <c r="AP62" s="68" t="s">
        <v>124</v>
      </c>
      <c r="AQ62" s="68"/>
      <c r="AR62" s="69"/>
      <c r="AS62" s="135"/>
      <c r="AT62" s="136"/>
      <c r="AU62" s="136"/>
      <c r="AV62" s="136"/>
      <c r="AW62" s="136"/>
      <c r="AX62" s="136"/>
      <c r="AY62" s="136"/>
      <c r="AZ62" s="137"/>
      <c r="BA62" s="42">
        <f t="shared" si="33"/>
        <v>24</v>
      </c>
      <c r="BB62" s="9">
        <f t="shared" si="3"/>
        <v>24</v>
      </c>
      <c r="BC62" s="10">
        <f t="shared" si="4"/>
        <v>63</v>
      </c>
    </row>
    <row r="63" spans="1:55" ht="15" customHeight="1" x14ac:dyDescent="0.35">
      <c r="A63" s="31">
        <v>820323205116</v>
      </c>
      <c r="B63" s="32" t="s">
        <v>73</v>
      </c>
      <c r="C63" s="35"/>
      <c r="D63" s="46"/>
      <c r="E63" s="61" t="s">
        <v>124</v>
      </c>
      <c r="F63" s="62" t="str">
        <f t="shared" ref="F63:L63" si="57">E63</f>
        <v>a</v>
      </c>
      <c r="G63" s="62">
        <v>1</v>
      </c>
      <c r="H63" s="62">
        <f t="shared" si="57"/>
        <v>1</v>
      </c>
      <c r="I63" s="62">
        <f t="shared" si="57"/>
        <v>1</v>
      </c>
      <c r="J63" s="62">
        <f t="shared" si="57"/>
        <v>1</v>
      </c>
      <c r="K63" s="62">
        <f t="shared" si="57"/>
        <v>1</v>
      </c>
      <c r="L63" s="62">
        <f t="shared" si="57"/>
        <v>1</v>
      </c>
      <c r="M63" s="67">
        <v>1</v>
      </c>
      <c r="N63" s="68">
        <v>1</v>
      </c>
      <c r="O63" s="68">
        <v>1</v>
      </c>
      <c r="P63" s="68">
        <v>1</v>
      </c>
      <c r="Q63" s="68">
        <v>1</v>
      </c>
      <c r="R63" s="68">
        <v>1</v>
      </c>
      <c r="S63" s="68">
        <v>1</v>
      </c>
      <c r="T63" s="69">
        <v>1</v>
      </c>
      <c r="U63" s="67" t="s">
        <v>124</v>
      </c>
      <c r="V63" s="68" t="s">
        <v>124</v>
      </c>
      <c r="W63" s="68" t="s">
        <v>124</v>
      </c>
      <c r="X63" s="68" t="s">
        <v>124</v>
      </c>
      <c r="Y63" s="68" t="s">
        <v>124</v>
      </c>
      <c r="Z63" s="68" t="s">
        <v>124</v>
      </c>
      <c r="AA63" s="68" t="s">
        <v>124</v>
      </c>
      <c r="AB63" s="69" t="s">
        <v>124</v>
      </c>
      <c r="AC63" s="67">
        <v>1</v>
      </c>
      <c r="AD63" s="68">
        <v>1</v>
      </c>
      <c r="AE63" s="68">
        <v>1</v>
      </c>
      <c r="AF63" s="68">
        <v>1</v>
      </c>
      <c r="AG63" s="68">
        <v>1</v>
      </c>
      <c r="AH63" s="68">
        <v>1</v>
      </c>
      <c r="AI63" s="68">
        <v>1</v>
      </c>
      <c r="AJ63" s="69">
        <v>1</v>
      </c>
      <c r="AK63" s="67">
        <v>1</v>
      </c>
      <c r="AL63" s="68">
        <v>1</v>
      </c>
      <c r="AM63" s="68">
        <v>1</v>
      </c>
      <c r="AN63" s="68">
        <v>1</v>
      </c>
      <c r="AO63" s="68">
        <v>1</v>
      </c>
      <c r="AP63" s="68">
        <v>1</v>
      </c>
      <c r="AQ63" s="68"/>
      <c r="AR63" s="69"/>
      <c r="AS63" s="135"/>
      <c r="AT63" s="136"/>
      <c r="AU63" s="136"/>
      <c r="AV63" s="136"/>
      <c r="AW63" s="136"/>
      <c r="AX63" s="136"/>
      <c r="AY63" s="136"/>
      <c r="AZ63" s="137"/>
      <c r="BA63" s="42">
        <f t="shared" si="33"/>
        <v>28</v>
      </c>
      <c r="BB63" s="9">
        <f t="shared" si="3"/>
        <v>28</v>
      </c>
      <c r="BC63" s="10">
        <f t="shared" si="4"/>
        <v>74</v>
      </c>
    </row>
    <row r="64" spans="1:55" ht="15" customHeight="1" x14ac:dyDescent="0.35">
      <c r="A64" s="31">
        <v>820323205117</v>
      </c>
      <c r="B64" s="32" t="s">
        <v>74</v>
      </c>
      <c r="C64" s="35"/>
      <c r="D64" s="46"/>
      <c r="E64" s="61" t="s">
        <v>124</v>
      </c>
      <c r="F64" s="62" t="str">
        <f t="shared" ref="F64:L64" si="58">E64</f>
        <v>a</v>
      </c>
      <c r="G64" s="62">
        <v>1</v>
      </c>
      <c r="H64" s="62">
        <f t="shared" si="58"/>
        <v>1</v>
      </c>
      <c r="I64" s="62">
        <f t="shared" si="58"/>
        <v>1</v>
      </c>
      <c r="J64" s="62">
        <f t="shared" si="58"/>
        <v>1</v>
      </c>
      <c r="K64" s="62">
        <f t="shared" si="58"/>
        <v>1</v>
      </c>
      <c r="L64" s="62">
        <f t="shared" si="58"/>
        <v>1</v>
      </c>
      <c r="M64" s="67">
        <v>1</v>
      </c>
      <c r="N64" s="68">
        <v>1</v>
      </c>
      <c r="O64" s="68">
        <v>1</v>
      </c>
      <c r="P64" s="68">
        <v>1</v>
      </c>
      <c r="Q64" s="68">
        <v>1</v>
      </c>
      <c r="R64" s="68">
        <v>1</v>
      </c>
      <c r="S64" s="68">
        <v>1</v>
      </c>
      <c r="T64" s="69">
        <v>1</v>
      </c>
      <c r="U64" s="67">
        <v>1</v>
      </c>
      <c r="V64" s="68">
        <v>1</v>
      </c>
      <c r="W64" s="68">
        <v>1</v>
      </c>
      <c r="X64" s="68">
        <v>1</v>
      </c>
      <c r="Y64" s="68">
        <v>1</v>
      </c>
      <c r="Z64" s="68">
        <v>1</v>
      </c>
      <c r="AA64" s="68">
        <v>1</v>
      </c>
      <c r="AB64" s="69">
        <v>1</v>
      </c>
      <c r="AC64" s="67">
        <v>1</v>
      </c>
      <c r="AD64" s="68">
        <v>1</v>
      </c>
      <c r="AE64" s="68">
        <v>1</v>
      </c>
      <c r="AF64" s="68">
        <v>1</v>
      </c>
      <c r="AG64" s="68">
        <v>1</v>
      </c>
      <c r="AH64" s="68">
        <v>1</v>
      </c>
      <c r="AI64" s="68">
        <v>1</v>
      </c>
      <c r="AJ64" s="69">
        <v>1</v>
      </c>
      <c r="AK64" s="67">
        <v>1</v>
      </c>
      <c r="AL64" s="68">
        <v>1</v>
      </c>
      <c r="AM64" s="68">
        <v>1</v>
      </c>
      <c r="AN64" s="68">
        <v>1</v>
      </c>
      <c r="AO64" s="68">
        <v>1</v>
      </c>
      <c r="AP64" s="68">
        <v>1</v>
      </c>
      <c r="AQ64" s="68"/>
      <c r="AR64" s="69"/>
      <c r="AS64" s="135"/>
      <c r="AT64" s="136"/>
      <c r="AU64" s="136"/>
      <c r="AV64" s="136"/>
      <c r="AW64" s="136"/>
      <c r="AX64" s="136"/>
      <c r="AY64" s="136"/>
      <c r="AZ64" s="137"/>
      <c r="BA64" s="42">
        <f t="shared" si="33"/>
        <v>36</v>
      </c>
      <c r="BB64" s="9">
        <f t="shared" si="3"/>
        <v>36</v>
      </c>
      <c r="BC64" s="10">
        <f t="shared" si="4"/>
        <v>95</v>
      </c>
    </row>
    <row r="65" spans="1:55" ht="15" customHeight="1" x14ac:dyDescent="0.35">
      <c r="A65" s="29">
        <v>820323205118</v>
      </c>
      <c r="B65" s="30" t="s">
        <v>75</v>
      </c>
      <c r="C65" s="14"/>
      <c r="D65" s="46"/>
      <c r="E65" s="61">
        <v>1</v>
      </c>
      <c r="F65" s="62">
        <f t="shared" ref="F65:L65" si="59">E65</f>
        <v>1</v>
      </c>
      <c r="G65" s="62">
        <f t="shared" si="59"/>
        <v>1</v>
      </c>
      <c r="H65" s="62">
        <f t="shared" si="59"/>
        <v>1</v>
      </c>
      <c r="I65" s="62">
        <f t="shared" si="59"/>
        <v>1</v>
      </c>
      <c r="J65" s="62">
        <f t="shared" si="59"/>
        <v>1</v>
      </c>
      <c r="K65" s="62">
        <f t="shared" si="59"/>
        <v>1</v>
      </c>
      <c r="L65" s="62">
        <f t="shared" si="59"/>
        <v>1</v>
      </c>
      <c r="M65" s="67">
        <v>1</v>
      </c>
      <c r="N65" s="68">
        <v>1</v>
      </c>
      <c r="O65" s="68">
        <v>1</v>
      </c>
      <c r="P65" s="68">
        <v>1</v>
      </c>
      <c r="Q65" s="68">
        <v>1</v>
      </c>
      <c r="R65" s="68">
        <v>1</v>
      </c>
      <c r="S65" s="68">
        <v>1</v>
      </c>
      <c r="T65" s="69">
        <v>1</v>
      </c>
      <c r="U65" s="67" t="s">
        <v>124</v>
      </c>
      <c r="V65" s="68" t="s">
        <v>124</v>
      </c>
      <c r="W65" s="68" t="s">
        <v>124</v>
      </c>
      <c r="X65" s="68" t="s">
        <v>124</v>
      </c>
      <c r="Y65" s="68" t="s">
        <v>124</v>
      </c>
      <c r="Z65" s="68" t="s">
        <v>124</v>
      </c>
      <c r="AA65" s="68" t="s">
        <v>124</v>
      </c>
      <c r="AB65" s="69" t="s">
        <v>124</v>
      </c>
      <c r="AC65" s="67">
        <v>1</v>
      </c>
      <c r="AD65" s="68">
        <v>1</v>
      </c>
      <c r="AE65" s="68">
        <v>1</v>
      </c>
      <c r="AF65" s="68">
        <v>1</v>
      </c>
      <c r="AG65" s="68">
        <v>1</v>
      </c>
      <c r="AH65" s="68">
        <v>1</v>
      </c>
      <c r="AI65" s="68">
        <v>1</v>
      </c>
      <c r="AJ65" s="69">
        <v>1</v>
      </c>
      <c r="AK65" s="67" t="s">
        <v>124</v>
      </c>
      <c r="AL65" s="68" t="s">
        <v>124</v>
      </c>
      <c r="AM65" s="68" t="s">
        <v>124</v>
      </c>
      <c r="AN65" s="68" t="s">
        <v>124</v>
      </c>
      <c r="AO65" s="68" t="s">
        <v>124</v>
      </c>
      <c r="AP65" s="68" t="s">
        <v>124</v>
      </c>
      <c r="AQ65" s="68"/>
      <c r="AR65" s="69"/>
      <c r="AS65" s="135"/>
      <c r="AT65" s="136"/>
      <c r="AU65" s="136"/>
      <c r="AV65" s="136"/>
      <c r="AW65" s="136"/>
      <c r="AX65" s="136"/>
      <c r="AY65" s="136"/>
      <c r="AZ65" s="137"/>
      <c r="BA65" s="37">
        <f t="shared" si="33"/>
        <v>24</v>
      </c>
      <c r="BB65" s="9">
        <f t="shared" si="3"/>
        <v>24</v>
      </c>
      <c r="BC65" s="10">
        <f t="shared" si="4"/>
        <v>63</v>
      </c>
    </row>
    <row r="66" spans="1:55" ht="15" customHeight="1" x14ac:dyDescent="0.35">
      <c r="A66" s="29">
        <v>820323205119</v>
      </c>
      <c r="B66" s="30" t="s">
        <v>76</v>
      </c>
      <c r="C66" s="14"/>
      <c r="D66" s="46"/>
      <c r="E66" s="61">
        <v>1</v>
      </c>
      <c r="F66" s="62">
        <f t="shared" ref="F66:L66" si="60">E66</f>
        <v>1</v>
      </c>
      <c r="G66" s="62">
        <f t="shared" si="60"/>
        <v>1</v>
      </c>
      <c r="H66" s="62">
        <f t="shared" si="60"/>
        <v>1</v>
      </c>
      <c r="I66" s="62">
        <f t="shared" si="60"/>
        <v>1</v>
      </c>
      <c r="J66" s="62">
        <f t="shared" si="60"/>
        <v>1</v>
      </c>
      <c r="K66" s="62">
        <f t="shared" si="60"/>
        <v>1</v>
      </c>
      <c r="L66" s="62">
        <f t="shared" si="60"/>
        <v>1</v>
      </c>
      <c r="M66" s="67">
        <v>1</v>
      </c>
      <c r="N66" s="68">
        <v>1</v>
      </c>
      <c r="O66" s="68">
        <v>1</v>
      </c>
      <c r="P66" s="68">
        <v>1</v>
      </c>
      <c r="Q66" s="68">
        <v>1</v>
      </c>
      <c r="R66" s="68">
        <v>1</v>
      </c>
      <c r="S66" s="68">
        <v>1</v>
      </c>
      <c r="T66" s="69">
        <v>1</v>
      </c>
      <c r="U66" s="67">
        <v>1</v>
      </c>
      <c r="V66" s="68">
        <v>1</v>
      </c>
      <c r="W66" s="68">
        <v>1</v>
      </c>
      <c r="X66" s="68">
        <v>1</v>
      </c>
      <c r="Y66" s="68">
        <v>1</v>
      </c>
      <c r="Z66" s="68">
        <v>1</v>
      </c>
      <c r="AA66" s="68">
        <v>1</v>
      </c>
      <c r="AB66" s="69">
        <v>1</v>
      </c>
      <c r="AC66" s="67">
        <v>1</v>
      </c>
      <c r="AD66" s="68">
        <v>1</v>
      </c>
      <c r="AE66" s="68">
        <v>1</v>
      </c>
      <c r="AF66" s="68">
        <v>1</v>
      </c>
      <c r="AG66" s="68">
        <v>1</v>
      </c>
      <c r="AH66" s="68">
        <v>1</v>
      </c>
      <c r="AI66" s="68">
        <v>1</v>
      </c>
      <c r="AJ66" s="69">
        <v>1</v>
      </c>
      <c r="AK66" s="67">
        <v>1</v>
      </c>
      <c r="AL66" s="68">
        <v>1</v>
      </c>
      <c r="AM66" s="68">
        <v>1</v>
      </c>
      <c r="AN66" s="68">
        <v>1</v>
      </c>
      <c r="AO66" s="68">
        <v>1</v>
      </c>
      <c r="AP66" s="68">
        <v>1</v>
      </c>
      <c r="AQ66" s="68"/>
      <c r="AR66" s="69"/>
      <c r="AS66" s="135"/>
      <c r="AT66" s="136"/>
      <c r="AU66" s="136"/>
      <c r="AV66" s="136"/>
      <c r="AW66" s="136"/>
      <c r="AX66" s="136"/>
      <c r="AY66" s="136"/>
      <c r="AZ66" s="137"/>
      <c r="BA66" s="37">
        <f t="shared" si="33"/>
        <v>38</v>
      </c>
      <c r="BB66" s="9">
        <f t="shared" si="3"/>
        <v>38</v>
      </c>
      <c r="BC66" s="10">
        <f t="shared" si="4"/>
        <v>100</v>
      </c>
    </row>
    <row r="67" spans="1:55" ht="15" customHeight="1" x14ac:dyDescent="0.35">
      <c r="A67" s="31">
        <v>820323205120</v>
      </c>
      <c r="B67" s="32" t="s">
        <v>77</v>
      </c>
      <c r="C67" s="35"/>
      <c r="D67" s="46"/>
      <c r="E67" s="61">
        <v>1</v>
      </c>
      <c r="F67" s="62">
        <f t="shared" ref="F67:L67" si="61">E67</f>
        <v>1</v>
      </c>
      <c r="G67" s="62">
        <f t="shared" si="61"/>
        <v>1</v>
      </c>
      <c r="H67" s="62">
        <f t="shared" si="61"/>
        <v>1</v>
      </c>
      <c r="I67" s="62">
        <f t="shared" si="61"/>
        <v>1</v>
      </c>
      <c r="J67" s="62">
        <f t="shared" si="61"/>
        <v>1</v>
      </c>
      <c r="K67" s="62">
        <f t="shared" si="61"/>
        <v>1</v>
      </c>
      <c r="L67" s="62">
        <f t="shared" si="61"/>
        <v>1</v>
      </c>
      <c r="M67" s="67">
        <v>1</v>
      </c>
      <c r="N67" s="68">
        <v>1</v>
      </c>
      <c r="O67" s="68">
        <v>1</v>
      </c>
      <c r="P67" s="68">
        <v>1</v>
      </c>
      <c r="Q67" s="68">
        <v>1</v>
      </c>
      <c r="R67" s="68">
        <v>1</v>
      </c>
      <c r="S67" s="68">
        <v>1</v>
      </c>
      <c r="T67" s="69">
        <v>1</v>
      </c>
      <c r="U67" s="67">
        <v>1</v>
      </c>
      <c r="V67" s="68">
        <v>1</v>
      </c>
      <c r="W67" s="68">
        <v>1</v>
      </c>
      <c r="X67" s="68">
        <v>1</v>
      </c>
      <c r="Y67" s="68">
        <v>1</v>
      </c>
      <c r="Z67" s="68">
        <v>1</v>
      </c>
      <c r="AA67" s="68">
        <v>1</v>
      </c>
      <c r="AB67" s="69">
        <v>1</v>
      </c>
      <c r="AC67" s="67">
        <v>1</v>
      </c>
      <c r="AD67" s="68">
        <v>1</v>
      </c>
      <c r="AE67" s="68">
        <v>1</v>
      </c>
      <c r="AF67" s="68">
        <v>1</v>
      </c>
      <c r="AG67" s="68">
        <v>1</v>
      </c>
      <c r="AH67" s="68">
        <v>1</v>
      </c>
      <c r="AI67" s="68">
        <v>1</v>
      </c>
      <c r="AJ67" s="69">
        <v>1</v>
      </c>
      <c r="AK67" s="67">
        <v>1</v>
      </c>
      <c r="AL67" s="68">
        <v>1</v>
      </c>
      <c r="AM67" s="68">
        <v>1</v>
      </c>
      <c r="AN67" s="68">
        <v>1</v>
      </c>
      <c r="AO67" s="68">
        <v>1</v>
      </c>
      <c r="AP67" s="68">
        <v>1</v>
      </c>
      <c r="AQ67" s="68"/>
      <c r="AR67" s="69"/>
      <c r="AS67" s="135"/>
      <c r="AT67" s="136"/>
      <c r="AU67" s="136"/>
      <c r="AV67" s="136"/>
      <c r="AW67" s="136"/>
      <c r="AX67" s="136"/>
      <c r="AY67" s="136"/>
      <c r="AZ67" s="137"/>
      <c r="BA67" s="42">
        <f t="shared" si="33"/>
        <v>38</v>
      </c>
      <c r="BB67" s="9">
        <f t="shared" si="3"/>
        <v>38</v>
      </c>
      <c r="BC67" s="10">
        <f t="shared" si="4"/>
        <v>100</v>
      </c>
    </row>
    <row r="68" spans="1:55" ht="15" customHeight="1" x14ac:dyDescent="0.35">
      <c r="A68" s="31">
        <v>820323205301</v>
      </c>
      <c r="B68" s="30" t="s">
        <v>78</v>
      </c>
      <c r="C68" s="8"/>
      <c r="D68" s="46"/>
      <c r="E68" s="61">
        <v>1</v>
      </c>
      <c r="F68" s="62">
        <f t="shared" ref="F68:L68" si="62">E68</f>
        <v>1</v>
      </c>
      <c r="G68" s="62">
        <f t="shared" si="62"/>
        <v>1</v>
      </c>
      <c r="H68" s="62">
        <f t="shared" si="62"/>
        <v>1</v>
      </c>
      <c r="I68" s="62">
        <f t="shared" si="62"/>
        <v>1</v>
      </c>
      <c r="J68" s="62">
        <f t="shared" si="62"/>
        <v>1</v>
      </c>
      <c r="K68" s="62">
        <f t="shared" si="62"/>
        <v>1</v>
      </c>
      <c r="L68" s="62">
        <f t="shared" si="62"/>
        <v>1</v>
      </c>
      <c r="M68" s="67">
        <v>1</v>
      </c>
      <c r="N68" s="68">
        <v>1</v>
      </c>
      <c r="O68" s="68">
        <v>1</v>
      </c>
      <c r="P68" s="68">
        <v>1</v>
      </c>
      <c r="Q68" s="68">
        <v>1</v>
      </c>
      <c r="R68" s="68">
        <v>1</v>
      </c>
      <c r="S68" s="68">
        <v>1</v>
      </c>
      <c r="T68" s="69">
        <v>1</v>
      </c>
      <c r="U68" s="67">
        <v>1</v>
      </c>
      <c r="V68" s="68">
        <v>1</v>
      </c>
      <c r="W68" s="68">
        <v>1</v>
      </c>
      <c r="X68" s="68">
        <v>1</v>
      </c>
      <c r="Y68" s="68">
        <v>1</v>
      </c>
      <c r="Z68" s="68">
        <v>1</v>
      </c>
      <c r="AA68" s="68">
        <v>1</v>
      </c>
      <c r="AB68" s="69">
        <v>1</v>
      </c>
      <c r="AC68" s="67">
        <v>1</v>
      </c>
      <c r="AD68" s="68">
        <v>1</v>
      </c>
      <c r="AE68" s="68">
        <v>1</v>
      </c>
      <c r="AF68" s="68">
        <v>1</v>
      </c>
      <c r="AG68" s="68">
        <v>1</v>
      </c>
      <c r="AH68" s="68">
        <v>1</v>
      </c>
      <c r="AI68" s="68">
        <v>1</v>
      </c>
      <c r="AJ68" s="69">
        <v>1</v>
      </c>
      <c r="AK68" s="67">
        <v>1</v>
      </c>
      <c r="AL68" s="68">
        <v>1</v>
      </c>
      <c r="AM68" s="68">
        <v>1</v>
      </c>
      <c r="AN68" s="68">
        <v>1</v>
      </c>
      <c r="AO68" s="68">
        <v>1</v>
      </c>
      <c r="AP68" s="68">
        <v>1</v>
      </c>
      <c r="AQ68" s="68"/>
      <c r="AR68" s="69"/>
      <c r="AS68" s="135"/>
      <c r="AT68" s="136"/>
      <c r="AU68" s="136"/>
      <c r="AV68" s="136"/>
      <c r="AW68" s="136"/>
      <c r="AX68" s="136"/>
      <c r="AY68" s="136"/>
      <c r="AZ68" s="137"/>
      <c r="BA68" s="37">
        <f t="shared" si="33"/>
        <v>38</v>
      </c>
      <c r="BB68" s="9">
        <f t="shared" si="3"/>
        <v>38</v>
      </c>
      <c r="BC68" s="10">
        <f t="shared" si="4"/>
        <v>100</v>
      </c>
    </row>
    <row r="69" spans="1:55" ht="15" customHeight="1" x14ac:dyDescent="0.35">
      <c r="A69" s="31">
        <v>820323205302</v>
      </c>
      <c r="B69" s="30" t="s">
        <v>79</v>
      </c>
      <c r="C69" s="8"/>
      <c r="D69" s="46"/>
      <c r="E69" s="61" t="s">
        <v>124</v>
      </c>
      <c r="F69" s="62" t="str">
        <f t="shared" ref="F69:L69" si="63">E69</f>
        <v>a</v>
      </c>
      <c r="G69" s="62">
        <v>1</v>
      </c>
      <c r="H69" s="62">
        <f t="shared" si="63"/>
        <v>1</v>
      </c>
      <c r="I69" s="62">
        <f t="shared" si="63"/>
        <v>1</v>
      </c>
      <c r="J69" s="62">
        <f t="shared" si="63"/>
        <v>1</v>
      </c>
      <c r="K69" s="62">
        <f t="shared" si="63"/>
        <v>1</v>
      </c>
      <c r="L69" s="62">
        <f t="shared" si="63"/>
        <v>1</v>
      </c>
      <c r="M69" s="67">
        <v>1</v>
      </c>
      <c r="N69" s="68">
        <v>1</v>
      </c>
      <c r="O69" s="68">
        <v>1</v>
      </c>
      <c r="P69" s="68">
        <v>1</v>
      </c>
      <c r="Q69" s="68">
        <v>1</v>
      </c>
      <c r="R69" s="68">
        <v>1</v>
      </c>
      <c r="S69" s="68">
        <v>1</v>
      </c>
      <c r="T69" s="69">
        <v>1</v>
      </c>
      <c r="U69" s="67">
        <v>1</v>
      </c>
      <c r="V69" s="68">
        <v>1</v>
      </c>
      <c r="W69" s="68">
        <v>1</v>
      </c>
      <c r="X69" s="68">
        <v>1</v>
      </c>
      <c r="Y69" s="68">
        <v>1</v>
      </c>
      <c r="Z69" s="68">
        <v>1</v>
      </c>
      <c r="AA69" s="68">
        <v>1</v>
      </c>
      <c r="AB69" s="69">
        <v>1</v>
      </c>
      <c r="AC69" s="67">
        <v>1</v>
      </c>
      <c r="AD69" s="68">
        <v>1</v>
      </c>
      <c r="AE69" s="68">
        <v>1</v>
      </c>
      <c r="AF69" s="68">
        <v>1</v>
      </c>
      <c r="AG69" s="68">
        <v>1</v>
      </c>
      <c r="AH69" s="68">
        <v>1</v>
      </c>
      <c r="AI69" s="68">
        <v>1</v>
      </c>
      <c r="AJ69" s="69">
        <v>1</v>
      </c>
      <c r="AK69" s="67">
        <v>1</v>
      </c>
      <c r="AL69" s="68">
        <v>1</v>
      </c>
      <c r="AM69" s="68">
        <v>1</v>
      </c>
      <c r="AN69" s="68">
        <v>1</v>
      </c>
      <c r="AO69" s="68">
        <v>1</v>
      </c>
      <c r="AP69" s="68">
        <v>1</v>
      </c>
      <c r="AQ69" s="68"/>
      <c r="AR69" s="69"/>
      <c r="AS69" s="135"/>
      <c r="AT69" s="136"/>
      <c r="AU69" s="136"/>
      <c r="AV69" s="136"/>
      <c r="AW69" s="136"/>
      <c r="AX69" s="136"/>
      <c r="AY69" s="136"/>
      <c r="AZ69" s="137"/>
      <c r="BA69" s="37">
        <f t="shared" si="33"/>
        <v>36</v>
      </c>
      <c r="BB69" s="9">
        <f t="shared" si="3"/>
        <v>36</v>
      </c>
      <c r="BC69" s="10">
        <f t="shared" si="4"/>
        <v>95</v>
      </c>
    </row>
    <row r="70" spans="1:55" ht="15" customHeight="1" x14ac:dyDescent="0.35">
      <c r="A70" s="31">
        <v>820323205303</v>
      </c>
      <c r="B70" s="30" t="s">
        <v>80</v>
      </c>
      <c r="C70" s="8"/>
      <c r="D70" s="46"/>
      <c r="E70" s="61" t="s">
        <v>124</v>
      </c>
      <c r="F70" s="62" t="str">
        <f t="shared" ref="F70:L70" si="64">E70</f>
        <v>a</v>
      </c>
      <c r="G70" s="62">
        <v>1</v>
      </c>
      <c r="H70" s="62">
        <f t="shared" si="64"/>
        <v>1</v>
      </c>
      <c r="I70" s="62">
        <f t="shared" si="64"/>
        <v>1</v>
      </c>
      <c r="J70" s="62">
        <f t="shared" si="64"/>
        <v>1</v>
      </c>
      <c r="K70" s="62">
        <f t="shared" si="64"/>
        <v>1</v>
      </c>
      <c r="L70" s="62">
        <f t="shared" si="64"/>
        <v>1</v>
      </c>
      <c r="M70" s="67">
        <v>1</v>
      </c>
      <c r="N70" s="68">
        <v>1</v>
      </c>
      <c r="O70" s="68">
        <v>1</v>
      </c>
      <c r="P70" s="68">
        <v>1</v>
      </c>
      <c r="Q70" s="68">
        <v>1</v>
      </c>
      <c r="R70" s="68">
        <v>1</v>
      </c>
      <c r="S70" s="68">
        <v>1</v>
      </c>
      <c r="T70" s="69">
        <v>1</v>
      </c>
      <c r="U70" s="67" t="s">
        <v>124</v>
      </c>
      <c r="V70" s="68" t="s">
        <v>124</v>
      </c>
      <c r="W70" s="68" t="s">
        <v>124</v>
      </c>
      <c r="X70" s="68" t="s">
        <v>124</v>
      </c>
      <c r="Y70" s="68" t="s">
        <v>124</v>
      </c>
      <c r="Z70" s="68" t="s">
        <v>124</v>
      </c>
      <c r="AA70" s="68" t="s">
        <v>124</v>
      </c>
      <c r="AB70" s="69" t="s">
        <v>124</v>
      </c>
      <c r="AC70" s="67">
        <v>1</v>
      </c>
      <c r="AD70" s="68">
        <v>1</v>
      </c>
      <c r="AE70" s="68">
        <v>1</v>
      </c>
      <c r="AF70" s="68">
        <v>1</v>
      </c>
      <c r="AG70" s="68">
        <v>1</v>
      </c>
      <c r="AH70" s="68">
        <v>1</v>
      </c>
      <c r="AI70" s="68">
        <v>1</v>
      </c>
      <c r="AJ70" s="69">
        <v>1</v>
      </c>
      <c r="AK70" s="67" t="s">
        <v>124</v>
      </c>
      <c r="AL70" s="68" t="s">
        <v>124</v>
      </c>
      <c r="AM70" s="68" t="s">
        <v>124</v>
      </c>
      <c r="AN70" s="68" t="s">
        <v>124</v>
      </c>
      <c r="AO70" s="68" t="s">
        <v>124</v>
      </c>
      <c r="AP70" s="68" t="s">
        <v>124</v>
      </c>
      <c r="AQ70" s="68"/>
      <c r="AR70" s="69"/>
      <c r="AS70" s="135"/>
      <c r="AT70" s="136"/>
      <c r="AU70" s="136"/>
      <c r="AV70" s="136"/>
      <c r="AW70" s="136"/>
      <c r="AX70" s="136"/>
      <c r="AY70" s="136"/>
      <c r="AZ70" s="137"/>
      <c r="BA70" s="37">
        <f t="shared" si="33"/>
        <v>22</v>
      </c>
      <c r="BB70" s="9">
        <f t="shared" si="3"/>
        <v>22</v>
      </c>
      <c r="BC70" s="10">
        <f t="shared" si="4"/>
        <v>58</v>
      </c>
    </row>
    <row r="71" spans="1:55" ht="15" customHeight="1" x14ac:dyDescent="0.35">
      <c r="A71" s="31">
        <v>820323205305</v>
      </c>
      <c r="B71" s="30" t="s">
        <v>81</v>
      </c>
      <c r="C71" s="34"/>
      <c r="D71" s="46"/>
      <c r="E71" s="61">
        <v>1</v>
      </c>
      <c r="F71" s="62">
        <f t="shared" ref="F71:L71" si="65">E71</f>
        <v>1</v>
      </c>
      <c r="G71" s="62">
        <f t="shared" si="65"/>
        <v>1</v>
      </c>
      <c r="H71" s="62">
        <f t="shared" si="65"/>
        <v>1</v>
      </c>
      <c r="I71" s="62">
        <f t="shared" si="65"/>
        <v>1</v>
      </c>
      <c r="J71" s="62">
        <f t="shared" si="65"/>
        <v>1</v>
      </c>
      <c r="K71" s="62">
        <f t="shared" si="65"/>
        <v>1</v>
      </c>
      <c r="L71" s="62">
        <f t="shared" si="65"/>
        <v>1</v>
      </c>
      <c r="M71" s="67">
        <v>1</v>
      </c>
      <c r="N71" s="68">
        <v>1</v>
      </c>
      <c r="O71" s="68">
        <v>1</v>
      </c>
      <c r="P71" s="68">
        <v>1</v>
      </c>
      <c r="Q71" s="68">
        <v>1</v>
      </c>
      <c r="R71" s="68">
        <v>1</v>
      </c>
      <c r="S71" s="68">
        <v>1</v>
      </c>
      <c r="T71" s="69">
        <v>1</v>
      </c>
      <c r="U71" s="67">
        <v>1</v>
      </c>
      <c r="V71" s="68">
        <v>1</v>
      </c>
      <c r="W71" s="68">
        <v>1</v>
      </c>
      <c r="X71" s="68">
        <v>1</v>
      </c>
      <c r="Y71" s="68">
        <v>1</v>
      </c>
      <c r="Z71" s="68">
        <v>1</v>
      </c>
      <c r="AA71" s="68">
        <v>1</v>
      </c>
      <c r="AB71" s="69">
        <v>1</v>
      </c>
      <c r="AC71" s="67">
        <v>1</v>
      </c>
      <c r="AD71" s="68">
        <v>1</v>
      </c>
      <c r="AE71" s="68">
        <v>1</v>
      </c>
      <c r="AF71" s="68">
        <v>1</v>
      </c>
      <c r="AG71" s="68">
        <v>1</v>
      </c>
      <c r="AH71" s="68">
        <v>1</v>
      </c>
      <c r="AI71" s="68">
        <v>1</v>
      </c>
      <c r="AJ71" s="69">
        <v>1</v>
      </c>
      <c r="AK71" s="67">
        <v>1</v>
      </c>
      <c r="AL71" s="68">
        <v>1</v>
      </c>
      <c r="AM71" s="68">
        <v>1</v>
      </c>
      <c r="AN71" s="68">
        <v>1</v>
      </c>
      <c r="AO71" s="68">
        <v>1</v>
      </c>
      <c r="AP71" s="68">
        <v>1</v>
      </c>
      <c r="AQ71" s="68"/>
      <c r="AR71" s="69"/>
      <c r="AS71" s="135"/>
      <c r="AT71" s="136"/>
      <c r="AU71" s="136"/>
      <c r="AV71" s="136"/>
      <c r="AW71" s="136"/>
      <c r="AX71" s="136"/>
      <c r="AY71" s="136"/>
      <c r="AZ71" s="137"/>
      <c r="BA71" s="42">
        <f t="shared" si="33"/>
        <v>38</v>
      </c>
      <c r="BB71" s="9">
        <f t="shared" si="3"/>
        <v>38</v>
      </c>
      <c r="BC71" s="10">
        <f t="shared" si="4"/>
        <v>100</v>
      </c>
    </row>
    <row r="72" spans="1:55" ht="15" customHeight="1" x14ac:dyDescent="0.35">
      <c r="A72" s="31">
        <v>820323205501</v>
      </c>
      <c r="B72" s="30" t="s">
        <v>82</v>
      </c>
      <c r="C72" s="8"/>
      <c r="D72" s="46"/>
      <c r="E72" s="61">
        <v>1</v>
      </c>
      <c r="F72" s="62">
        <f t="shared" ref="F72:L72" si="66">E72</f>
        <v>1</v>
      </c>
      <c r="G72" s="62">
        <f t="shared" si="66"/>
        <v>1</v>
      </c>
      <c r="H72" s="62">
        <f t="shared" si="66"/>
        <v>1</v>
      </c>
      <c r="I72" s="62">
        <f t="shared" si="66"/>
        <v>1</v>
      </c>
      <c r="J72" s="62">
        <f t="shared" si="66"/>
        <v>1</v>
      </c>
      <c r="K72" s="62">
        <f t="shared" si="66"/>
        <v>1</v>
      </c>
      <c r="L72" s="62">
        <f t="shared" si="66"/>
        <v>1</v>
      </c>
      <c r="M72" s="67">
        <v>1</v>
      </c>
      <c r="N72" s="68">
        <v>1</v>
      </c>
      <c r="O72" s="68">
        <v>1</v>
      </c>
      <c r="P72" s="68">
        <v>1</v>
      </c>
      <c r="Q72" s="68">
        <v>1</v>
      </c>
      <c r="R72" s="68">
        <v>1</v>
      </c>
      <c r="S72" s="68">
        <v>1</v>
      </c>
      <c r="T72" s="69">
        <v>1</v>
      </c>
      <c r="U72" s="67">
        <v>1</v>
      </c>
      <c r="V72" s="68">
        <v>1</v>
      </c>
      <c r="W72" s="68">
        <v>1</v>
      </c>
      <c r="X72" s="68">
        <v>1</v>
      </c>
      <c r="Y72" s="68">
        <v>1</v>
      </c>
      <c r="Z72" s="68">
        <v>1</v>
      </c>
      <c r="AA72" s="68">
        <v>1</v>
      </c>
      <c r="AB72" s="69">
        <v>1</v>
      </c>
      <c r="AC72" s="67">
        <v>1</v>
      </c>
      <c r="AD72" s="68">
        <v>1</v>
      </c>
      <c r="AE72" s="68">
        <v>1</v>
      </c>
      <c r="AF72" s="68">
        <v>1</v>
      </c>
      <c r="AG72" s="68">
        <v>1</v>
      </c>
      <c r="AH72" s="68">
        <v>1</v>
      </c>
      <c r="AI72" s="68">
        <v>1</v>
      </c>
      <c r="AJ72" s="69">
        <v>1</v>
      </c>
      <c r="AK72" s="67" t="s">
        <v>124</v>
      </c>
      <c r="AL72" s="68" t="s">
        <v>124</v>
      </c>
      <c r="AM72" s="68" t="s">
        <v>124</v>
      </c>
      <c r="AN72" s="68" t="s">
        <v>124</v>
      </c>
      <c r="AO72" s="68" t="s">
        <v>124</v>
      </c>
      <c r="AP72" s="68" t="s">
        <v>124</v>
      </c>
      <c r="AQ72" s="68"/>
      <c r="AR72" s="69"/>
      <c r="AS72" s="135"/>
      <c r="AT72" s="136"/>
      <c r="AU72" s="136"/>
      <c r="AV72" s="136"/>
      <c r="AW72" s="136"/>
      <c r="AX72" s="136"/>
      <c r="AY72" s="136"/>
      <c r="AZ72" s="137"/>
      <c r="BA72" s="37">
        <f t="shared" si="33"/>
        <v>32</v>
      </c>
      <c r="BB72" s="9">
        <f t="shared" si="3"/>
        <v>32</v>
      </c>
      <c r="BC72" s="10">
        <f t="shared" si="4"/>
        <v>84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/>
      <c r="E73" s="61">
        <v>1</v>
      </c>
      <c r="F73" s="62">
        <f t="shared" ref="F73:L73" si="67">E73</f>
        <v>1</v>
      </c>
      <c r="G73" s="62">
        <f t="shared" si="67"/>
        <v>1</v>
      </c>
      <c r="H73" s="62">
        <f t="shared" si="67"/>
        <v>1</v>
      </c>
      <c r="I73" s="62">
        <f t="shared" si="67"/>
        <v>1</v>
      </c>
      <c r="J73" s="62">
        <f t="shared" si="67"/>
        <v>1</v>
      </c>
      <c r="K73" s="62">
        <f t="shared" si="67"/>
        <v>1</v>
      </c>
      <c r="L73" s="62">
        <f t="shared" si="67"/>
        <v>1</v>
      </c>
      <c r="M73" s="70">
        <v>1</v>
      </c>
      <c r="N73" s="71">
        <v>1</v>
      </c>
      <c r="O73" s="71">
        <v>1</v>
      </c>
      <c r="P73" s="61">
        <v>1</v>
      </c>
      <c r="Q73" s="62">
        <f>P73</f>
        <v>1</v>
      </c>
      <c r="R73" s="62">
        <f t="shared" ref="R73:W73" si="68">Q73</f>
        <v>1</v>
      </c>
      <c r="S73" s="62">
        <f t="shared" si="68"/>
        <v>1</v>
      </c>
      <c r="T73" s="62">
        <f t="shared" si="68"/>
        <v>1</v>
      </c>
      <c r="U73" s="62">
        <f t="shared" si="68"/>
        <v>1</v>
      </c>
      <c r="V73" s="62">
        <f t="shared" si="68"/>
        <v>1</v>
      </c>
      <c r="W73" s="62">
        <f t="shared" si="68"/>
        <v>1</v>
      </c>
      <c r="X73" s="71">
        <v>1</v>
      </c>
      <c r="Y73" s="71">
        <v>1</v>
      </c>
      <c r="Z73" s="71">
        <v>1</v>
      </c>
      <c r="AA73" s="71">
        <v>1</v>
      </c>
      <c r="AB73" s="72">
        <v>1</v>
      </c>
      <c r="AC73" s="70">
        <v>1</v>
      </c>
      <c r="AD73" s="71">
        <v>1</v>
      </c>
      <c r="AE73" s="71">
        <v>1</v>
      </c>
      <c r="AF73" s="71">
        <v>1</v>
      </c>
      <c r="AG73" s="71">
        <v>1</v>
      </c>
      <c r="AH73" s="71">
        <v>1</v>
      </c>
      <c r="AI73" s="71">
        <v>1</v>
      </c>
      <c r="AJ73" s="72">
        <v>1</v>
      </c>
      <c r="AK73" s="70">
        <v>1</v>
      </c>
      <c r="AL73" s="71">
        <v>1</v>
      </c>
      <c r="AM73" s="71">
        <v>1</v>
      </c>
      <c r="AN73" s="71">
        <v>1</v>
      </c>
      <c r="AO73" s="71">
        <v>1</v>
      </c>
      <c r="AP73" s="71">
        <v>1</v>
      </c>
      <c r="AQ73" s="71"/>
      <c r="AR73" s="72"/>
      <c r="AS73" s="217"/>
      <c r="AT73" s="218"/>
      <c r="AU73" s="218"/>
      <c r="AV73" s="218"/>
      <c r="AW73" s="218"/>
      <c r="AX73" s="218"/>
      <c r="AY73" s="218"/>
      <c r="AZ73" s="219"/>
      <c r="BA73" s="37">
        <f t="shared" si="33"/>
        <v>38</v>
      </c>
      <c r="BB73" s="9">
        <f t="shared" si="3"/>
        <v>38</v>
      </c>
      <c r="BC73" s="10">
        <f t="shared" si="4"/>
        <v>100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 "a")</f>
        <v>19</v>
      </c>
      <c r="F74" s="50">
        <f t="shared" ref="F74:AR74" si="69">COUNTIF(F10:F73, "a")</f>
        <v>19</v>
      </c>
      <c r="G74" s="50">
        <f t="shared" si="69"/>
        <v>11</v>
      </c>
      <c r="H74" s="50">
        <f t="shared" si="69"/>
        <v>11</v>
      </c>
      <c r="I74" s="50">
        <f t="shared" si="69"/>
        <v>11</v>
      </c>
      <c r="J74" s="50">
        <f t="shared" si="69"/>
        <v>11</v>
      </c>
      <c r="K74" s="50">
        <f t="shared" si="69"/>
        <v>11</v>
      </c>
      <c r="L74" s="50">
        <f t="shared" si="69"/>
        <v>11</v>
      </c>
      <c r="M74" s="50">
        <f t="shared" si="69"/>
        <v>8</v>
      </c>
      <c r="N74" s="50">
        <f t="shared" si="69"/>
        <v>8</v>
      </c>
      <c r="O74" s="50">
        <f t="shared" si="69"/>
        <v>8</v>
      </c>
      <c r="P74" s="50">
        <f t="shared" si="69"/>
        <v>8</v>
      </c>
      <c r="Q74" s="50">
        <f t="shared" si="69"/>
        <v>8</v>
      </c>
      <c r="R74" s="50">
        <f t="shared" si="69"/>
        <v>8</v>
      </c>
      <c r="S74" s="50">
        <f t="shared" si="69"/>
        <v>8</v>
      </c>
      <c r="T74" s="50">
        <f t="shared" si="69"/>
        <v>8</v>
      </c>
      <c r="U74" s="50">
        <f t="shared" si="69"/>
        <v>9</v>
      </c>
      <c r="V74" s="50">
        <f t="shared" si="69"/>
        <v>9</v>
      </c>
      <c r="W74" s="50">
        <f t="shared" si="69"/>
        <v>9</v>
      </c>
      <c r="X74" s="50">
        <f t="shared" si="69"/>
        <v>9</v>
      </c>
      <c r="Y74" s="50">
        <f t="shared" si="69"/>
        <v>9</v>
      </c>
      <c r="Z74" s="50">
        <f t="shared" si="69"/>
        <v>9</v>
      </c>
      <c r="AA74" s="50">
        <f t="shared" si="69"/>
        <v>9</v>
      </c>
      <c r="AB74" s="50">
        <f t="shared" si="69"/>
        <v>9</v>
      </c>
      <c r="AC74" s="50">
        <f t="shared" si="69"/>
        <v>10</v>
      </c>
      <c r="AD74" s="50">
        <f t="shared" si="69"/>
        <v>10</v>
      </c>
      <c r="AE74" s="50">
        <f t="shared" si="69"/>
        <v>10</v>
      </c>
      <c r="AF74" s="50">
        <f t="shared" si="69"/>
        <v>10</v>
      </c>
      <c r="AG74" s="50">
        <f t="shared" si="69"/>
        <v>10</v>
      </c>
      <c r="AH74" s="50">
        <f t="shared" si="69"/>
        <v>10</v>
      </c>
      <c r="AI74" s="50">
        <f t="shared" si="69"/>
        <v>10</v>
      </c>
      <c r="AJ74" s="50">
        <f t="shared" si="69"/>
        <v>10</v>
      </c>
      <c r="AK74" s="50">
        <f t="shared" si="69"/>
        <v>29</v>
      </c>
      <c r="AL74" s="50">
        <f t="shared" si="69"/>
        <v>29</v>
      </c>
      <c r="AM74" s="50">
        <f t="shared" si="69"/>
        <v>29</v>
      </c>
      <c r="AN74" s="50">
        <f t="shared" si="69"/>
        <v>29</v>
      </c>
      <c r="AO74" s="50">
        <f t="shared" si="69"/>
        <v>29</v>
      </c>
      <c r="AP74" s="50">
        <f t="shared" si="69"/>
        <v>29</v>
      </c>
      <c r="AQ74" s="50">
        <f t="shared" si="69"/>
        <v>0</v>
      </c>
      <c r="AR74" s="50">
        <f t="shared" si="69"/>
        <v>0</v>
      </c>
      <c r="AS74" s="52">
        <f>COUNTIF(AS10:AS73,0)</f>
        <v>0</v>
      </c>
      <c r="AT74" s="53">
        <f>COUNTIF(AT10:AT73,0)</f>
        <v>0</v>
      </c>
      <c r="AU74" s="53">
        <f>COUNTIF(AU10:AU73,0)</f>
        <v>0</v>
      </c>
      <c r="AV74" s="54">
        <v>9</v>
      </c>
      <c r="AW74" s="53">
        <f>COUNTIF(AW10:AW73,0)</f>
        <v>0</v>
      </c>
      <c r="AX74" s="53">
        <f>COUNTIF(AX10:AX73,0)</f>
        <v>0</v>
      </c>
      <c r="AY74" s="53">
        <f>COUNTIF(AY10:AY73,0)</f>
        <v>0</v>
      </c>
      <c r="AZ74" s="55">
        <f>COUNTIF(AZ10:AZ73,0)</f>
        <v>0</v>
      </c>
      <c r="BA74" s="47"/>
      <c r="BB74" s="27"/>
      <c r="BC74" s="16"/>
    </row>
    <row r="75" spans="1:55" ht="18" thickBot="1" x14ac:dyDescent="0.4">
      <c r="A75" s="150" t="s">
        <v>15</v>
      </c>
      <c r="B75" s="151"/>
      <c r="C75" s="151"/>
      <c r="D75" s="151"/>
      <c r="E75" s="43"/>
      <c r="F75" s="18"/>
      <c r="G75" s="18"/>
      <c r="H75" s="18"/>
      <c r="I75" s="17"/>
      <c r="J75" s="17"/>
      <c r="K75" s="17"/>
      <c r="L75" s="17"/>
      <c r="M75" s="26"/>
      <c r="N75" s="18"/>
      <c r="O75" s="18"/>
      <c r="P75" s="18"/>
      <c r="Q75" s="17"/>
      <c r="R75" s="17"/>
      <c r="S75" s="17"/>
      <c r="T75" s="17"/>
      <c r="U75" s="17"/>
      <c r="V75" s="18"/>
      <c r="W75" s="18"/>
      <c r="X75" s="18"/>
      <c r="Y75" s="17"/>
      <c r="Z75" s="17"/>
      <c r="AA75" s="17"/>
      <c r="AB75" s="17"/>
      <c r="AC75" s="17"/>
      <c r="AD75" s="18"/>
      <c r="AE75" s="18"/>
      <c r="AF75" s="18"/>
      <c r="AG75" s="17"/>
      <c r="AH75" s="17"/>
      <c r="AI75" s="17"/>
      <c r="AJ75" s="17"/>
      <c r="AK75" s="17"/>
      <c r="AL75" s="18"/>
      <c r="AM75" s="18"/>
      <c r="AN75" s="18"/>
      <c r="AO75" s="17"/>
      <c r="AP75" s="17"/>
      <c r="AQ75" s="17"/>
      <c r="AR75" s="17"/>
      <c r="AS75" s="39"/>
      <c r="AT75" s="48"/>
      <c r="AU75" s="48"/>
      <c r="AV75" s="48"/>
      <c r="AW75" s="39"/>
      <c r="AX75" s="39"/>
      <c r="AY75" s="39"/>
      <c r="AZ75" s="49"/>
      <c r="BA75" s="19"/>
      <c r="BB75" s="28"/>
      <c r="BC75" s="20"/>
    </row>
    <row r="78" spans="1:55" ht="20" x14ac:dyDescent="0.4">
      <c r="A78" s="152" t="s">
        <v>16</v>
      </c>
      <c r="B78" s="152"/>
      <c r="C78" s="152"/>
      <c r="D78" s="152"/>
      <c r="E78" s="152"/>
      <c r="F78" s="152"/>
      <c r="G78" s="152"/>
      <c r="H78" s="152"/>
      <c r="I78" s="152"/>
      <c r="J78" s="22"/>
      <c r="K78" s="22"/>
      <c r="L78" s="22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 t="s">
        <v>17</v>
      </c>
      <c r="Z78" s="22"/>
      <c r="AA78" s="22"/>
      <c r="AB78" s="22"/>
      <c r="AC78" s="21"/>
      <c r="AD78" s="21"/>
      <c r="AE78" s="21"/>
      <c r="AF78" s="21"/>
      <c r="AG78" s="23"/>
      <c r="AH78" s="23"/>
      <c r="AI78" s="22"/>
      <c r="AJ78" s="22"/>
      <c r="AK78" s="22"/>
      <c r="AL78" s="22"/>
      <c r="AM78" s="22"/>
      <c r="AN78" s="22"/>
      <c r="AO78" s="22"/>
      <c r="AP78" s="22"/>
      <c r="AQ78" s="22"/>
      <c r="AR78" s="23"/>
      <c r="AS78" s="41"/>
      <c r="AT78" s="41"/>
      <c r="AU78" s="41" t="s">
        <v>18</v>
      </c>
      <c r="AV78" s="40"/>
      <c r="AW78" s="40"/>
      <c r="AX78" s="40"/>
      <c r="AY78" s="40"/>
      <c r="AZ78" s="40"/>
    </row>
    <row r="79" spans="1:55" ht="20.5" x14ac:dyDescent="0.45">
      <c r="A79" s="152" t="s">
        <v>88</v>
      </c>
      <c r="B79" s="152"/>
      <c r="C79" s="152"/>
      <c r="D79" s="152"/>
      <c r="E79" s="152"/>
      <c r="F79" s="152"/>
      <c r="G79" s="152"/>
      <c r="H79" s="152"/>
      <c r="I79" s="24"/>
      <c r="J79" s="24"/>
      <c r="K79" s="24"/>
      <c r="L79" s="24"/>
      <c r="M79" s="25"/>
      <c r="N79" s="24"/>
      <c r="P79" s="22"/>
      <c r="Q79" s="22"/>
      <c r="R79" s="22"/>
      <c r="S79" s="22"/>
      <c r="T79" s="22"/>
      <c r="U79" s="22"/>
      <c r="V79" s="22" t="s">
        <v>89</v>
      </c>
      <c r="W79" s="22"/>
      <c r="X79" s="22"/>
      <c r="Y79" s="22"/>
      <c r="Z79" s="22"/>
      <c r="AA79" s="22"/>
      <c r="AB79" s="22"/>
      <c r="AC79" s="22"/>
      <c r="AD79" s="22"/>
      <c r="AE79" s="22"/>
      <c r="AF79" s="24"/>
      <c r="AG79" s="24"/>
      <c r="AH79" s="24"/>
      <c r="AI79" s="22"/>
      <c r="AR79" s="152" t="s">
        <v>90</v>
      </c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</row>
  </sheetData>
  <mergeCells count="40">
    <mergeCell ref="A79:H79"/>
    <mergeCell ref="AR79:BC79"/>
    <mergeCell ref="AS10:AZ42"/>
    <mergeCell ref="AS43:AZ73"/>
    <mergeCell ref="R9:T9"/>
    <mergeCell ref="U9:X9"/>
    <mergeCell ref="A74:D74"/>
    <mergeCell ref="A75:D75"/>
    <mergeCell ref="A78:I78"/>
    <mergeCell ref="AS6:AZ6"/>
    <mergeCell ref="A7:A9"/>
    <mergeCell ref="B7:B9"/>
    <mergeCell ref="C7:C9"/>
    <mergeCell ref="D7:D9"/>
    <mergeCell ref="I8:L8"/>
    <mergeCell ref="R8:T8"/>
    <mergeCell ref="U8:X8"/>
    <mergeCell ref="I9:L9"/>
    <mergeCell ref="AS5:AZ5"/>
    <mergeCell ref="BA5:BA9"/>
    <mergeCell ref="BB5:BB9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50" priority="1" operator="lessThan">
      <formula>75</formula>
    </cfRule>
  </conditionalFormatting>
  <conditionalFormatting sqref="BC10:BC73">
    <cfRule type="cellIs" dxfId="49" priority="4" operator="lessThan">
      <formula>75</formula>
    </cfRule>
  </conditionalFormatting>
  <conditionalFormatting sqref="BC79">
    <cfRule type="cellIs" dxfId="48" priority="3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verticalDpi="0" r:id="rId1"/>
  <rowBreaks count="1" manualBreakCount="1">
    <brk id="42" max="5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16E9-7A8D-4BDA-8CC6-45FAFB2F2262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138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131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132</v>
      </c>
      <c r="F5" s="177"/>
      <c r="G5" s="177"/>
      <c r="H5" s="177"/>
      <c r="I5" s="177"/>
      <c r="J5" s="177"/>
      <c r="K5" s="177"/>
      <c r="L5" s="177"/>
      <c r="M5" s="177" t="s">
        <v>133</v>
      </c>
      <c r="N5" s="177"/>
      <c r="O5" s="177"/>
      <c r="P5" s="177"/>
      <c r="Q5" s="177"/>
      <c r="R5" s="177"/>
      <c r="S5" s="177"/>
      <c r="T5" s="177"/>
      <c r="U5" s="177" t="s">
        <v>134</v>
      </c>
      <c r="V5" s="177"/>
      <c r="W5" s="177"/>
      <c r="X5" s="177"/>
      <c r="Y5" s="177"/>
      <c r="Z5" s="177"/>
      <c r="AA5" s="177"/>
      <c r="AB5" s="177"/>
      <c r="AC5" s="177" t="s">
        <v>135</v>
      </c>
      <c r="AD5" s="177"/>
      <c r="AE5" s="177"/>
      <c r="AF5" s="177"/>
      <c r="AG5" s="177"/>
      <c r="AH5" s="177"/>
      <c r="AI5" s="177"/>
      <c r="AJ5" s="177"/>
      <c r="AK5" s="177" t="s">
        <v>136</v>
      </c>
      <c r="AL5" s="177"/>
      <c r="AM5" s="177"/>
      <c r="AN5" s="177"/>
      <c r="AO5" s="177"/>
      <c r="AP5" s="177"/>
      <c r="AQ5" s="177"/>
      <c r="AR5" s="177"/>
      <c r="AS5" s="177" t="s">
        <v>137</v>
      </c>
      <c r="AT5" s="177"/>
      <c r="AU5" s="177"/>
      <c r="AV5" s="177"/>
      <c r="AW5" s="177"/>
      <c r="AX5" s="177"/>
      <c r="AY5" s="177"/>
      <c r="AZ5" s="177"/>
      <c r="BA5" s="222">
        <v>16</v>
      </c>
      <c r="BB5" s="225">
        <f>BA5+D7</f>
        <v>54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86"/>
      <c r="BA6" s="223"/>
      <c r="BB6" s="226"/>
      <c r="BC6" s="182"/>
    </row>
    <row r="7" spans="1:55" ht="16.5" customHeight="1" thickBot="1" x14ac:dyDescent="0.4">
      <c r="A7" s="164" t="s">
        <v>12</v>
      </c>
      <c r="B7" s="167" t="s">
        <v>13</v>
      </c>
      <c r="C7" s="213" t="s">
        <v>14</v>
      </c>
      <c r="D7" s="220">
        <v>38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24"/>
      <c r="BB7" s="227"/>
      <c r="BC7" s="182"/>
    </row>
    <row r="8" spans="1:55" ht="30" customHeight="1" thickBot="1" x14ac:dyDescent="0.4">
      <c r="A8" s="165"/>
      <c r="B8" s="168"/>
      <c r="C8" s="213"/>
      <c r="D8" s="221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91</v>
      </c>
      <c r="P8" s="59" t="s">
        <v>92</v>
      </c>
      <c r="Q8" s="59" t="s">
        <v>101</v>
      </c>
      <c r="R8" s="174" t="s">
        <v>102</v>
      </c>
      <c r="S8" s="175"/>
      <c r="T8" s="176"/>
      <c r="U8" s="58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97"/>
      <c r="AP8" s="97"/>
      <c r="AQ8" s="97"/>
      <c r="AR8" s="97"/>
      <c r="AS8" s="74"/>
      <c r="AT8" s="74"/>
      <c r="AU8" s="74"/>
      <c r="AV8" s="74"/>
      <c r="AW8" s="74"/>
      <c r="AX8" s="74"/>
      <c r="AY8" s="74"/>
      <c r="AZ8" s="75"/>
      <c r="BA8" s="157" t="s">
        <v>129</v>
      </c>
      <c r="BB8" s="209" t="s">
        <v>3</v>
      </c>
      <c r="BC8" s="182"/>
    </row>
    <row r="9" spans="1:55" ht="39" customHeight="1" thickBot="1" x14ac:dyDescent="0.4">
      <c r="A9" s="166"/>
      <c r="B9" s="169"/>
      <c r="C9" s="213"/>
      <c r="D9" s="96" t="s">
        <v>128</v>
      </c>
      <c r="E9" s="77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83</v>
      </c>
      <c r="P9" s="56" t="s">
        <v>93</v>
      </c>
      <c r="Q9" s="56" t="s">
        <v>92</v>
      </c>
      <c r="R9" s="160" t="s">
        <v>107</v>
      </c>
      <c r="S9" s="130"/>
      <c r="T9" s="161"/>
      <c r="U9" s="98"/>
      <c r="V9" s="90"/>
      <c r="W9" s="90"/>
      <c r="X9" s="90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74"/>
      <c r="AT9" s="74"/>
      <c r="AU9" s="74"/>
      <c r="AV9" s="74"/>
      <c r="AW9" s="74"/>
      <c r="AX9" s="74"/>
      <c r="AY9" s="74"/>
      <c r="AZ9" s="75"/>
      <c r="BA9" s="158"/>
      <c r="BB9" s="211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22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4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153" t="s">
        <v>130</v>
      </c>
      <c r="V10" s="133"/>
      <c r="W10" s="133"/>
      <c r="X10" s="133"/>
      <c r="Y10" s="133"/>
      <c r="Z10" s="133"/>
      <c r="AA10" s="133"/>
      <c r="AB10" s="134"/>
      <c r="AC10" s="153" t="s">
        <v>130</v>
      </c>
      <c r="AD10" s="133"/>
      <c r="AE10" s="133"/>
      <c r="AF10" s="133"/>
      <c r="AG10" s="133"/>
      <c r="AH10" s="133"/>
      <c r="AI10" s="133"/>
      <c r="AJ10" s="134"/>
      <c r="AK10" s="153" t="s">
        <v>130</v>
      </c>
      <c r="AL10" s="133"/>
      <c r="AM10" s="133"/>
      <c r="AN10" s="133"/>
      <c r="AO10" s="133"/>
      <c r="AP10" s="133"/>
      <c r="AQ10" s="133"/>
      <c r="AR10" s="134"/>
      <c r="AS10" s="153" t="s">
        <v>130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2">SUM(E10:AZ10)</f>
        <v>16</v>
      </c>
      <c r="BB10" s="9">
        <f>BA10+D10+C10</f>
        <v>38</v>
      </c>
      <c r="BC10" s="10">
        <f>ROUND((BB10/BB$5)*100,0)</f>
        <v>70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0</v>
      </c>
      <c r="E11" s="61" t="s">
        <v>124</v>
      </c>
      <c r="F11" s="62" t="str">
        <f>E11</f>
        <v>a</v>
      </c>
      <c r="G11" s="62" t="str">
        <f>F11</f>
        <v>a</v>
      </c>
      <c r="H11" s="62" t="str">
        <f>G11</f>
        <v>a</v>
      </c>
      <c r="I11" s="62" t="s">
        <v>124</v>
      </c>
      <c r="J11" s="62" t="str">
        <f>I11</f>
        <v>a</v>
      </c>
      <c r="K11" s="62" t="str">
        <f>J11</f>
        <v>a</v>
      </c>
      <c r="L11" s="63" t="str">
        <f>K11</f>
        <v>a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135"/>
      <c r="V11" s="136"/>
      <c r="W11" s="136"/>
      <c r="X11" s="136"/>
      <c r="Y11" s="136"/>
      <c r="Z11" s="136"/>
      <c r="AA11" s="136"/>
      <c r="AB11" s="137"/>
      <c r="AC11" s="135"/>
      <c r="AD11" s="136"/>
      <c r="AE11" s="136"/>
      <c r="AF11" s="136"/>
      <c r="AG11" s="136"/>
      <c r="AH11" s="136"/>
      <c r="AI11" s="136"/>
      <c r="AJ11" s="137"/>
      <c r="AK11" s="135"/>
      <c r="AL11" s="136"/>
      <c r="AM11" s="136"/>
      <c r="AN11" s="136"/>
      <c r="AO11" s="136"/>
      <c r="AP11" s="136"/>
      <c r="AQ11" s="136"/>
      <c r="AR11" s="137"/>
      <c r="AS11" s="135"/>
      <c r="AT11" s="136"/>
      <c r="AU11" s="136"/>
      <c r="AV11" s="136"/>
      <c r="AW11" s="136"/>
      <c r="AX11" s="136"/>
      <c r="AY11" s="136"/>
      <c r="AZ11" s="137"/>
      <c r="BA11" s="37">
        <f t="shared" si="2"/>
        <v>8</v>
      </c>
      <c r="BB11" s="9">
        <f t="shared" ref="BB11:BB73" si="3">BA11+D11+C11</f>
        <v>8</v>
      </c>
      <c r="BC11" s="10">
        <f t="shared" ref="BC11:BC73" si="4">ROUND((BB11/BB$5)*100,0)</f>
        <v>15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38</v>
      </c>
      <c r="E12" s="61">
        <v>1</v>
      </c>
      <c r="F12" s="62">
        <f t="shared" ref="F12:L26" si="5">E12</f>
        <v>1</v>
      </c>
      <c r="G12" s="62">
        <f t="shared" si="5"/>
        <v>1</v>
      </c>
      <c r="H12" s="62">
        <f t="shared" si="5"/>
        <v>1</v>
      </c>
      <c r="I12" s="62">
        <f t="shared" si="5"/>
        <v>1</v>
      </c>
      <c r="J12" s="62">
        <f t="shared" si="5"/>
        <v>1</v>
      </c>
      <c r="K12" s="62">
        <f t="shared" si="5"/>
        <v>1</v>
      </c>
      <c r="L12" s="63">
        <f t="shared" si="5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135"/>
      <c r="V12" s="136"/>
      <c r="W12" s="136"/>
      <c r="X12" s="136"/>
      <c r="Y12" s="136"/>
      <c r="Z12" s="136"/>
      <c r="AA12" s="136"/>
      <c r="AB12" s="137"/>
      <c r="AC12" s="135"/>
      <c r="AD12" s="136"/>
      <c r="AE12" s="136"/>
      <c r="AF12" s="136"/>
      <c r="AG12" s="136"/>
      <c r="AH12" s="136"/>
      <c r="AI12" s="136"/>
      <c r="AJ12" s="137"/>
      <c r="AK12" s="135"/>
      <c r="AL12" s="136"/>
      <c r="AM12" s="136"/>
      <c r="AN12" s="136"/>
      <c r="AO12" s="136"/>
      <c r="AP12" s="136"/>
      <c r="AQ12" s="136"/>
      <c r="AR12" s="137"/>
      <c r="AS12" s="135"/>
      <c r="AT12" s="136"/>
      <c r="AU12" s="136"/>
      <c r="AV12" s="136"/>
      <c r="AW12" s="136"/>
      <c r="AX12" s="136"/>
      <c r="AY12" s="136"/>
      <c r="AZ12" s="137"/>
      <c r="BA12" s="37">
        <f t="shared" si="2"/>
        <v>16</v>
      </c>
      <c r="BB12" s="9">
        <f t="shared" si="3"/>
        <v>54</v>
      </c>
      <c r="BC12" s="10">
        <f t="shared" si="4"/>
        <v>100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14</v>
      </c>
      <c r="E13" s="61">
        <v>1</v>
      </c>
      <c r="F13" s="62">
        <f t="shared" si="5"/>
        <v>1</v>
      </c>
      <c r="G13" s="62">
        <f t="shared" si="5"/>
        <v>1</v>
      </c>
      <c r="H13" s="62">
        <f t="shared" si="5"/>
        <v>1</v>
      </c>
      <c r="I13" s="62">
        <f t="shared" si="5"/>
        <v>1</v>
      </c>
      <c r="J13" s="62">
        <f t="shared" si="5"/>
        <v>1</v>
      </c>
      <c r="K13" s="62">
        <f t="shared" si="5"/>
        <v>1</v>
      </c>
      <c r="L13" s="63">
        <f t="shared" si="5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135"/>
      <c r="V13" s="136"/>
      <c r="W13" s="136"/>
      <c r="X13" s="136"/>
      <c r="Y13" s="136"/>
      <c r="Z13" s="136"/>
      <c r="AA13" s="136"/>
      <c r="AB13" s="137"/>
      <c r="AC13" s="135"/>
      <c r="AD13" s="136"/>
      <c r="AE13" s="136"/>
      <c r="AF13" s="136"/>
      <c r="AG13" s="136"/>
      <c r="AH13" s="136"/>
      <c r="AI13" s="136"/>
      <c r="AJ13" s="137"/>
      <c r="AK13" s="135"/>
      <c r="AL13" s="136"/>
      <c r="AM13" s="136"/>
      <c r="AN13" s="136"/>
      <c r="AO13" s="136"/>
      <c r="AP13" s="136"/>
      <c r="AQ13" s="136"/>
      <c r="AR13" s="137"/>
      <c r="AS13" s="135"/>
      <c r="AT13" s="136"/>
      <c r="AU13" s="136"/>
      <c r="AV13" s="136"/>
      <c r="AW13" s="136"/>
      <c r="AX13" s="136"/>
      <c r="AY13" s="136"/>
      <c r="AZ13" s="137"/>
      <c r="BA13" s="37">
        <f t="shared" si="2"/>
        <v>16</v>
      </c>
      <c r="BB13" s="9">
        <f t="shared" si="3"/>
        <v>30</v>
      </c>
      <c r="BC13" s="10">
        <f t="shared" si="4"/>
        <v>56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14</v>
      </c>
      <c r="E14" s="61">
        <v>1</v>
      </c>
      <c r="F14" s="62">
        <f t="shared" si="5"/>
        <v>1</v>
      </c>
      <c r="G14" s="62">
        <f t="shared" si="5"/>
        <v>1</v>
      </c>
      <c r="H14" s="62">
        <f t="shared" si="5"/>
        <v>1</v>
      </c>
      <c r="I14" s="62">
        <f t="shared" si="5"/>
        <v>1</v>
      </c>
      <c r="J14" s="62">
        <f t="shared" si="5"/>
        <v>1</v>
      </c>
      <c r="K14" s="62">
        <f t="shared" si="5"/>
        <v>1</v>
      </c>
      <c r="L14" s="63">
        <f t="shared" si="5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135"/>
      <c r="V14" s="136"/>
      <c r="W14" s="136"/>
      <c r="X14" s="136"/>
      <c r="Y14" s="136"/>
      <c r="Z14" s="136"/>
      <c r="AA14" s="136"/>
      <c r="AB14" s="137"/>
      <c r="AC14" s="135"/>
      <c r="AD14" s="136"/>
      <c r="AE14" s="136"/>
      <c r="AF14" s="136"/>
      <c r="AG14" s="136"/>
      <c r="AH14" s="136"/>
      <c r="AI14" s="136"/>
      <c r="AJ14" s="137"/>
      <c r="AK14" s="135"/>
      <c r="AL14" s="136"/>
      <c r="AM14" s="136"/>
      <c r="AN14" s="136"/>
      <c r="AO14" s="136"/>
      <c r="AP14" s="136"/>
      <c r="AQ14" s="136"/>
      <c r="AR14" s="137"/>
      <c r="AS14" s="135"/>
      <c r="AT14" s="136"/>
      <c r="AU14" s="136"/>
      <c r="AV14" s="136"/>
      <c r="AW14" s="136"/>
      <c r="AX14" s="136"/>
      <c r="AY14" s="136"/>
      <c r="AZ14" s="137"/>
      <c r="BA14" s="37">
        <f t="shared" si="2"/>
        <v>16</v>
      </c>
      <c r="BB14" s="9">
        <f t="shared" si="3"/>
        <v>30</v>
      </c>
      <c r="BC14" s="10">
        <f t="shared" si="4"/>
        <v>56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24</v>
      </c>
      <c r="E15" s="61">
        <v>1</v>
      </c>
      <c r="F15" s="62">
        <f t="shared" si="5"/>
        <v>1</v>
      </c>
      <c r="G15" s="62">
        <f t="shared" si="5"/>
        <v>1</v>
      </c>
      <c r="H15" s="62">
        <f t="shared" si="5"/>
        <v>1</v>
      </c>
      <c r="I15" s="62">
        <f t="shared" si="5"/>
        <v>1</v>
      </c>
      <c r="J15" s="62">
        <f t="shared" si="5"/>
        <v>1</v>
      </c>
      <c r="K15" s="62">
        <f t="shared" si="5"/>
        <v>1</v>
      </c>
      <c r="L15" s="63">
        <f t="shared" si="5"/>
        <v>1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135"/>
      <c r="V15" s="136"/>
      <c r="W15" s="136"/>
      <c r="X15" s="136"/>
      <c r="Y15" s="136"/>
      <c r="Z15" s="136"/>
      <c r="AA15" s="136"/>
      <c r="AB15" s="137"/>
      <c r="AC15" s="135"/>
      <c r="AD15" s="136"/>
      <c r="AE15" s="136"/>
      <c r="AF15" s="136"/>
      <c r="AG15" s="136"/>
      <c r="AH15" s="136"/>
      <c r="AI15" s="136"/>
      <c r="AJ15" s="137"/>
      <c r="AK15" s="135"/>
      <c r="AL15" s="136"/>
      <c r="AM15" s="136"/>
      <c r="AN15" s="136"/>
      <c r="AO15" s="136"/>
      <c r="AP15" s="136"/>
      <c r="AQ15" s="136"/>
      <c r="AR15" s="137"/>
      <c r="AS15" s="135"/>
      <c r="AT15" s="136"/>
      <c r="AU15" s="136"/>
      <c r="AV15" s="136"/>
      <c r="AW15" s="136"/>
      <c r="AX15" s="136"/>
      <c r="AY15" s="136"/>
      <c r="AZ15" s="137"/>
      <c r="BA15" s="37">
        <f t="shared" si="2"/>
        <v>8</v>
      </c>
      <c r="BB15" s="9">
        <f t="shared" si="3"/>
        <v>32</v>
      </c>
      <c r="BC15" s="10">
        <f t="shared" si="4"/>
        <v>59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24</v>
      </c>
      <c r="E16" s="61">
        <v>1</v>
      </c>
      <c r="F16" s="62">
        <f t="shared" si="5"/>
        <v>1</v>
      </c>
      <c r="G16" s="62">
        <f t="shared" si="5"/>
        <v>1</v>
      </c>
      <c r="H16" s="62">
        <f t="shared" si="5"/>
        <v>1</v>
      </c>
      <c r="I16" s="62">
        <f t="shared" si="5"/>
        <v>1</v>
      </c>
      <c r="J16" s="62">
        <f t="shared" si="5"/>
        <v>1</v>
      </c>
      <c r="K16" s="62">
        <f t="shared" si="5"/>
        <v>1</v>
      </c>
      <c r="L16" s="63">
        <f t="shared" si="5"/>
        <v>1</v>
      </c>
      <c r="M16" s="61" t="s">
        <v>124</v>
      </c>
      <c r="N16" s="62" t="str">
        <f t="shared" si="1"/>
        <v>a</v>
      </c>
      <c r="O16" s="62" t="str">
        <f t="shared" si="1"/>
        <v>a</v>
      </c>
      <c r="P16" s="62" t="str">
        <f t="shared" si="1"/>
        <v>a</v>
      </c>
      <c r="Q16" s="62" t="str">
        <f t="shared" si="1"/>
        <v>a</v>
      </c>
      <c r="R16" s="62" t="str">
        <f t="shared" si="1"/>
        <v>a</v>
      </c>
      <c r="S16" s="62" t="str">
        <f t="shared" si="1"/>
        <v>a</v>
      </c>
      <c r="T16" s="63" t="str">
        <f t="shared" si="1"/>
        <v>a</v>
      </c>
      <c r="U16" s="135"/>
      <c r="V16" s="136"/>
      <c r="W16" s="136"/>
      <c r="X16" s="136"/>
      <c r="Y16" s="136"/>
      <c r="Z16" s="136"/>
      <c r="AA16" s="136"/>
      <c r="AB16" s="137"/>
      <c r="AC16" s="135"/>
      <c r="AD16" s="136"/>
      <c r="AE16" s="136"/>
      <c r="AF16" s="136"/>
      <c r="AG16" s="136"/>
      <c r="AH16" s="136"/>
      <c r="AI16" s="136"/>
      <c r="AJ16" s="137"/>
      <c r="AK16" s="135"/>
      <c r="AL16" s="136"/>
      <c r="AM16" s="136"/>
      <c r="AN16" s="136"/>
      <c r="AO16" s="136"/>
      <c r="AP16" s="136"/>
      <c r="AQ16" s="136"/>
      <c r="AR16" s="137"/>
      <c r="AS16" s="135"/>
      <c r="AT16" s="136"/>
      <c r="AU16" s="136"/>
      <c r="AV16" s="136"/>
      <c r="AW16" s="136"/>
      <c r="AX16" s="136"/>
      <c r="AY16" s="136"/>
      <c r="AZ16" s="137"/>
      <c r="BA16" s="37">
        <f t="shared" si="2"/>
        <v>8</v>
      </c>
      <c r="BB16" s="9">
        <f t="shared" si="3"/>
        <v>32</v>
      </c>
      <c r="BC16" s="10">
        <f t="shared" si="4"/>
        <v>59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32</v>
      </c>
      <c r="E17" s="61">
        <v>1</v>
      </c>
      <c r="F17" s="62">
        <f t="shared" si="5"/>
        <v>1</v>
      </c>
      <c r="G17" s="62">
        <f t="shared" si="5"/>
        <v>1</v>
      </c>
      <c r="H17" s="62">
        <f t="shared" si="5"/>
        <v>1</v>
      </c>
      <c r="I17" s="62">
        <f t="shared" si="5"/>
        <v>1</v>
      </c>
      <c r="J17" s="62">
        <f t="shared" si="5"/>
        <v>1</v>
      </c>
      <c r="K17" s="62">
        <f t="shared" si="5"/>
        <v>1</v>
      </c>
      <c r="L17" s="63">
        <f t="shared" si="5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135"/>
      <c r="V17" s="136"/>
      <c r="W17" s="136"/>
      <c r="X17" s="136"/>
      <c r="Y17" s="136"/>
      <c r="Z17" s="136"/>
      <c r="AA17" s="136"/>
      <c r="AB17" s="137"/>
      <c r="AC17" s="135"/>
      <c r="AD17" s="136"/>
      <c r="AE17" s="136"/>
      <c r="AF17" s="136"/>
      <c r="AG17" s="136"/>
      <c r="AH17" s="136"/>
      <c r="AI17" s="136"/>
      <c r="AJ17" s="137"/>
      <c r="AK17" s="135"/>
      <c r="AL17" s="136"/>
      <c r="AM17" s="136"/>
      <c r="AN17" s="136"/>
      <c r="AO17" s="136"/>
      <c r="AP17" s="136"/>
      <c r="AQ17" s="136"/>
      <c r="AR17" s="137"/>
      <c r="AS17" s="135"/>
      <c r="AT17" s="136"/>
      <c r="AU17" s="136"/>
      <c r="AV17" s="136"/>
      <c r="AW17" s="136"/>
      <c r="AX17" s="136"/>
      <c r="AY17" s="136"/>
      <c r="AZ17" s="137"/>
      <c r="BA17" s="37">
        <f t="shared" si="2"/>
        <v>16</v>
      </c>
      <c r="BB17" s="9">
        <f t="shared" si="3"/>
        <v>48</v>
      </c>
      <c r="BC17" s="10">
        <f t="shared" si="4"/>
        <v>89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32</v>
      </c>
      <c r="E18" s="61">
        <v>1</v>
      </c>
      <c r="F18" s="62">
        <f t="shared" si="5"/>
        <v>1</v>
      </c>
      <c r="G18" s="62">
        <f t="shared" si="5"/>
        <v>1</v>
      </c>
      <c r="H18" s="62">
        <f t="shared" si="5"/>
        <v>1</v>
      </c>
      <c r="I18" s="62">
        <f t="shared" si="5"/>
        <v>1</v>
      </c>
      <c r="J18" s="62">
        <f t="shared" si="5"/>
        <v>1</v>
      </c>
      <c r="K18" s="62">
        <f t="shared" si="5"/>
        <v>1</v>
      </c>
      <c r="L18" s="63">
        <f t="shared" si="5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135"/>
      <c r="V18" s="136"/>
      <c r="W18" s="136"/>
      <c r="X18" s="136"/>
      <c r="Y18" s="136"/>
      <c r="Z18" s="136"/>
      <c r="AA18" s="136"/>
      <c r="AB18" s="137"/>
      <c r="AC18" s="135"/>
      <c r="AD18" s="136"/>
      <c r="AE18" s="136"/>
      <c r="AF18" s="136"/>
      <c r="AG18" s="136"/>
      <c r="AH18" s="136"/>
      <c r="AI18" s="136"/>
      <c r="AJ18" s="137"/>
      <c r="AK18" s="135"/>
      <c r="AL18" s="136"/>
      <c r="AM18" s="136"/>
      <c r="AN18" s="136"/>
      <c r="AO18" s="136"/>
      <c r="AP18" s="136"/>
      <c r="AQ18" s="136"/>
      <c r="AR18" s="137"/>
      <c r="AS18" s="135"/>
      <c r="AT18" s="136"/>
      <c r="AU18" s="136"/>
      <c r="AV18" s="136"/>
      <c r="AW18" s="136"/>
      <c r="AX18" s="136"/>
      <c r="AY18" s="136"/>
      <c r="AZ18" s="137"/>
      <c r="BA18" s="37">
        <f t="shared" si="2"/>
        <v>8</v>
      </c>
      <c r="BB18" s="9">
        <f t="shared" si="3"/>
        <v>40</v>
      </c>
      <c r="BC18" s="10">
        <f t="shared" si="4"/>
        <v>74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32</v>
      </c>
      <c r="E19" s="61">
        <v>1</v>
      </c>
      <c r="F19" s="62">
        <f t="shared" si="5"/>
        <v>1</v>
      </c>
      <c r="G19" s="62">
        <f t="shared" si="5"/>
        <v>1</v>
      </c>
      <c r="H19" s="62">
        <f t="shared" si="5"/>
        <v>1</v>
      </c>
      <c r="I19" s="62">
        <f t="shared" si="5"/>
        <v>1</v>
      </c>
      <c r="J19" s="62">
        <f t="shared" si="5"/>
        <v>1</v>
      </c>
      <c r="K19" s="62">
        <f t="shared" si="5"/>
        <v>1</v>
      </c>
      <c r="L19" s="63">
        <f t="shared" si="5"/>
        <v>1</v>
      </c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62" t="str">
        <f t="shared" si="1"/>
        <v>a</v>
      </c>
      <c r="R19" s="62" t="str">
        <f t="shared" si="1"/>
        <v>a</v>
      </c>
      <c r="S19" s="62" t="str">
        <f t="shared" si="1"/>
        <v>a</v>
      </c>
      <c r="T19" s="63" t="str">
        <f t="shared" si="1"/>
        <v>a</v>
      </c>
      <c r="U19" s="135"/>
      <c r="V19" s="136"/>
      <c r="W19" s="136"/>
      <c r="X19" s="136"/>
      <c r="Y19" s="136"/>
      <c r="Z19" s="136"/>
      <c r="AA19" s="136"/>
      <c r="AB19" s="137"/>
      <c r="AC19" s="135"/>
      <c r="AD19" s="136"/>
      <c r="AE19" s="136"/>
      <c r="AF19" s="136"/>
      <c r="AG19" s="136"/>
      <c r="AH19" s="136"/>
      <c r="AI19" s="136"/>
      <c r="AJ19" s="137"/>
      <c r="AK19" s="135"/>
      <c r="AL19" s="136"/>
      <c r="AM19" s="136"/>
      <c r="AN19" s="136"/>
      <c r="AO19" s="136"/>
      <c r="AP19" s="136"/>
      <c r="AQ19" s="136"/>
      <c r="AR19" s="137"/>
      <c r="AS19" s="135"/>
      <c r="AT19" s="136"/>
      <c r="AU19" s="136"/>
      <c r="AV19" s="136"/>
      <c r="AW19" s="136"/>
      <c r="AX19" s="136"/>
      <c r="AY19" s="136"/>
      <c r="AZ19" s="137"/>
      <c r="BA19" s="37">
        <f t="shared" si="2"/>
        <v>8</v>
      </c>
      <c r="BB19" s="9">
        <f t="shared" si="3"/>
        <v>40</v>
      </c>
      <c r="BC19" s="10">
        <f t="shared" si="4"/>
        <v>74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38</v>
      </c>
      <c r="E20" s="61">
        <v>1</v>
      </c>
      <c r="F20" s="62">
        <f t="shared" si="5"/>
        <v>1</v>
      </c>
      <c r="G20" s="62">
        <f t="shared" si="5"/>
        <v>1</v>
      </c>
      <c r="H20" s="62">
        <f t="shared" si="5"/>
        <v>1</v>
      </c>
      <c r="I20" s="62">
        <f t="shared" si="5"/>
        <v>1</v>
      </c>
      <c r="J20" s="62">
        <f t="shared" si="5"/>
        <v>1</v>
      </c>
      <c r="K20" s="62">
        <f t="shared" si="5"/>
        <v>1</v>
      </c>
      <c r="L20" s="63">
        <f t="shared" si="5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135"/>
      <c r="V20" s="136"/>
      <c r="W20" s="136"/>
      <c r="X20" s="136"/>
      <c r="Y20" s="136"/>
      <c r="Z20" s="136"/>
      <c r="AA20" s="136"/>
      <c r="AB20" s="137"/>
      <c r="AC20" s="135"/>
      <c r="AD20" s="136"/>
      <c r="AE20" s="136"/>
      <c r="AF20" s="136"/>
      <c r="AG20" s="136"/>
      <c r="AH20" s="136"/>
      <c r="AI20" s="136"/>
      <c r="AJ20" s="137"/>
      <c r="AK20" s="135"/>
      <c r="AL20" s="136"/>
      <c r="AM20" s="136"/>
      <c r="AN20" s="136"/>
      <c r="AO20" s="136"/>
      <c r="AP20" s="136"/>
      <c r="AQ20" s="136"/>
      <c r="AR20" s="137"/>
      <c r="AS20" s="135"/>
      <c r="AT20" s="136"/>
      <c r="AU20" s="136"/>
      <c r="AV20" s="136"/>
      <c r="AW20" s="136"/>
      <c r="AX20" s="136"/>
      <c r="AY20" s="136"/>
      <c r="AZ20" s="137"/>
      <c r="BA20" s="37">
        <f t="shared" si="2"/>
        <v>16</v>
      </c>
      <c r="BB20" s="9">
        <f t="shared" si="3"/>
        <v>54</v>
      </c>
      <c r="BC20" s="10">
        <f t="shared" si="4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38</v>
      </c>
      <c r="E21" s="61">
        <v>1</v>
      </c>
      <c r="F21" s="62">
        <f t="shared" si="5"/>
        <v>1</v>
      </c>
      <c r="G21" s="62">
        <f t="shared" si="5"/>
        <v>1</v>
      </c>
      <c r="H21" s="62">
        <f t="shared" si="5"/>
        <v>1</v>
      </c>
      <c r="I21" s="62">
        <f t="shared" si="5"/>
        <v>1</v>
      </c>
      <c r="J21" s="62">
        <f t="shared" si="5"/>
        <v>1</v>
      </c>
      <c r="K21" s="62">
        <f t="shared" si="5"/>
        <v>1</v>
      </c>
      <c r="L21" s="63">
        <f t="shared" si="5"/>
        <v>1</v>
      </c>
      <c r="M21" s="61" t="s">
        <v>124</v>
      </c>
      <c r="N21" s="62" t="str">
        <f t="shared" si="1"/>
        <v>a</v>
      </c>
      <c r="O21" s="62" t="str">
        <f t="shared" si="1"/>
        <v>a</v>
      </c>
      <c r="P21" s="62" t="str">
        <f t="shared" si="1"/>
        <v>a</v>
      </c>
      <c r="Q21" s="62" t="str">
        <f t="shared" si="1"/>
        <v>a</v>
      </c>
      <c r="R21" s="62" t="str">
        <f t="shared" si="1"/>
        <v>a</v>
      </c>
      <c r="S21" s="62" t="str">
        <f t="shared" si="1"/>
        <v>a</v>
      </c>
      <c r="T21" s="63" t="str">
        <f t="shared" si="1"/>
        <v>a</v>
      </c>
      <c r="U21" s="135"/>
      <c r="V21" s="136"/>
      <c r="W21" s="136"/>
      <c r="X21" s="136"/>
      <c r="Y21" s="136"/>
      <c r="Z21" s="136"/>
      <c r="AA21" s="136"/>
      <c r="AB21" s="137"/>
      <c r="AC21" s="135"/>
      <c r="AD21" s="136"/>
      <c r="AE21" s="136"/>
      <c r="AF21" s="136"/>
      <c r="AG21" s="136"/>
      <c r="AH21" s="136"/>
      <c r="AI21" s="136"/>
      <c r="AJ21" s="137"/>
      <c r="AK21" s="135"/>
      <c r="AL21" s="136"/>
      <c r="AM21" s="136"/>
      <c r="AN21" s="136"/>
      <c r="AO21" s="136"/>
      <c r="AP21" s="136"/>
      <c r="AQ21" s="136"/>
      <c r="AR21" s="137"/>
      <c r="AS21" s="135"/>
      <c r="AT21" s="136"/>
      <c r="AU21" s="136"/>
      <c r="AV21" s="136"/>
      <c r="AW21" s="136"/>
      <c r="AX21" s="136"/>
      <c r="AY21" s="136"/>
      <c r="AZ21" s="137"/>
      <c r="BA21" s="37">
        <f t="shared" si="2"/>
        <v>8</v>
      </c>
      <c r="BB21" s="9">
        <f t="shared" si="3"/>
        <v>46</v>
      </c>
      <c r="BC21" s="10">
        <f t="shared" si="4"/>
        <v>85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38</v>
      </c>
      <c r="E22" s="61">
        <v>1</v>
      </c>
      <c r="F22" s="62">
        <f t="shared" si="5"/>
        <v>1</v>
      </c>
      <c r="G22" s="62">
        <f t="shared" si="5"/>
        <v>1</v>
      </c>
      <c r="H22" s="62">
        <f t="shared" si="5"/>
        <v>1</v>
      </c>
      <c r="I22" s="62">
        <f t="shared" si="5"/>
        <v>1</v>
      </c>
      <c r="J22" s="62">
        <f t="shared" si="5"/>
        <v>1</v>
      </c>
      <c r="K22" s="62">
        <f t="shared" si="5"/>
        <v>1</v>
      </c>
      <c r="L22" s="63">
        <f t="shared" si="5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135"/>
      <c r="V22" s="136"/>
      <c r="W22" s="136"/>
      <c r="X22" s="136"/>
      <c r="Y22" s="136"/>
      <c r="Z22" s="136"/>
      <c r="AA22" s="136"/>
      <c r="AB22" s="137"/>
      <c r="AC22" s="135"/>
      <c r="AD22" s="136"/>
      <c r="AE22" s="136"/>
      <c r="AF22" s="136"/>
      <c r="AG22" s="136"/>
      <c r="AH22" s="136"/>
      <c r="AI22" s="136"/>
      <c r="AJ22" s="137"/>
      <c r="AK22" s="135"/>
      <c r="AL22" s="136"/>
      <c r="AM22" s="136"/>
      <c r="AN22" s="136"/>
      <c r="AO22" s="136"/>
      <c r="AP22" s="136"/>
      <c r="AQ22" s="136"/>
      <c r="AR22" s="137"/>
      <c r="AS22" s="135"/>
      <c r="AT22" s="136"/>
      <c r="AU22" s="136"/>
      <c r="AV22" s="136"/>
      <c r="AW22" s="136"/>
      <c r="AX22" s="136"/>
      <c r="AY22" s="136"/>
      <c r="AZ22" s="137"/>
      <c r="BA22" s="37">
        <f t="shared" si="2"/>
        <v>16</v>
      </c>
      <c r="BB22" s="9">
        <f t="shared" si="3"/>
        <v>54</v>
      </c>
      <c r="BC22" s="10">
        <f t="shared" si="4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32</v>
      </c>
      <c r="E23" s="61">
        <v>1</v>
      </c>
      <c r="F23" s="62">
        <f t="shared" si="5"/>
        <v>1</v>
      </c>
      <c r="G23" s="62">
        <f t="shared" si="5"/>
        <v>1</v>
      </c>
      <c r="H23" s="62">
        <f t="shared" si="5"/>
        <v>1</v>
      </c>
      <c r="I23" s="62">
        <f t="shared" si="5"/>
        <v>1</v>
      </c>
      <c r="J23" s="62">
        <f t="shared" si="5"/>
        <v>1</v>
      </c>
      <c r="K23" s="62">
        <f t="shared" si="5"/>
        <v>1</v>
      </c>
      <c r="L23" s="63">
        <f t="shared" si="5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135"/>
      <c r="V23" s="136"/>
      <c r="W23" s="136"/>
      <c r="X23" s="136"/>
      <c r="Y23" s="136"/>
      <c r="Z23" s="136"/>
      <c r="AA23" s="136"/>
      <c r="AB23" s="137"/>
      <c r="AC23" s="135"/>
      <c r="AD23" s="136"/>
      <c r="AE23" s="136"/>
      <c r="AF23" s="136"/>
      <c r="AG23" s="136"/>
      <c r="AH23" s="136"/>
      <c r="AI23" s="136"/>
      <c r="AJ23" s="137"/>
      <c r="AK23" s="135"/>
      <c r="AL23" s="136"/>
      <c r="AM23" s="136"/>
      <c r="AN23" s="136"/>
      <c r="AO23" s="136"/>
      <c r="AP23" s="136"/>
      <c r="AQ23" s="136"/>
      <c r="AR23" s="137"/>
      <c r="AS23" s="135"/>
      <c r="AT23" s="136"/>
      <c r="AU23" s="136"/>
      <c r="AV23" s="136"/>
      <c r="AW23" s="136"/>
      <c r="AX23" s="136"/>
      <c r="AY23" s="136"/>
      <c r="AZ23" s="137"/>
      <c r="BA23" s="37">
        <f t="shared" si="2"/>
        <v>16</v>
      </c>
      <c r="BB23" s="9">
        <f t="shared" si="3"/>
        <v>48</v>
      </c>
      <c r="BC23" s="10">
        <f t="shared" si="4"/>
        <v>89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32</v>
      </c>
      <c r="E24" s="61">
        <v>1</v>
      </c>
      <c r="F24" s="62">
        <f t="shared" si="5"/>
        <v>1</v>
      </c>
      <c r="G24" s="62">
        <f t="shared" si="5"/>
        <v>1</v>
      </c>
      <c r="H24" s="62">
        <f t="shared" si="5"/>
        <v>1</v>
      </c>
      <c r="I24" s="62">
        <f t="shared" si="5"/>
        <v>1</v>
      </c>
      <c r="J24" s="62">
        <f t="shared" si="5"/>
        <v>1</v>
      </c>
      <c r="K24" s="62">
        <f t="shared" si="5"/>
        <v>1</v>
      </c>
      <c r="L24" s="63">
        <f t="shared" si="5"/>
        <v>1</v>
      </c>
      <c r="M24" s="61" t="s">
        <v>124</v>
      </c>
      <c r="N24" s="62" t="str">
        <f t="shared" si="1"/>
        <v>a</v>
      </c>
      <c r="O24" s="62" t="str">
        <f t="shared" si="1"/>
        <v>a</v>
      </c>
      <c r="P24" s="62" t="str">
        <f t="shared" si="1"/>
        <v>a</v>
      </c>
      <c r="Q24" s="62" t="str">
        <f t="shared" si="1"/>
        <v>a</v>
      </c>
      <c r="R24" s="62" t="str">
        <f t="shared" si="1"/>
        <v>a</v>
      </c>
      <c r="S24" s="62" t="str">
        <f t="shared" si="1"/>
        <v>a</v>
      </c>
      <c r="T24" s="63" t="str">
        <f t="shared" si="1"/>
        <v>a</v>
      </c>
      <c r="U24" s="135"/>
      <c r="V24" s="136"/>
      <c r="W24" s="136"/>
      <c r="X24" s="136"/>
      <c r="Y24" s="136"/>
      <c r="Z24" s="136"/>
      <c r="AA24" s="136"/>
      <c r="AB24" s="137"/>
      <c r="AC24" s="135"/>
      <c r="AD24" s="136"/>
      <c r="AE24" s="136"/>
      <c r="AF24" s="136"/>
      <c r="AG24" s="136"/>
      <c r="AH24" s="136"/>
      <c r="AI24" s="136"/>
      <c r="AJ24" s="137"/>
      <c r="AK24" s="135"/>
      <c r="AL24" s="136"/>
      <c r="AM24" s="136"/>
      <c r="AN24" s="136"/>
      <c r="AO24" s="136"/>
      <c r="AP24" s="136"/>
      <c r="AQ24" s="136"/>
      <c r="AR24" s="137"/>
      <c r="AS24" s="135"/>
      <c r="AT24" s="136"/>
      <c r="AU24" s="136"/>
      <c r="AV24" s="136"/>
      <c r="AW24" s="136"/>
      <c r="AX24" s="136"/>
      <c r="AY24" s="136"/>
      <c r="AZ24" s="137"/>
      <c r="BA24" s="37">
        <f t="shared" si="2"/>
        <v>8</v>
      </c>
      <c r="BB24" s="9">
        <f t="shared" si="3"/>
        <v>40</v>
      </c>
      <c r="BC24" s="10">
        <f t="shared" si="4"/>
        <v>74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30</v>
      </c>
      <c r="E25" s="61" t="s">
        <v>124</v>
      </c>
      <c r="F25" s="62" t="str">
        <f t="shared" si="5"/>
        <v>a</v>
      </c>
      <c r="G25" s="62" t="str">
        <f t="shared" si="5"/>
        <v>a</v>
      </c>
      <c r="H25" s="62" t="str">
        <f t="shared" si="5"/>
        <v>a</v>
      </c>
      <c r="I25" s="62" t="str">
        <f t="shared" si="5"/>
        <v>a</v>
      </c>
      <c r="J25" s="62" t="str">
        <f t="shared" si="5"/>
        <v>a</v>
      </c>
      <c r="K25" s="62" t="str">
        <f t="shared" si="5"/>
        <v>a</v>
      </c>
      <c r="L25" s="63" t="str">
        <f t="shared" si="5"/>
        <v>a</v>
      </c>
      <c r="M25" s="61" t="s">
        <v>124</v>
      </c>
      <c r="N25" s="62" t="str">
        <f t="shared" ref="N25:T40" si="6">M25</f>
        <v>a</v>
      </c>
      <c r="O25" s="62" t="str">
        <f t="shared" si="6"/>
        <v>a</v>
      </c>
      <c r="P25" s="62" t="str">
        <f t="shared" si="6"/>
        <v>a</v>
      </c>
      <c r="Q25" s="62" t="str">
        <f t="shared" si="6"/>
        <v>a</v>
      </c>
      <c r="R25" s="62" t="str">
        <f t="shared" si="6"/>
        <v>a</v>
      </c>
      <c r="S25" s="62" t="str">
        <f t="shared" si="6"/>
        <v>a</v>
      </c>
      <c r="T25" s="63" t="str">
        <f t="shared" si="6"/>
        <v>a</v>
      </c>
      <c r="U25" s="135"/>
      <c r="V25" s="136"/>
      <c r="W25" s="136"/>
      <c r="X25" s="136"/>
      <c r="Y25" s="136"/>
      <c r="Z25" s="136"/>
      <c r="AA25" s="136"/>
      <c r="AB25" s="137"/>
      <c r="AC25" s="135"/>
      <c r="AD25" s="136"/>
      <c r="AE25" s="136"/>
      <c r="AF25" s="136"/>
      <c r="AG25" s="136"/>
      <c r="AH25" s="136"/>
      <c r="AI25" s="136"/>
      <c r="AJ25" s="137"/>
      <c r="AK25" s="135"/>
      <c r="AL25" s="136"/>
      <c r="AM25" s="136"/>
      <c r="AN25" s="136"/>
      <c r="AO25" s="136"/>
      <c r="AP25" s="136"/>
      <c r="AQ25" s="136"/>
      <c r="AR25" s="137"/>
      <c r="AS25" s="135"/>
      <c r="AT25" s="136"/>
      <c r="AU25" s="136"/>
      <c r="AV25" s="136"/>
      <c r="AW25" s="136"/>
      <c r="AX25" s="136"/>
      <c r="AY25" s="136"/>
      <c r="AZ25" s="137"/>
      <c r="BA25" s="37">
        <f t="shared" si="2"/>
        <v>0</v>
      </c>
      <c r="BB25" s="9">
        <f t="shared" si="3"/>
        <v>30</v>
      </c>
      <c r="BC25" s="10">
        <f t="shared" si="4"/>
        <v>56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32</v>
      </c>
      <c r="E26" s="61">
        <v>1</v>
      </c>
      <c r="F26" s="62">
        <f t="shared" si="5"/>
        <v>1</v>
      </c>
      <c r="G26" s="62">
        <f t="shared" si="5"/>
        <v>1</v>
      </c>
      <c r="H26" s="62">
        <f t="shared" si="5"/>
        <v>1</v>
      </c>
      <c r="I26" s="62">
        <f t="shared" si="5"/>
        <v>1</v>
      </c>
      <c r="J26" s="62">
        <f t="shared" si="5"/>
        <v>1</v>
      </c>
      <c r="K26" s="62">
        <f t="shared" si="5"/>
        <v>1</v>
      </c>
      <c r="L26" s="63">
        <f t="shared" si="5"/>
        <v>1</v>
      </c>
      <c r="M26" s="61" t="s">
        <v>124</v>
      </c>
      <c r="N26" s="62" t="str">
        <f t="shared" si="6"/>
        <v>a</v>
      </c>
      <c r="O26" s="62" t="str">
        <f t="shared" si="6"/>
        <v>a</v>
      </c>
      <c r="P26" s="62" t="str">
        <f t="shared" si="6"/>
        <v>a</v>
      </c>
      <c r="Q26" s="62" t="str">
        <f t="shared" si="6"/>
        <v>a</v>
      </c>
      <c r="R26" s="62" t="str">
        <f t="shared" si="6"/>
        <v>a</v>
      </c>
      <c r="S26" s="62" t="str">
        <f t="shared" si="6"/>
        <v>a</v>
      </c>
      <c r="T26" s="63" t="str">
        <f t="shared" si="6"/>
        <v>a</v>
      </c>
      <c r="U26" s="135"/>
      <c r="V26" s="136"/>
      <c r="W26" s="136"/>
      <c r="X26" s="136"/>
      <c r="Y26" s="136"/>
      <c r="Z26" s="136"/>
      <c r="AA26" s="136"/>
      <c r="AB26" s="137"/>
      <c r="AC26" s="135"/>
      <c r="AD26" s="136"/>
      <c r="AE26" s="136"/>
      <c r="AF26" s="136"/>
      <c r="AG26" s="136"/>
      <c r="AH26" s="136"/>
      <c r="AI26" s="136"/>
      <c r="AJ26" s="137"/>
      <c r="AK26" s="135"/>
      <c r="AL26" s="136"/>
      <c r="AM26" s="136"/>
      <c r="AN26" s="136"/>
      <c r="AO26" s="136"/>
      <c r="AP26" s="136"/>
      <c r="AQ26" s="136"/>
      <c r="AR26" s="137"/>
      <c r="AS26" s="135"/>
      <c r="AT26" s="136"/>
      <c r="AU26" s="136"/>
      <c r="AV26" s="136"/>
      <c r="AW26" s="136"/>
      <c r="AX26" s="136"/>
      <c r="AY26" s="136"/>
      <c r="AZ26" s="137"/>
      <c r="BA26" s="37">
        <f t="shared" si="2"/>
        <v>8</v>
      </c>
      <c r="BB26" s="9">
        <f t="shared" si="3"/>
        <v>40</v>
      </c>
      <c r="BC26" s="10">
        <f t="shared" si="4"/>
        <v>74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38</v>
      </c>
      <c r="E27" s="61">
        <v>1</v>
      </c>
      <c r="F27" s="62">
        <f t="shared" ref="F27:L42" si="7">E27</f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61">
        <v>1</v>
      </c>
      <c r="N27" s="62">
        <f t="shared" si="6"/>
        <v>1</v>
      </c>
      <c r="O27" s="62">
        <f t="shared" si="6"/>
        <v>1</v>
      </c>
      <c r="P27" s="62">
        <f t="shared" si="6"/>
        <v>1</v>
      </c>
      <c r="Q27" s="62">
        <f t="shared" si="6"/>
        <v>1</v>
      </c>
      <c r="R27" s="62">
        <f t="shared" si="6"/>
        <v>1</v>
      </c>
      <c r="S27" s="62">
        <f t="shared" si="6"/>
        <v>1</v>
      </c>
      <c r="T27" s="63">
        <f t="shared" si="6"/>
        <v>1</v>
      </c>
      <c r="U27" s="135"/>
      <c r="V27" s="136"/>
      <c r="W27" s="136"/>
      <c r="X27" s="136"/>
      <c r="Y27" s="136"/>
      <c r="Z27" s="136"/>
      <c r="AA27" s="136"/>
      <c r="AB27" s="137"/>
      <c r="AC27" s="135"/>
      <c r="AD27" s="136"/>
      <c r="AE27" s="136"/>
      <c r="AF27" s="136"/>
      <c r="AG27" s="136"/>
      <c r="AH27" s="136"/>
      <c r="AI27" s="136"/>
      <c r="AJ27" s="137"/>
      <c r="AK27" s="135"/>
      <c r="AL27" s="136"/>
      <c r="AM27" s="136"/>
      <c r="AN27" s="136"/>
      <c r="AO27" s="136"/>
      <c r="AP27" s="136"/>
      <c r="AQ27" s="136"/>
      <c r="AR27" s="137"/>
      <c r="AS27" s="135"/>
      <c r="AT27" s="136"/>
      <c r="AU27" s="136"/>
      <c r="AV27" s="136"/>
      <c r="AW27" s="136"/>
      <c r="AX27" s="136"/>
      <c r="AY27" s="136"/>
      <c r="AZ27" s="137"/>
      <c r="BA27" s="37">
        <f t="shared" si="2"/>
        <v>16</v>
      </c>
      <c r="BB27" s="9">
        <f t="shared" si="3"/>
        <v>54</v>
      </c>
      <c r="BC27" s="10">
        <f t="shared" si="4"/>
        <v>100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22</v>
      </c>
      <c r="E28" s="61">
        <v>1</v>
      </c>
      <c r="F28" s="62">
        <f t="shared" si="7"/>
        <v>1</v>
      </c>
      <c r="G28" s="62">
        <f t="shared" si="7"/>
        <v>1</v>
      </c>
      <c r="H28" s="62">
        <f t="shared" si="7"/>
        <v>1</v>
      </c>
      <c r="I28" s="62">
        <f t="shared" si="7"/>
        <v>1</v>
      </c>
      <c r="J28" s="62">
        <f t="shared" si="7"/>
        <v>1</v>
      </c>
      <c r="K28" s="62">
        <f t="shared" si="7"/>
        <v>1</v>
      </c>
      <c r="L28" s="63">
        <f t="shared" si="7"/>
        <v>1</v>
      </c>
      <c r="M28" s="61">
        <v>1</v>
      </c>
      <c r="N28" s="62">
        <f t="shared" si="6"/>
        <v>1</v>
      </c>
      <c r="O28" s="62">
        <f t="shared" si="6"/>
        <v>1</v>
      </c>
      <c r="P28" s="62">
        <f t="shared" si="6"/>
        <v>1</v>
      </c>
      <c r="Q28" s="62">
        <f t="shared" si="6"/>
        <v>1</v>
      </c>
      <c r="R28" s="62">
        <f t="shared" si="6"/>
        <v>1</v>
      </c>
      <c r="S28" s="62">
        <f t="shared" si="6"/>
        <v>1</v>
      </c>
      <c r="T28" s="63">
        <f t="shared" si="6"/>
        <v>1</v>
      </c>
      <c r="U28" s="135"/>
      <c r="V28" s="136"/>
      <c r="W28" s="136"/>
      <c r="X28" s="136"/>
      <c r="Y28" s="136"/>
      <c r="Z28" s="136"/>
      <c r="AA28" s="136"/>
      <c r="AB28" s="137"/>
      <c r="AC28" s="135"/>
      <c r="AD28" s="136"/>
      <c r="AE28" s="136"/>
      <c r="AF28" s="136"/>
      <c r="AG28" s="136"/>
      <c r="AH28" s="136"/>
      <c r="AI28" s="136"/>
      <c r="AJ28" s="137"/>
      <c r="AK28" s="135"/>
      <c r="AL28" s="136"/>
      <c r="AM28" s="136"/>
      <c r="AN28" s="136"/>
      <c r="AO28" s="136"/>
      <c r="AP28" s="136"/>
      <c r="AQ28" s="136"/>
      <c r="AR28" s="137"/>
      <c r="AS28" s="135"/>
      <c r="AT28" s="136"/>
      <c r="AU28" s="136"/>
      <c r="AV28" s="136"/>
      <c r="AW28" s="136"/>
      <c r="AX28" s="136"/>
      <c r="AY28" s="136"/>
      <c r="AZ28" s="137"/>
      <c r="BA28" s="37">
        <f t="shared" si="2"/>
        <v>16</v>
      </c>
      <c r="BB28" s="9">
        <f t="shared" si="3"/>
        <v>38</v>
      </c>
      <c r="BC28" s="10">
        <f t="shared" si="4"/>
        <v>70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24</v>
      </c>
      <c r="E29" s="61">
        <v>1</v>
      </c>
      <c r="F29" s="62">
        <f t="shared" si="7"/>
        <v>1</v>
      </c>
      <c r="G29" s="62">
        <f t="shared" si="7"/>
        <v>1</v>
      </c>
      <c r="H29" s="62">
        <f t="shared" si="7"/>
        <v>1</v>
      </c>
      <c r="I29" s="62">
        <f t="shared" si="7"/>
        <v>1</v>
      </c>
      <c r="J29" s="62">
        <f t="shared" si="7"/>
        <v>1</v>
      </c>
      <c r="K29" s="62">
        <f t="shared" si="7"/>
        <v>1</v>
      </c>
      <c r="L29" s="63">
        <f t="shared" si="7"/>
        <v>1</v>
      </c>
      <c r="M29" s="61">
        <v>1</v>
      </c>
      <c r="N29" s="62">
        <f t="shared" si="6"/>
        <v>1</v>
      </c>
      <c r="O29" s="62">
        <f t="shared" si="6"/>
        <v>1</v>
      </c>
      <c r="P29" s="62">
        <f t="shared" si="6"/>
        <v>1</v>
      </c>
      <c r="Q29" s="62">
        <f t="shared" si="6"/>
        <v>1</v>
      </c>
      <c r="R29" s="62">
        <f t="shared" si="6"/>
        <v>1</v>
      </c>
      <c r="S29" s="62">
        <f t="shared" si="6"/>
        <v>1</v>
      </c>
      <c r="T29" s="63">
        <f t="shared" si="6"/>
        <v>1</v>
      </c>
      <c r="U29" s="135"/>
      <c r="V29" s="136"/>
      <c r="W29" s="136"/>
      <c r="X29" s="136"/>
      <c r="Y29" s="136"/>
      <c r="Z29" s="136"/>
      <c r="AA29" s="136"/>
      <c r="AB29" s="137"/>
      <c r="AC29" s="135"/>
      <c r="AD29" s="136"/>
      <c r="AE29" s="136"/>
      <c r="AF29" s="136"/>
      <c r="AG29" s="136"/>
      <c r="AH29" s="136"/>
      <c r="AI29" s="136"/>
      <c r="AJ29" s="137"/>
      <c r="AK29" s="135"/>
      <c r="AL29" s="136"/>
      <c r="AM29" s="136"/>
      <c r="AN29" s="136"/>
      <c r="AO29" s="136"/>
      <c r="AP29" s="136"/>
      <c r="AQ29" s="136"/>
      <c r="AR29" s="137"/>
      <c r="AS29" s="135"/>
      <c r="AT29" s="136"/>
      <c r="AU29" s="136"/>
      <c r="AV29" s="136"/>
      <c r="AW29" s="136"/>
      <c r="AX29" s="136"/>
      <c r="AY29" s="136"/>
      <c r="AZ29" s="137"/>
      <c r="BA29" s="37">
        <f t="shared" si="2"/>
        <v>16</v>
      </c>
      <c r="BB29" s="9">
        <f t="shared" si="3"/>
        <v>40</v>
      </c>
      <c r="BC29" s="10">
        <f t="shared" si="4"/>
        <v>74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24</v>
      </c>
      <c r="E30" s="61">
        <v>1</v>
      </c>
      <c r="F30" s="62">
        <f t="shared" si="7"/>
        <v>1</v>
      </c>
      <c r="G30" s="62">
        <f t="shared" si="7"/>
        <v>1</v>
      </c>
      <c r="H30" s="62">
        <f t="shared" si="7"/>
        <v>1</v>
      </c>
      <c r="I30" s="62">
        <f t="shared" si="7"/>
        <v>1</v>
      </c>
      <c r="J30" s="62">
        <f t="shared" si="7"/>
        <v>1</v>
      </c>
      <c r="K30" s="62">
        <f t="shared" si="7"/>
        <v>1</v>
      </c>
      <c r="L30" s="63">
        <f t="shared" si="7"/>
        <v>1</v>
      </c>
      <c r="M30" s="61">
        <v>1</v>
      </c>
      <c r="N30" s="62">
        <f t="shared" si="6"/>
        <v>1</v>
      </c>
      <c r="O30" s="62">
        <f t="shared" si="6"/>
        <v>1</v>
      </c>
      <c r="P30" s="62">
        <f t="shared" si="6"/>
        <v>1</v>
      </c>
      <c r="Q30" s="62">
        <f t="shared" si="6"/>
        <v>1</v>
      </c>
      <c r="R30" s="62">
        <f t="shared" si="6"/>
        <v>1</v>
      </c>
      <c r="S30" s="62">
        <f t="shared" si="6"/>
        <v>1</v>
      </c>
      <c r="T30" s="63">
        <f t="shared" si="6"/>
        <v>1</v>
      </c>
      <c r="U30" s="135"/>
      <c r="V30" s="136"/>
      <c r="W30" s="136"/>
      <c r="X30" s="136"/>
      <c r="Y30" s="136"/>
      <c r="Z30" s="136"/>
      <c r="AA30" s="136"/>
      <c r="AB30" s="137"/>
      <c r="AC30" s="135"/>
      <c r="AD30" s="136"/>
      <c r="AE30" s="136"/>
      <c r="AF30" s="136"/>
      <c r="AG30" s="136"/>
      <c r="AH30" s="136"/>
      <c r="AI30" s="136"/>
      <c r="AJ30" s="137"/>
      <c r="AK30" s="135"/>
      <c r="AL30" s="136"/>
      <c r="AM30" s="136"/>
      <c r="AN30" s="136"/>
      <c r="AO30" s="136"/>
      <c r="AP30" s="136"/>
      <c r="AQ30" s="136"/>
      <c r="AR30" s="137"/>
      <c r="AS30" s="135"/>
      <c r="AT30" s="136"/>
      <c r="AU30" s="136"/>
      <c r="AV30" s="136"/>
      <c r="AW30" s="136"/>
      <c r="AX30" s="136"/>
      <c r="AY30" s="136"/>
      <c r="AZ30" s="137"/>
      <c r="BA30" s="37">
        <f t="shared" si="2"/>
        <v>16</v>
      </c>
      <c r="BB30" s="9">
        <f t="shared" si="3"/>
        <v>40</v>
      </c>
      <c r="BC30" s="10">
        <f t="shared" si="4"/>
        <v>74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38</v>
      </c>
      <c r="E31" s="61" t="s">
        <v>124</v>
      </c>
      <c r="F31" s="62" t="str">
        <f t="shared" si="7"/>
        <v>a</v>
      </c>
      <c r="G31" s="62" t="str">
        <f t="shared" si="7"/>
        <v>a</v>
      </c>
      <c r="H31" s="62" t="str">
        <f t="shared" si="7"/>
        <v>a</v>
      </c>
      <c r="I31" s="62" t="str">
        <f t="shared" si="7"/>
        <v>a</v>
      </c>
      <c r="J31" s="62" t="str">
        <f t="shared" si="7"/>
        <v>a</v>
      </c>
      <c r="K31" s="62" t="str">
        <f t="shared" si="7"/>
        <v>a</v>
      </c>
      <c r="L31" s="63" t="str">
        <f t="shared" si="7"/>
        <v>a</v>
      </c>
      <c r="M31" s="61">
        <v>1</v>
      </c>
      <c r="N31" s="62">
        <f t="shared" si="6"/>
        <v>1</v>
      </c>
      <c r="O31" s="62">
        <f t="shared" si="6"/>
        <v>1</v>
      </c>
      <c r="P31" s="62">
        <f t="shared" si="6"/>
        <v>1</v>
      </c>
      <c r="Q31" s="62">
        <f t="shared" si="6"/>
        <v>1</v>
      </c>
      <c r="R31" s="62">
        <f t="shared" si="6"/>
        <v>1</v>
      </c>
      <c r="S31" s="62">
        <f t="shared" si="6"/>
        <v>1</v>
      </c>
      <c r="T31" s="63">
        <f t="shared" si="6"/>
        <v>1</v>
      </c>
      <c r="U31" s="135"/>
      <c r="V31" s="136"/>
      <c r="W31" s="136"/>
      <c r="X31" s="136"/>
      <c r="Y31" s="136"/>
      <c r="Z31" s="136"/>
      <c r="AA31" s="136"/>
      <c r="AB31" s="137"/>
      <c r="AC31" s="135"/>
      <c r="AD31" s="136"/>
      <c r="AE31" s="136"/>
      <c r="AF31" s="136"/>
      <c r="AG31" s="136"/>
      <c r="AH31" s="136"/>
      <c r="AI31" s="136"/>
      <c r="AJ31" s="137"/>
      <c r="AK31" s="135"/>
      <c r="AL31" s="136"/>
      <c r="AM31" s="136"/>
      <c r="AN31" s="136"/>
      <c r="AO31" s="136"/>
      <c r="AP31" s="136"/>
      <c r="AQ31" s="136"/>
      <c r="AR31" s="137"/>
      <c r="AS31" s="135"/>
      <c r="AT31" s="136"/>
      <c r="AU31" s="136"/>
      <c r="AV31" s="136"/>
      <c r="AW31" s="136"/>
      <c r="AX31" s="136"/>
      <c r="AY31" s="136"/>
      <c r="AZ31" s="137"/>
      <c r="BA31" s="37">
        <f t="shared" si="2"/>
        <v>8</v>
      </c>
      <c r="BB31" s="9">
        <f t="shared" si="3"/>
        <v>46</v>
      </c>
      <c r="BC31" s="10">
        <f t="shared" si="4"/>
        <v>85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22</v>
      </c>
      <c r="E32" s="61" t="s">
        <v>124</v>
      </c>
      <c r="F32" s="62" t="str">
        <f t="shared" si="7"/>
        <v>a</v>
      </c>
      <c r="G32" s="62" t="str">
        <f t="shared" si="7"/>
        <v>a</v>
      </c>
      <c r="H32" s="62" t="str">
        <f t="shared" si="7"/>
        <v>a</v>
      </c>
      <c r="I32" s="62" t="str">
        <f t="shared" si="7"/>
        <v>a</v>
      </c>
      <c r="J32" s="62" t="str">
        <f t="shared" si="7"/>
        <v>a</v>
      </c>
      <c r="K32" s="62" t="str">
        <f t="shared" si="7"/>
        <v>a</v>
      </c>
      <c r="L32" s="63" t="str">
        <f t="shared" si="7"/>
        <v>a</v>
      </c>
      <c r="M32" s="61" t="s">
        <v>124</v>
      </c>
      <c r="N32" s="62" t="str">
        <f t="shared" si="6"/>
        <v>a</v>
      </c>
      <c r="O32" s="62" t="str">
        <f t="shared" si="6"/>
        <v>a</v>
      </c>
      <c r="P32" s="62" t="str">
        <f t="shared" si="6"/>
        <v>a</v>
      </c>
      <c r="Q32" s="62" t="str">
        <f t="shared" si="6"/>
        <v>a</v>
      </c>
      <c r="R32" s="62" t="str">
        <f t="shared" si="6"/>
        <v>a</v>
      </c>
      <c r="S32" s="62" t="str">
        <f t="shared" si="6"/>
        <v>a</v>
      </c>
      <c r="T32" s="63" t="str">
        <f t="shared" si="6"/>
        <v>a</v>
      </c>
      <c r="U32" s="135"/>
      <c r="V32" s="136"/>
      <c r="W32" s="136"/>
      <c r="X32" s="136"/>
      <c r="Y32" s="136"/>
      <c r="Z32" s="136"/>
      <c r="AA32" s="136"/>
      <c r="AB32" s="137"/>
      <c r="AC32" s="135"/>
      <c r="AD32" s="136"/>
      <c r="AE32" s="136"/>
      <c r="AF32" s="136"/>
      <c r="AG32" s="136"/>
      <c r="AH32" s="136"/>
      <c r="AI32" s="136"/>
      <c r="AJ32" s="137"/>
      <c r="AK32" s="135"/>
      <c r="AL32" s="136"/>
      <c r="AM32" s="136"/>
      <c r="AN32" s="136"/>
      <c r="AO32" s="136"/>
      <c r="AP32" s="136"/>
      <c r="AQ32" s="136"/>
      <c r="AR32" s="137"/>
      <c r="AS32" s="135"/>
      <c r="AT32" s="136"/>
      <c r="AU32" s="136"/>
      <c r="AV32" s="136"/>
      <c r="AW32" s="136"/>
      <c r="AX32" s="136"/>
      <c r="AY32" s="136"/>
      <c r="AZ32" s="137"/>
      <c r="BA32" s="37">
        <f t="shared" si="2"/>
        <v>0</v>
      </c>
      <c r="BB32" s="9">
        <f t="shared" si="3"/>
        <v>22</v>
      </c>
      <c r="BC32" s="10">
        <f t="shared" si="4"/>
        <v>41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32</v>
      </c>
      <c r="E33" s="61">
        <v>1</v>
      </c>
      <c r="F33" s="62">
        <f t="shared" si="7"/>
        <v>1</v>
      </c>
      <c r="G33" s="62">
        <f t="shared" si="7"/>
        <v>1</v>
      </c>
      <c r="H33" s="62">
        <f t="shared" si="7"/>
        <v>1</v>
      </c>
      <c r="I33" s="62">
        <f t="shared" si="7"/>
        <v>1</v>
      </c>
      <c r="J33" s="62">
        <f t="shared" si="7"/>
        <v>1</v>
      </c>
      <c r="K33" s="62">
        <f t="shared" si="7"/>
        <v>1</v>
      </c>
      <c r="L33" s="63">
        <f t="shared" si="7"/>
        <v>1</v>
      </c>
      <c r="M33" s="61">
        <v>1</v>
      </c>
      <c r="N33" s="62">
        <f t="shared" si="6"/>
        <v>1</v>
      </c>
      <c r="O33" s="62">
        <f t="shared" si="6"/>
        <v>1</v>
      </c>
      <c r="P33" s="62">
        <f t="shared" si="6"/>
        <v>1</v>
      </c>
      <c r="Q33" s="62">
        <f t="shared" si="6"/>
        <v>1</v>
      </c>
      <c r="R33" s="62">
        <f t="shared" si="6"/>
        <v>1</v>
      </c>
      <c r="S33" s="62">
        <f t="shared" si="6"/>
        <v>1</v>
      </c>
      <c r="T33" s="63">
        <f t="shared" si="6"/>
        <v>1</v>
      </c>
      <c r="U33" s="135"/>
      <c r="V33" s="136"/>
      <c r="W33" s="136"/>
      <c r="X33" s="136"/>
      <c r="Y33" s="136"/>
      <c r="Z33" s="136"/>
      <c r="AA33" s="136"/>
      <c r="AB33" s="137"/>
      <c r="AC33" s="135"/>
      <c r="AD33" s="136"/>
      <c r="AE33" s="136"/>
      <c r="AF33" s="136"/>
      <c r="AG33" s="136"/>
      <c r="AH33" s="136"/>
      <c r="AI33" s="136"/>
      <c r="AJ33" s="137"/>
      <c r="AK33" s="135"/>
      <c r="AL33" s="136"/>
      <c r="AM33" s="136"/>
      <c r="AN33" s="136"/>
      <c r="AO33" s="136"/>
      <c r="AP33" s="136"/>
      <c r="AQ33" s="136"/>
      <c r="AR33" s="137"/>
      <c r="AS33" s="135"/>
      <c r="AT33" s="136"/>
      <c r="AU33" s="136"/>
      <c r="AV33" s="136"/>
      <c r="AW33" s="136"/>
      <c r="AX33" s="136"/>
      <c r="AY33" s="136"/>
      <c r="AZ33" s="137"/>
      <c r="BA33" s="37">
        <f t="shared" si="2"/>
        <v>16</v>
      </c>
      <c r="BB33" s="9">
        <f t="shared" si="3"/>
        <v>48</v>
      </c>
      <c r="BC33" s="10">
        <f t="shared" si="4"/>
        <v>89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24</v>
      </c>
      <c r="E34" s="61">
        <v>1</v>
      </c>
      <c r="F34" s="62">
        <f t="shared" si="7"/>
        <v>1</v>
      </c>
      <c r="G34" s="62">
        <f t="shared" si="7"/>
        <v>1</v>
      </c>
      <c r="H34" s="62">
        <f t="shared" si="7"/>
        <v>1</v>
      </c>
      <c r="I34" s="62">
        <f t="shared" si="7"/>
        <v>1</v>
      </c>
      <c r="J34" s="62">
        <f t="shared" si="7"/>
        <v>1</v>
      </c>
      <c r="K34" s="62">
        <f t="shared" si="7"/>
        <v>1</v>
      </c>
      <c r="L34" s="63">
        <f t="shared" si="7"/>
        <v>1</v>
      </c>
      <c r="M34" s="61" t="s">
        <v>124</v>
      </c>
      <c r="N34" s="62" t="str">
        <f t="shared" si="6"/>
        <v>a</v>
      </c>
      <c r="O34" s="62" t="str">
        <f t="shared" si="6"/>
        <v>a</v>
      </c>
      <c r="P34" s="62" t="str">
        <f t="shared" si="6"/>
        <v>a</v>
      </c>
      <c r="Q34" s="62" t="str">
        <f t="shared" si="6"/>
        <v>a</v>
      </c>
      <c r="R34" s="62" t="str">
        <f t="shared" si="6"/>
        <v>a</v>
      </c>
      <c r="S34" s="62" t="str">
        <f t="shared" si="6"/>
        <v>a</v>
      </c>
      <c r="T34" s="63" t="str">
        <f t="shared" si="6"/>
        <v>a</v>
      </c>
      <c r="U34" s="135"/>
      <c r="V34" s="136"/>
      <c r="W34" s="136"/>
      <c r="X34" s="136"/>
      <c r="Y34" s="136"/>
      <c r="Z34" s="136"/>
      <c r="AA34" s="136"/>
      <c r="AB34" s="137"/>
      <c r="AC34" s="135"/>
      <c r="AD34" s="136"/>
      <c r="AE34" s="136"/>
      <c r="AF34" s="136"/>
      <c r="AG34" s="136"/>
      <c r="AH34" s="136"/>
      <c r="AI34" s="136"/>
      <c r="AJ34" s="137"/>
      <c r="AK34" s="135"/>
      <c r="AL34" s="136"/>
      <c r="AM34" s="136"/>
      <c r="AN34" s="136"/>
      <c r="AO34" s="136"/>
      <c r="AP34" s="136"/>
      <c r="AQ34" s="136"/>
      <c r="AR34" s="137"/>
      <c r="AS34" s="135"/>
      <c r="AT34" s="136"/>
      <c r="AU34" s="136"/>
      <c r="AV34" s="136"/>
      <c r="AW34" s="136"/>
      <c r="AX34" s="136"/>
      <c r="AY34" s="136"/>
      <c r="AZ34" s="137"/>
      <c r="BA34" s="37">
        <f t="shared" si="2"/>
        <v>8</v>
      </c>
      <c r="BB34" s="9">
        <f t="shared" si="3"/>
        <v>32</v>
      </c>
      <c r="BC34" s="10">
        <f t="shared" si="4"/>
        <v>59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38</v>
      </c>
      <c r="E35" s="61">
        <v>1</v>
      </c>
      <c r="F35" s="62">
        <f t="shared" si="7"/>
        <v>1</v>
      </c>
      <c r="G35" s="62">
        <f t="shared" si="7"/>
        <v>1</v>
      </c>
      <c r="H35" s="62">
        <f t="shared" si="7"/>
        <v>1</v>
      </c>
      <c r="I35" s="62">
        <f t="shared" si="7"/>
        <v>1</v>
      </c>
      <c r="J35" s="62">
        <f t="shared" si="7"/>
        <v>1</v>
      </c>
      <c r="K35" s="62">
        <f t="shared" si="7"/>
        <v>1</v>
      </c>
      <c r="L35" s="63">
        <f t="shared" si="7"/>
        <v>1</v>
      </c>
      <c r="M35" s="61">
        <v>1</v>
      </c>
      <c r="N35" s="62">
        <f t="shared" si="6"/>
        <v>1</v>
      </c>
      <c r="O35" s="62">
        <f t="shared" si="6"/>
        <v>1</v>
      </c>
      <c r="P35" s="62">
        <f t="shared" si="6"/>
        <v>1</v>
      </c>
      <c r="Q35" s="62">
        <f t="shared" si="6"/>
        <v>1</v>
      </c>
      <c r="R35" s="62">
        <f t="shared" si="6"/>
        <v>1</v>
      </c>
      <c r="S35" s="62">
        <f t="shared" si="6"/>
        <v>1</v>
      </c>
      <c r="T35" s="63">
        <f t="shared" si="6"/>
        <v>1</v>
      </c>
      <c r="U35" s="135"/>
      <c r="V35" s="136"/>
      <c r="W35" s="136"/>
      <c r="X35" s="136"/>
      <c r="Y35" s="136"/>
      <c r="Z35" s="136"/>
      <c r="AA35" s="136"/>
      <c r="AB35" s="137"/>
      <c r="AC35" s="135"/>
      <c r="AD35" s="136"/>
      <c r="AE35" s="136"/>
      <c r="AF35" s="136"/>
      <c r="AG35" s="136"/>
      <c r="AH35" s="136"/>
      <c r="AI35" s="136"/>
      <c r="AJ35" s="137"/>
      <c r="AK35" s="135"/>
      <c r="AL35" s="136"/>
      <c r="AM35" s="136"/>
      <c r="AN35" s="136"/>
      <c r="AO35" s="136"/>
      <c r="AP35" s="136"/>
      <c r="AQ35" s="136"/>
      <c r="AR35" s="137"/>
      <c r="AS35" s="135"/>
      <c r="AT35" s="136"/>
      <c r="AU35" s="136"/>
      <c r="AV35" s="136"/>
      <c r="AW35" s="136"/>
      <c r="AX35" s="136"/>
      <c r="AY35" s="136"/>
      <c r="AZ35" s="137"/>
      <c r="BA35" s="37">
        <f t="shared" si="2"/>
        <v>16</v>
      </c>
      <c r="BB35" s="9">
        <f t="shared" si="3"/>
        <v>54</v>
      </c>
      <c r="BC35" s="10">
        <f t="shared" si="4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30</v>
      </c>
      <c r="E36" s="61">
        <v>1</v>
      </c>
      <c r="F36" s="62">
        <f t="shared" si="7"/>
        <v>1</v>
      </c>
      <c r="G36" s="62">
        <f t="shared" si="7"/>
        <v>1</v>
      </c>
      <c r="H36" s="62">
        <f t="shared" si="7"/>
        <v>1</v>
      </c>
      <c r="I36" s="62">
        <f t="shared" si="7"/>
        <v>1</v>
      </c>
      <c r="J36" s="62">
        <f t="shared" si="7"/>
        <v>1</v>
      </c>
      <c r="K36" s="62">
        <f t="shared" si="7"/>
        <v>1</v>
      </c>
      <c r="L36" s="63">
        <f t="shared" si="7"/>
        <v>1</v>
      </c>
      <c r="M36" s="61" t="s">
        <v>124</v>
      </c>
      <c r="N36" s="62" t="str">
        <f t="shared" si="6"/>
        <v>a</v>
      </c>
      <c r="O36" s="62" t="str">
        <f t="shared" si="6"/>
        <v>a</v>
      </c>
      <c r="P36" s="62" t="str">
        <f t="shared" si="6"/>
        <v>a</v>
      </c>
      <c r="Q36" s="62" t="str">
        <f t="shared" si="6"/>
        <v>a</v>
      </c>
      <c r="R36" s="62" t="str">
        <f t="shared" si="6"/>
        <v>a</v>
      </c>
      <c r="S36" s="62" t="str">
        <f t="shared" si="6"/>
        <v>a</v>
      </c>
      <c r="T36" s="63" t="str">
        <f t="shared" si="6"/>
        <v>a</v>
      </c>
      <c r="U36" s="135"/>
      <c r="V36" s="136"/>
      <c r="W36" s="136"/>
      <c r="X36" s="136"/>
      <c r="Y36" s="136"/>
      <c r="Z36" s="136"/>
      <c r="AA36" s="136"/>
      <c r="AB36" s="137"/>
      <c r="AC36" s="135"/>
      <c r="AD36" s="136"/>
      <c r="AE36" s="136"/>
      <c r="AF36" s="136"/>
      <c r="AG36" s="136"/>
      <c r="AH36" s="136"/>
      <c r="AI36" s="136"/>
      <c r="AJ36" s="137"/>
      <c r="AK36" s="135"/>
      <c r="AL36" s="136"/>
      <c r="AM36" s="136"/>
      <c r="AN36" s="136"/>
      <c r="AO36" s="136"/>
      <c r="AP36" s="136"/>
      <c r="AQ36" s="136"/>
      <c r="AR36" s="137"/>
      <c r="AS36" s="135"/>
      <c r="AT36" s="136"/>
      <c r="AU36" s="136"/>
      <c r="AV36" s="136"/>
      <c r="AW36" s="136"/>
      <c r="AX36" s="136"/>
      <c r="AY36" s="136"/>
      <c r="AZ36" s="137"/>
      <c r="BA36" s="37">
        <f t="shared" si="2"/>
        <v>8</v>
      </c>
      <c r="BB36" s="9">
        <f t="shared" si="3"/>
        <v>38</v>
      </c>
      <c r="BC36" s="10">
        <f t="shared" si="4"/>
        <v>70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38</v>
      </c>
      <c r="E37" s="61">
        <v>1</v>
      </c>
      <c r="F37" s="62">
        <f t="shared" si="7"/>
        <v>1</v>
      </c>
      <c r="G37" s="62">
        <f t="shared" si="7"/>
        <v>1</v>
      </c>
      <c r="H37" s="62">
        <f t="shared" si="7"/>
        <v>1</v>
      </c>
      <c r="I37" s="62">
        <f t="shared" si="7"/>
        <v>1</v>
      </c>
      <c r="J37" s="62">
        <f t="shared" si="7"/>
        <v>1</v>
      </c>
      <c r="K37" s="62">
        <f t="shared" si="7"/>
        <v>1</v>
      </c>
      <c r="L37" s="63">
        <f t="shared" si="7"/>
        <v>1</v>
      </c>
      <c r="M37" s="61">
        <v>1</v>
      </c>
      <c r="N37" s="62">
        <f t="shared" si="6"/>
        <v>1</v>
      </c>
      <c r="O37" s="62">
        <f t="shared" si="6"/>
        <v>1</v>
      </c>
      <c r="P37" s="62">
        <f t="shared" si="6"/>
        <v>1</v>
      </c>
      <c r="Q37" s="62">
        <f t="shared" si="6"/>
        <v>1</v>
      </c>
      <c r="R37" s="62">
        <f t="shared" si="6"/>
        <v>1</v>
      </c>
      <c r="S37" s="62">
        <f t="shared" si="6"/>
        <v>1</v>
      </c>
      <c r="T37" s="63">
        <f t="shared" si="6"/>
        <v>1</v>
      </c>
      <c r="U37" s="135"/>
      <c r="V37" s="136"/>
      <c r="W37" s="136"/>
      <c r="X37" s="136"/>
      <c r="Y37" s="136"/>
      <c r="Z37" s="136"/>
      <c r="AA37" s="136"/>
      <c r="AB37" s="137"/>
      <c r="AC37" s="135"/>
      <c r="AD37" s="136"/>
      <c r="AE37" s="136"/>
      <c r="AF37" s="136"/>
      <c r="AG37" s="136"/>
      <c r="AH37" s="136"/>
      <c r="AI37" s="136"/>
      <c r="AJ37" s="137"/>
      <c r="AK37" s="135"/>
      <c r="AL37" s="136"/>
      <c r="AM37" s="136"/>
      <c r="AN37" s="136"/>
      <c r="AO37" s="136"/>
      <c r="AP37" s="136"/>
      <c r="AQ37" s="136"/>
      <c r="AR37" s="137"/>
      <c r="AS37" s="135"/>
      <c r="AT37" s="136"/>
      <c r="AU37" s="136"/>
      <c r="AV37" s="136"/>
      <c r="AW37" s="136"/>
      <c r="AX37" s="136"/>
      <c r="AY37" s="136"/>
      <c r="AZ37" s="137"/>
      <c r="BA37" s="38">
        <f t="shared" si="2"/>
        <v>16</v>
      </c>
      <c r="BB37" s="9">
        <f t="shared" si="3"/>
        <v>54</v>
      </c>
      <c r="BC37" s="10">
        <f t="shared" si="4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22</v>
      </c>
      <c r="E38" s="61">
        <v>1</v>
      </c>
      <c r="F38" s="62">
        <f t="shared" si="7"/>
        <v>1</v>
      </c>
      <c r="G38" s="62">
        <f t="shared" si="7"/>
        <v>1</v>
      </c>
      <c r="H38" s="62">
        <f t="shared" si="7"/>
        <v>1</v>
      </c>
      <c r="I38" s="62">
        <f t="shared" si="7"/>
        <v>1</v>
      </c>
      <c r="J38" s="62">
        <f t="shared" si="7"/>
        <v>1</v>
      </c>
      <c r="K38" s="62">
        <f t="shared" si="7"/>
        <v>1</v>
      </c>
      <c r="L38" s="63">
        <f t="shared" si="7"/>
        <v>1</v>
      </c>
      <c r="M38" s="61" t="s">
        <v>124</v>
      </c>
      <c r="N38" s="62" t="str">
        <f t="shared" si="6"/>
        <v>a</v>
      </c>
      <c r="O38" s="62" t="str">
        <f t="shared" si="6"/>
        <v>a</v>
      </c>
      <c r="P38" s="62" t="str">
        <f t="shared" si="6"/>
        <v>a</v>
      </c>
      <c r="Q38" s="62" t="str">
        <f t="shared" si="6"/>
        <v>a</v>
      </c>
      <c r="R38" s="62" t="str">
        <f t="shared" si="6"/>
        <v>a</v>
      </c>
      <c r="S38" s="62" t="str">
        <f t="shared" si="6"/>
        <v>a</v>
      </c>
      <c r="T38" s="63" t="str">
        <f t="shared" si="6"/>
        <v>a</v>
      </c>
      <c r="U38" s="135"/>
      <c r="V38" s="136"/>
      <c r="W38" s="136"/>
      <c r="X38" s="136"/>
      <c r="Y38" s="136"/>
      <c r="Z38" s="136"/>
      <c r="AA38" s="136"/>
      <c r="AB38" s="137"/>
      <c r="AC38" s="135"/>
      <c r="AD38" s="136"/>
      <c r="AE38" s="136"/>
      <c r="AF38" s="136"/>
      <c r="AG38" s="136"/>
      <c r="AH38" s="136"/>
      <c r="AI38" s="136"/>
      <c r="AJ38" s="137"/>
      <c r="AK38" s="135"/>
      <c r="AL38" s="136"/>
      <c r="AM38" s="136"/>
      <c r="AN38" s="136"/>
      <c r="AO38" s="136"/>
      <c r="AP38" s="136"/>
      <c r="AQ38" s="136"/>
      <c r="AR38" s="137"/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8</v>
      </c>
      <c r="BB38" s="9">
        <f t="shared" si="3"/>
        <v>30</v>
      </c>
      <c r="BC38" s="10">
        <f t="shared" si="4"/>
        <v>56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30</v>
      </c>
      <c r="E39" s="61">
        <v>1</v>
      </c>
      <c r="F39" s="62">
        <f t="shared" si="7"/>
        <v>1</v>
      </c>
      <c r="G39" s="62">
        <f t="shared" si="7"/>
        <v>1</v>
      </c>
      <c r="H39" s="62">
        <f t="shared" si="7"/>
        <v>1</v>
      </c>
      <c r="I39" s="62">
        <f t="shared" si="7"/>
        <v>1</v>
      </c>
      <c r="J39" s="62">
        <f t="shared" si="7"/>
        <v>1</v>
      </c>
      <c r="K39" s="62">
        <f t="shared" si="7"/>
        <v>1</v>
      </c>
      <c r="L39" s="63">
        <f t="shared" si="7"/>
        <v>1</v>
      </c>
      <c r="M39" s="61">
        <v>1</v>
      </c>
      <c r="N39" s="62">
        <f t="shared" si="6"/>
        <v>1</v>
      </c>
      <c r="O39" s="62">
        <f t="shared" si="6"/>
        <v>1</v>
      </c>
      <c r="P39" s="62">
        <f t="shared" si="6"/>
        <v>1</v>
      </c>
      <c r="Q39" s="62">
        <f t="shared" si="6"/>
        <v>1</v>
      </c>
      <c r="R39" s="62">
        <f t="shared" si="6"/>
        <v>1</v>
      </c>
      <c r="S39" s="62">
        <f t="shared" si="6"/>
        <v>1</v>
      </c>
      <c r="T39" s="63">
        <f t="shared" si="6"/>
        <v>1</v>
      </c>
      <c r="U39" s="135"/>
      <c r="V39" s="136"/>
      <c r="W39" s="136"/>
      <c r="X39" s="136"/>
      <c r="Y39" s="136"/>
      <c r="Z39" s="136"/>
      <c r="AA39" s="136"/>
      <c r="AB39" s="137"/>
      <c r="AC39" s="135"/>
      <c r="AD39" s="136"/>
      <c r="AE39" s="136"/>
      <c r="AF39" s="136"/>
      <c r="AG39" s="136"/>
      <c r="AH39" s="136"/>
      <c r="AI39" s="136"/>
      <c r="AJ39" s="137"/>
      <c r="AK39" s="135"/>
      <c r="AL39" s="136"/>
      <c r="AM39" s="136"/>
      <c r="AN39" s="136"/>
      <c r="AO39" s="136"/>
      <c r="AP39" s="136"/>
      <c r="AQ39" s="136"/>
      <c r="AR39" s="137"/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8">SUM(E39:AZ39)</f>
        <v>16</v>
      </c>
      <c r="BB39" s="9">
        <f t="shared" si="3"/>
        <v>46</v>
      </c>
      <c r="BC39" s="10">
        <f t="shared" si="4"/>
        <v>85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24</v>
      </c>
      <c r="E40" s="61">
        <v>1</v>
      </c>
      <c r="F40" s="62">
        <f t="shared" si="7"/>
        <v>1</v>
      </c>
      <c r="G40" s="62">
        <f t="shared" si="7"/>
        <v>1</v>
      </c>
      <c r="H40" s="62">
        <f t="shared" si="7"/>
        <v>1</v>
      </c>
      <c r="I40" s="62">
        <f t="shared" si="7"/>
        <v>1</v>
      </c>
      <c r="J40" s="62">
        <f t="shared" si="7"/>
        <v>1</v>
      </c>
      <c r="K40" s="62">
        <f t="shared" si="7"/>
        <v>1</v>
      </c>
      <c r="L40" s="63">
        <f t="shared" si="7"/>
        <v>1</v>
      </c>
      <c r="M40" s="61">
        <v>1</v>
      </c>
      <c r="N40" s="62">
        <f t="shared" si="6"/>
        <v>1</v>
      </c>
      <c r="O40" s="62">
        <f t="shared" si="6"/>
        <v>1</v>
      </c>
      <c r="P40" s="62">
        <f t="shared" si="6"/>
        <v>1</v>
      </c>
      <c r="Q40" s="62">
        <f t="shared" si="6"/>
        <v>1</v>
      </c>
      <c r="R40" s="62">
        <f t="shared" si="6"/>
        <v>1</v>
      </c>
      <c r="S40" s="62">
        <f t="shared" si="6"/>
        <v>1</v>
      </c>
      <c r="T40" s="63">
        <f t="shared" si="6"/>
        <v>1</v>
      </c>
      <c r="U40" s="135"/>
      <c r="V40" s="136"/>
      <c r="W40" s="136"/>
      <c r="X40" s="136"/>
      <c r="Y40" s="136"/>
      <c r="Z40" s="136"/>
      <c r="AA40" s="136"/>
      <c r="AB40" s="137"/>
      <c r="AC40" s="135"/>
      <c r="AD40" s="136"/>
      <c r="AE40" s="136"/>
      <c r="AF40" s="136"/>
      <c r="AG40" s="136"/>
      <c r="AH40" s="136"/>
      <c r="AI40" s="136"/>
      <c r="AJ40" s="137"/>
      <c r="AK40" s="135"/>
      <c r="AL40" s="136"/>
      <c r="AM40" s="136"/>
      <c r="AN40" s="136"/>
      <c r="AO40" s="136"/>
      <c r="AP40" s="136"/>
      <c r="AQ40" s="136"/>
      <c r="AR40" s="137"/>
      <c r="AS40" s="135"/>
      <c r="AT40" s="136"/>
      <c r="AU40" s="136"/>
      <c r="AV40" s="136"/>
      <c r="AW40" s="136"/>
      <c r="AX40" s="136"/>
      <c r="AY40" s="136"/>
      <c r="AZ40" s="137"/>
      <c r="BA40" s="37">
        <f t="shared" si="8"/>
        <v>16</v>
      </c>
      <c r="BB40" s="9">
        <f t="shared" si="3"/>
        <v>40</v>
      </c>
      <c r="BC40" s="10">
        <f t="shared" si="4"/>
        <v>74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38</v>
      </c>
      <c r="E41" s="61">
        <v>1</v>
      </c>
      <c r="F41" s="62">
        <f t="shared" si="7"/>
        <v>1</v>
      </c>
      <c r="G41" s="62">
        <f t="shared" si="7"/>
        <v>1</v>
      </c>
      <c r="H41" s="62">
        <f t="shared" si="7"/>
        <v>1</v>
      </c>
      <c r="I41" s="62">
        <f t="shared" si="7"/>
        <v>1</v>
      </c>
      <c r="J41" s="62">
        <f t="shared" si="7"/>
        <v>1</v>
      </c>
      <c r="K41" s="62">
        <f t="shared" si="7"/>
        <v>1</v>
      </c>
      <c r="L41" s="63">
        <f t="shared" si="7"/>
        <v>1</v>
      </c>
      <c r="M41" s="61">
        <v>1</v>
      </c>
      <c r="N41" s="62">
        <f t="shared" ref="N41:T56" si="9">M41</f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135"/>
      <c r="V41" s="136"/>
      <c r="W41" s="136"/>
      <c r="X41" s="136"/>
      <c r="Y41" s="136"/>
      <c r="Z41" s="136"/>
      <c r="AA41" s="136"/>
      <c r="AB41" s="137"/>
      <c r="AC41" s="135"/>
      <c r="AD41" s="136"/>
      <c r="AE41" s="136"/>
      <c r="AF41" s="136"/>
      <c r="AG41" s="136"/>
      <c r="AH41" s="136"/>
      <c r="AI41" s="136"/>
      <c r="AJ41" s="137"/>
      <c r="AK41" s="135"/>
      <c r="AL41" s="136"/>
      <c r="AM41" s="136"/>
      <c r="AN41" s="136"/>
      <c r="AO41" s="136"/>
      <c r="AP41" s="136"/>
      <c r="AQ41" s="136"/>
      <c r="AR41" s="137"/>
      <c r="AS41" s="135"/>
      <c r="AT41" s="136"/>
      <c r="AU41" s="136"/>
      <c r="AV41" s="136"/>
      <c r="AW41" s="136"/>
      <c r="AX41" s="136"/>
      <c r="AY41" s="136"/>
      <c r="AZ41" s="137"/>
      <c r="BA41" s="37">
        <f t="shared" si="8"/>
        <v>16</v>
      </c>
      <c r="BB41" s="9">
        <f t="shared" si="3"/>
        <v>54</v>
      </c>
      <c r="BC41" s="10">
        <f t="shared" si="4"/>
        <v>100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38</v>
      </c>
      <c r="E42" s="61">
        <v>1</v>
      </c>
      <c r="F42" s="62">
        <f t="shared" si="7"/>
        <v>1</v>
      </c>
      <c r="G42" s="62">
        <f t="shared" si="7"/>
        <v>1</v>
      </c>
      <c r="H42" s="62">
        <f t="shared" si="7"/>
        <v>1</v>
      </c>
      <c r="I42" s="62">
        <f t="shared" si="7"/>
        <v>1</v>
      </c>
      <c r="J42" s="62">
        <f t="shared" si="7"/>
        <v>1</v>
      </c>
      <c r="K42" s="62">
        <f t="shared" si="7"/>
        <v>1</v>
      </c>
      <c r="L42" s="63">
        <f t="shared" si="7"/>
        <v>1</v>
      </c>
      <c r="M42" s="61">
        <v>1</v>
      </c>
      <c r="N42" s="62">
        <f t="shared" si="9"/>
        <v>1</v>
      </c>
      <c r="O42" s="62">
        <f t="shared" si="9"/>
        <v>1</v>
      </c>
      <c r="P42" s="62">
        <f t="shared" si="9"/>
        <v>1</v>
      </c>
      <c r="Q42" s="62">
        <f t="shared" si="9"/>
        <v>1</v>
      </c>
      <c r="R42" s="62">
        <f t="shared" si="9"/>
        <v>1</v>
      </c>
      <c r="S42" s="62">
        <f t="shared" si="9"/>
        <v>1</v>
      </c>
      <c r="T42" s="63">
        <f t="shared" si="9"/>
        <v>1</v>
      </c>
      <c r="U42" s="138"/>
      <c r="V42" s="139"/>
      <c r="W42" s="139"/>
      <c r="X42" s="139"/>
      <c r="Y42" s="139"/>
      <c r="Z42" s="139"/>
      <c r="AA42" s="139"/>
      <c r="AB42" s="140"/>
      <c r="AC42" s="138"/>
      <c r="AD42" s="139"/>
      <c r="AE42" s="139"/>
      <c r="AF42" s="139"/>
      <c r="AG42" s="139"/>
      <c r="AH42" s="139"/>
      <c r="AI42" s="139"/>
      <c r="AJ42" s="140"/>
      <c r="AK42" s="138"/>
      <c r="AL42" s="139"/>
      <c r="AM42" s="139"/>
      <c r="AN42" s="139"/>
      <c r="AO42" s="139"/>
      <c r="AP42" s="139"/>
      <c r="AQ42" s="139"/>
      <c r="AR42" s="140"/>
      <c r="AS42" s="138"/>
      <c r="AT42" s="139"/>
      <c r="AU42" s="139"/>
      <c r="AV42" s="139"/>
      <c r="AW42" s="139"/>
      <c r="AX42" s="139"/>
      <c r="AY42" s="139"/>
      <c r="AZ42" s="140"/>
      <c r="BA42" s="37">
        <f t="shared" si="8"/>
        <v>16</v>
      </c>
      <c r="BB42" s="9">
        <f t="shared" si="3"/>
        <v>54</v>
      </c>
      <c r="BC42" s="10">
        <f t="shared" si="4"/>
        <v>100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38</v>
      </c>
      <c r="E43" s="61" t="s">
        <v>124</v>
      </c>
      <c r="F43" s="62" t="str">
        <f t="shared" ref="F43:L58" si="10">E43</f>
        <v>a</v>
      </c>
      <c r="G43" s="62" t="str">
        <f t="shared" si="10"/>
        <v>a</v>
      </c>
      <c r="H43" s="62" t="str">
        <f t="shared" si="10"/>
        <v>a</v>
      </c>
      <c r="I43" s="62" t="str">
        <f t="shared" si="10"/>
        <v>a</v>
      </c>
      <c r="J43" s="62" t="str">
        <f t="shared" si="10"/>
        <v>a</v>
      </c>
      <c r="K43" s="62" t="str">
        <f t="shared" si="10"/>
        <v>a</v>
      </c>
      <c r="L43" s="63" t="str">
        <f t="shared" si="10"/>
        <v>a</v>
      </c>
      <c r="M43" s="61" t="s">
        <v>124</v>
      </c>
      <c r="N43" s="62" t="str">
        <f t="shared" si="9"/>
        <v>a</v>
      </c>
      <c r="O43" s="62" t="str">
        <f t="shared" si="9"/>
        <v>a</v>
      </c>
      <c r="P43" s="62" t="str">
        <f t="shared" si="9"/>
        <v>a</v>
      </c>
      <c r="Q43" s="62" t="str">
        <f t="shared" si="9"/>
        <v>a</v>
      </c>
      <c r="R43" s="62" t="str">
        <f t="shared" si="9"/>
        <v>a</v>
      </c>
      <c r="S43" s="62" t="str">
        <f t="shared" si="9"/>
        <v>a</v>
      </c>
      <c r="T43" s="63" t="str">
        <f t="shared" si="9"/>
        <v>a</v>
      </c>
      <c r="U43" s="154" t="s">
        <v>130</v>
      </c>
      <c r="V43" s="142"/>
      <c r="W43" s="142"/>
      <c r="X43" s="142"/>
      <c r="Y43" s="142"/>
      <c r="Z43" s="142"/>
      <c r="AA43" s="142"/>
      <c r="AB43" s="143"/>
      <c r="AC43" s="154" t="s">
        <v>130</v>
      </c>
      <c r="AD43" s="142"/>
      <c r="AE43" s="142"/>
      <c r="AF43" s="142"/>
      <c r="AG43" s="142"/>
      <c r="AH43" s="142"/>
      <c r="AI43" s="142"/>
      <c r="AJ43" s="143"/>
      <c r="AK43" s="154" t="s">
        <v>130</v>
      </c>
      <c r="AL43" s="142"/>
      <c r="AM43" s="142"/>
      <c r="AN43" s="142"/>
      <c r="AO43" s="142"/>
      <c r="AP43" s="142"/>
      <c r="AQ43" s="142"/>
      <c r="AR43" s="143"/>
      <c r="AS43" s="154" t="s">
        <v>130</v>
      </c>
      <c r="AT43" s="142"/>
      <c r="AU43" s="142"/>
      <c r="AV43" s="142"/>
      <c r="AW43" s="142"/>
      <c r="AX43" s="142"/>
      <c r="AY43" s="142"/>
      <c r="AZ43" s="143"/>
      <c r="BA43" s="37">
        <f t="shared" si="8"/>
        <v>0</v>
      </c>
      <c r="BB43" s="9">
        <f t="shared" si="3"/>
        <v>38</v>
      </c>
      <c r="BC43" s="10">
        <f t="shared" si="4"/>
        <v>70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0</v>
      </c>
      <c r="E44" s="61" t="s">
        <v>124</v>
      </c>
      <c r="F44" s="62" t="str">
        <f t="shared" si="10"/>
        <v>a</v>
      </c>
      <c r="G44" s="62" t="str">
        <f t="shared" si="10"/>
        <v>a</v>
      </c>
      <c r="H44" s="62" t="str">
        <f t="shared" si="10"/>
        <v>a</v>
      </c>
      <c r="I44" s="62" t="str">
        <f t="shared" si="10"/>
        <v>a</v>
      </c>
      <c r="J44" s="62" t="str">
        <f t="shared" si="10"/>
        <v>a</v>
      </c>
      <c r="K44" s="62" t="str">
        <f t="shared" si="10"/>
        <v>a</v>
      </c>
      <c r="L44" s="63" t="str">
        <f t="shared" si="10"/>
        <v>a</v>
      </c>
      <c r="M44" s="61" t="s">
        <v>124</v>
      </c>
      <c r="N44" s="62" t="str">
        <f t="shared" si="9"/>
        <v>a</v>
      </c>
      <c r="O44" s="62" t="str">
        <f t="shared" si="9"/>
        <v>a</v>
      </c>
      <c r="P44" s="62" t="str">
        <f t="shared" si="9"/>
        <v>a</v>
      </c>
      <c r="Q44" s="62" t="str">
        <f t="shared" si="9"/>
        <v>a</v>
      </c>
      <c r="R44" s="62" t="str">
        <f t="shared" si="9"/>
        <v>a</v>
      </c>
      <c r="S44" s="62" t="str">
        <f t="shared" si="9"/>
        <v>a</v>
      </c>
      <c r="T44" s="63" t="str">
        <f t="shared" si="9"/>
        <v>a</v>
      </c>
      <c r="U44" s="135"/>
      <c r="V44" s="136"/>
      <c r="W44" s="136"/>
      <c r="X44" s="136"/>
      <c r="Y44" s="136"/>
      <c r="Z44" s="136"/>
      <c r="AA44" s="136"/>
      <c r="AB44" s="137"/>
      <c r="AC44" s="135"/>
      <c r="AD44" s="136"/>
      <c r="AE44" s="136"/>
      <c r="AF44" s="136"/>
      <c r="AG44" s="136"/>
      <c r="AH44" s="136"/>
      <c r="AI44" s="136"/>
      <c r="AJ44" s="137"/>
      <c r="AK44" s="135"/>
      <c r="AL44" s="136"/>
      <c r="AM44" s="136"/>
      <c r="AN44" s="136"/>
      <c r="AO44" s="136"/>
      <c r="AP44" s="136"/>
      <c r="AQ44" s="136"/>
      <c r="AR44" s="137"/>
      <c r="AS44" s="135"/>
      <c r="AT44" s="136"/>
      <c r="AU44" s="136"/>
      <c r="AV44" s="136"/>
      <c r="AW44" s="136"/>
      <c r="AX44" s="136"/>
      <c r="AY44" s="136"/>
      <c r="AZ44" s="137"/>
      <c r="BA44" s="37">
        <f t="shared" si="8"/>
        <v>0</v>
      </c>
      <c r="BB44" s="9">
        <f t="shared" si="3"/>
        <v>0</v>
      </c>
      <c r="BC44" s="10">
        <f t="shared" si="4"/>
        <v>0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38</v>
      </c>
      <c r="E45" s="61">
        <v>1</v>
      </c>
      <c r="F45" s="62">
        <f t="shared" si="10"/>
        <v>1</v>
      </c>
      <c r="G45" s="62">
        <f t="shared" si="10"/>
        <v>1</v>
      </c>
      <c r="H45" s="62">
        <f t="shared" si="10"/>
        <v>1</v>
      </c>
      <c r="I45" s="62">
        <f t="shared" si="10"/>
        <v>1</v>
      </c>
      <c r="J45" s="62">
        <f t="shared" si="10"/>
        <v>1</v>
      </c>
      <c r="K45" s="62">
        <f t="shared" si="10"/>
        <v>1</v>
      </c>
      <c r="L45" s="63">
        <f t="shared" si="10"/>
        <v>1</v>
      </c>
      <c r="M45" s="61">
        <v>1</v>
      </c>
      <c r="N45" s="62">
        <f t="shared" si="9"/>
        <v>1</v>
      </c>
      <c r="O45" s="62">
        <f t="shared" si="9"/>
        <v>1</v>
      </c>
      <c r="P45" s="62">
        <f t="shared" si="9"/>
        <v>1</v>
      </c>
      <c r="Q45" s="62">
        <f t="shared" si="9"/>
        <v>1</v>
      </c>
      <c r="R45" s="62">
        <f t="shared" si="9"/>
        <v>1</v>
      </c>
      <c r="S45" s="62">
        <f t="shared" si="9"/>
        <v>1</v>
      </c>
      <c r="T45" s="63">
        <f t="shared" si="9"/>
        <v>1</v>
      </c>
      <c r="U45" s="135"/>
      <c r="V45" s="136"/>
      <c r="W45" s="136"/>
      <c r="X45" s="136"/>
      <c r="Y45" s="136"/>
      <c r="Z45" s="136"/>
      <c r="AA45" s="136"/>
      <c r="AB45" s="137"/>
      <c r="AC45" s="135"/>
      <c r="AD45" s="136"/>
      <c r="AE45" s="136"/>
      <c r="AF45" s="136"/>
      <c r="AG45" s="136"/>
      <c r="AH45" s="136"/>
      <c r="AI45" s="136"/>
      <c r="AJ45" s="137"/>
      <c r="AK45" s="135"/>
      <c r="AL45" s="136"/>
      <c r="AM45" s="136"/>
      <c r="AN45" s="136"/>
      <c r="AO45" s="136"/>
      <c r="AP45" s="136"/>
      <c r="AQ45" s="136"/>
      <c r="AR45" s="137"/>
      <c r="AS45" s="135"/>
      <c r="AT45" s="136"/>
      <c r="AU45" s="136"/>
      <c r="AV45" s="136"/>
      <c r="AW45" s="136"/>
      <c r="AX45" s="136"/>
      <c r="AY45" s="136"/>
      <c r="AZ45" s="137"/>
      <c r="BA45" s="37">
        <f t="shared" si="8"/>
        <v>16</v>
      </c>
      <c r="BB45" s="9">
        <f t="shared" si="3"/>
        <v>54</v>
      </c>
      <c r="BC45" s="10">
        <f t="shared" si="4"/>
        <v>100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32</v>
      </c>
      <c r="E46" s="61">
        <v>1</v>
      </c>
      <c r="F46" s="62">
        <f t="shared" si="10"/>
        <v>1</v>
      </c>
      <c r="G46" s="62">
        <f t="shared" si="10"/>
        <v>1</v>
      </c>
      <c r="H46" s="62">
        <f t="shared" si="10"/>
        <v>1</v>
      </c>
      <c r="I46" s="62">
        <f t="shared" si="10"/>
        <v>1</v>
      </c>
      <c r="J46" s="62">
        <f t="shared" si="10"/>
        <v>1</v>
      </c>
      <c r="K46" s="62">
        <f t="shared" si="10"/>
        <v>1</v>
      </c>
      <c r="L46" s="63">
        <f t="shared" si="10"/>
        <v>1</v>
      </c>
      <c r="M46" s="61" t="s">
        <v>124</v>
      </c>
      <c r="N46" s="62" t="str">
        <f t="shared" si="9"/>
        <v>a</v>
      </c>
      <c r="O46" s="62" t="str">
        <f t="shared" si="9"/>
        <v>a</v>
      </c>
      <c r="P46" s="62" t="str">
        <f t="shared" si="9"/>
        <v>a</v>
      </c>
      <c r="Q46" s="62" t="str">
        <f t="shared" si="9"/>
        <v>a</v>
      </c>
      <c r="R46" s="62" t="str">
        <f t="shared" si="9"/>
        <v>a</v>
      </c>
      <c r="S46" s="62" t="str">
        <f t="shared" si="9"/>
        <v>a</v>
      </c>
      <c r="T46" s="63" t="str">
        <f t="shared" si="9"/>
        <v>a</v>
      </c>
      <c r="U46" s="135"/>
      <c r="V46" s="136"/>
      <c r="W46" s="136"/>
      <c r="X46" s="136"/>
      <c r="Y46" s="136"/>
      <c r="Z46" s="136"/>
      <c r="AA46" s="136"/>
      <c r="AB46" s="137"/>
      <c r="AC46" s="135"/>
      <c r="AD46" s="136"/>
      <c r="AE46" s="136"/>
      <c r="AF46" s="136"/>
      <c r="AG46" s="136"/>
      <c r="AH46" s="136"/>
      <c r="AI46" s="136"/>
      <c r="AJ46" s="137"/>
      <c r="AK46" s="135"/>
      <c r="AL46" s="136"/>
      <c r="AM46" s="136"/>
      <c r="AN46" s="136"/>
      <c r="AO46" s="136"/>
      <c r="AP46" s="136"/>
      <c r="AQ46" s="136"/>
      <c r="AR46" s="137"/>
      <c r="AS46" s="135"/>
      <c r="AT46" s="136"/>
      <c r="AU46" s="136"/>
      <c r="AV46" s="136"/>
      <c r="AW46" s="136"/>
      <c r="AX46" s="136"/>
      <c r="AY46" s="136"/>
      <c r="AZ46" s="137"/>
      <c r="BA46" s="37">
        <f t="shared" si="8"/>
        <v>8</v>
      </c>
      <c r="BB46" s="9">
        <f t="shared" si="3"/>
        <v>40</v>
      </c>
      <c r="BC46" s="10">
        <f t="shared" si="4"/>
        <v>74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32</v>
      </c>
      <c r="E47" s="61" t="s">
        <v>124</v>
      </c>
      <c r="F47" s="62" t="str">
        <f t="shared" si="10"/>
        <v>a</v>
      </c>
      <c r="G47" s="62" t="str">
        <f t="shared" si="10"/>
        <v>a</v>
      </c>
      <c r="H47" s="62" t="str">
        <f t="shared" si="10"/>
        <v>a</v>
      </c>
      <c r="I47" s="62" t="str">
        <f t="shared" si="10"/>
        <v>a</v>
      </c>
      <c r="J47" s="62" t="str">
        <f t="shared" si="10"/>
        <v>a</v>
      </c>
      <c r="K47" s="62" t="str">
        <f t="shared" si="10"/>
        <v>a</v>
      </c>
      <c r="L47" s="63" t="str">
        <f t="shared" si="10"/>
        <v>a</v>
      </c>
      <c r="M47" s="61" t="s">
        <v>124</v>
      </c>
      <c r="N47" s="62" t="str">
        <f t="shared" si="9"/>
        <v>a</v>
      </c>
      <c r="O47" s="62" t="str">
        <f t="shared" si="9"/>
        <v>a</v>
      </c>
      <c r="P47" s="62" t="str">
        <f t="shared" si="9"/>
        <v>a</v>
      </c>
      <c r="Q47" s="62" t="str">
        <f t="shared" si="9"/>
        <v>a</v>
      </c>
      <c r="R47" s="62" t="str">
        <f t="shared" si="9"/>
        <v>a</v>
      </c>
      <c r="S47" s="62" t="str">
        <f t="shared" si="9"/>
        <v>a</v>
      </c>
      <c r="T47" s="63" t="str">
        <f t="shared" si="9"/>
        <v>a</v>
      </c>
      <c r="U47" s="135"/>
      <c r="V47" s="136"/>
      <c r="W47" s="136"/>
      <c r="X47" s="136"/>
      <c r="Y47" s="136"/>
      <c r="Z47" s="136"/>
      <c r="AA47" s="136"/>
      <c r="AB47" s="137"/>
      <c r="AC47" s="135"/>
      <c r="AD47" s="136"/>
      <c r="AE47" s="136"/>
      <c r="AF47" s="136"/>
      <c r="AG47" s="136"/>
      <c r="AH47" s="136"/>
      <c r="AI47" s="136"/>
      <c r="AJ47" s="137"/>
      <c r="AK47" s="135"/>
      <c r="AL47" s="136"/>
      <c r="AM47" s="136"/>
      <c r="AN47" s="136"/>
      <c r="AO47" s="136"/>
      <c r="AP47" s="136"/>
      <c r="AQ47" s="136"/>
      <c r="AR47" s="137"/>
      <c r="AS47" s="135"/>
      <c r="AT47" s="136"/>
      <c r="AU47" s="136"/>
      <c r="AV47" s="136"/>
      <c r="AW47" s="136"/>
      <c r="AX47" s="136"/>
      <c r="AY47" s="136"/>
      <c r="AZ47" s="137"/>
      <c r="BA47" s="37">
        <f t="shared" si="8"/>
        <v>0</v>
      </c>
      <c r="BB47" s="9">
        <f t="shared" si="3"/>
        <v>32</v>
      </c>
      <c r="BC47" s="10">
        <f t="shared" si="4"/>
        <v>59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30</v>
      </c>
      <c r="E48" s="61">
        <v>1</v>
      </c>
      <c r="F48" s="62">
        <f t="shared" si="10"/>
        <v>1</v>
      </c>
      <c r="G48" s="62">
        <f t="shared" si="10"/>
        <v>1</v>
      </c>
      <c r="H48" s="62">
        <f t="shared" si="10"/>
        <v>1</v>
      </c>
      <c r="I48" s="62">
        <f t="shared" si="10"/>
        <v>1</v>
      </c>
      <c r="J48" s="62">
        <f t="shared" si="10"/>
        <v>1</v>
      </c>
      <c r="K48" s="62">
        <f t="shared" si="10"/>
        <v>1</v>
      </c>
      <c r="L48" s="63">
        <f t="shared" si="10"/>
        <v>1</v>
      </c>
      <c r="M48" s="61" t="s">
        <v>124</v>
      </c>
      <c r="N48" s="62" t="str">
        <f t="shared" si="9"/>
        <v>a</v>
      </c>
      <c r="O48" s="62" t="str">
        <f t="shared" si="9"/>
        <v>a</v>
      </c>
      <c r="P48" s="62" t="str">
        <f t="shared" si="9"/>
        <v>a</v>
      </c>
      <c r="Q48" s="62" t="str">
        <f t="shared" si="9"/>
        <v>a</v>
      </c>
      <c r="R48" s="62" t="str">
        <f t="shared" si="9"/>
        <v>a</v>
      </c>
      <c r="S48" s="62" t="str">
        <f t="shared" si="9"/>
        <v>a</v>
      </c>
      <c r="T48" s="63" t="str">
        <f t="shared" si="9"/>
        <v>a</v>
      </c>
      <c r="U48" s="135"/>
      <c r="V48" s="136"/>
      <c r="W48" s="136"/>
      <c r="X48" s="136"/>
      <c r="Y48" s="136"/>
      <c r="Z48" s="136"/>
      <c r="AA48" s="136"/>
      <c r="AB48" s="137"/>
      <c r="AC48" s="135"/>
      <c r="AD48" s="136"/>
      <c r="AE48" s="136"/>
      <c r="AF48" s="136"/>
      <c r="AG48" s="136"/>
      <c r="AH48" s="136"/>
      <c r="AI48" s="136"/>
      <c r="AJ48" s="137"/>
      <c r="AK48" s="135"/>
      <c r="AL48" s="136"/>
      <c r="AM48" s="136"/>
      <c r="AN48" s="136"/>
      <c r="AO48" s="136"/>
      <c r="AP48" s="136"/>
      <c r="AQ48" s="136"/>
      <c r="AR48" s="137"/>
      <c r="AS48" s="135"/>
      <c r="AT48" s="136"/>
      <c r="AU48" s="136"/>
      <c r="AV48" s="136"/>
      <c r="AW48" s="136"/>
      <c r="AX48" s="136"/>
      <c r="AY48" s="136"/>
      <c r="AZ48" s="137"/>
      <c r="BA48" s="37">
        <f t="shared" si="8"/>
        <v>8</v>
      </c>
      <c r="BB48" s="9">
        <f t="shared" si="3"/>
        <v>38</v>
      </c>
      <c r="BC48" s="10">
        <f t="shared" si="4"/>
        <v>70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38</v>
      </c>
      <c r="E49" s="61">
        <v>1</v>
      </c>
      <c r="F49" s="62">
        <f t="shared" si="10"/>
        <v>1</v>
      </c>
      <c r="G49" s="62">
        <f t="shared" si="10"/>
        <v>1</v>
      </c>
      <c r="H49" s="62">
        <f t="shared" si="10"/>
        <v>1</v>
      </c>
      <c r="I49" s="62">
        <f t="shared" si="10"/>
        <v>1</v>
      </c>
      <c r="J49" s="62">
        <f t="shared" si="10"/>
        <v>1</v>
      </c>
      <c r="K49" s="62">
        <f t="shared" si="10"/>
        <v>1</v>
      </c>
      <c r="L49" s="63">
        <f t="shared" si="10"/>
        <v>1</v>
      </c>
      <c r="M49" s="61" t="s">
        <v>124</v>
      </c>
      <c r="N49" s="62" t="str">
        <f t="shared" si="9"/>
        <v>a</v>
      </c>
      <c r="O49" s="62" t="str">
        <f t="shared" si="9"/>
        <v>a</v>
      </c>
      <c r="P49" s="62" t="str">
        <f t="shared" si="9"/>
        <v>a</v>
      </c>
      <c r="Q49" s="62" t="str">
        <f t="shared" si="9"/>
        <v>a</v>
      </c>
      <c r="R49" s="62" t="str">
        <f t="shared" si="9"/>
        <v>a</v>
      </c>
      <c r="S49" s="62" t="str">
        <f t="shared" si="9"/>
        <v>a</v>
      </c>
      <c r="T49" s="63" t="str">
        <f t="shared" si="9"/>
        <v>a</v>
      </c>
      <c r="U49" s="135"/>
      <c r="V49" s="136"/>
      <c r="W49" s="136"/>
      <c r="X49" s="136"/>
      <c r="Y49" s="136"/>
      <c r="Z49" s="136"/>
      <c r="AA49" s="136"/>
      <c r="AB49" s="137"/>
      <c r="AC49" s="135"/>
      <c r="AD49" s="136"/>
      <c r="AE49" s="136"/>
      <c r="AF49" s="136"/>
      <c r="AG49" s="136"/>
      <c r="AH49" s="136"/>
      <c r="AI49" s="136"/>
      <c r="AJ49" s="137"/>
      <c r="AK49" s="135"/>
      <c r="AL49" s="136"/>
      <c r="AM49" s="136"/>
      <c r="AN49" s="136"/>
      <c r="AO49" s="136"/>
      <c r="AP49" s="136"/>
      <c r="AQ49" s="136"/>
      <c r="AR49" s="137"/>
      <c r="AS49" s="135"/>
      <c r="AT49" s="136"/>
      <c r="AU49" s="136"/>
      <c r="AV49" s="136"/>
      <c r="AW49" s="136"/>
      <c r="AX49" s="136"/>
      <c r="AY49" s="136"/>
      <c r="AZ49" s="137"/>
      <c r="BA49" s="37">
        <f t="shared" si="8"/>
        <v>8</v>
      </c>
      <c r="BB49" s="9">
        <f t="shared" si="3"/>
        <v>46</v>
      </c>
      <c r="BC49" s="10">
        <f t="shared" si="4"/>
        <v>85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32</v>
      </c>
      <c r="E50" s="61">
        <v>1</v>
      </c>
      <c r="F50" s="62">
        <f t="shared" si="10"/>
        <v>1</v>
      </c>
      <c r="G50" s="62">
        <f t="shared" si="10"/>
        <v>1</v>
      </c>
      <c r="H50" s="62">
        <f t="shared" si="10"/>
        <v>1</v>
      </c>
      <c r="I50" s="62">
        <f t="shared" si="10"/>
        <v>1</v>
      </c>
      <c r="J50" s="62">
        <f t="shared" si="10"/>
        <v>1</v>
      </c>
      <c r="K50" s="62">
        <f t="shared" si="10"/>
        <v>1</v>
      </c>
      <c r="L50" s="63">
        <f t="shared" si="10"/>
        <v>1</v>
      </c>
      <c r="M50" s="61">
        <v>1</v>
      </c>
      <c r="N50" s="62">
        <f t="shared" si="9"/>
        <v>1</v>
      </c>
      <c r="O50" s="62">
        <f t="shared" si="9"/>
        <v>1</v>
      </c>
      <c r="P50" s="62">
        <f t="shared" si="9"/>
        <v>1</v>
      </c>
      <c r="Q50" s="62">
        <f t="shared" si="9"/>
        <v>1</v>
      </c>
      <c r="R50" s="62">
        <f t="shared" si="9"/>
        <v>1</v>
      </c>
      <c r="S50" s="62">
        <f t="shared" si="9"/>
        <v>1</v>
      </c>
      <c r="T50" s="63">
        <f t="shared" si="9"/>
        <v>1</v>
      </c>
      <c r="U50" s="135"/>
      <c r="V50" s="136"/>
      <c r="W50" s="136"/>
      <c r="X50" s="136"/>
      <c r="Y50" s="136"/>
      <c r="Z50" s="136"/>
      <c r="AA50" s="136"/>
      <c r="AB50" s="137"/>
      <c r="AC50" s="135"/>
      <c r="AD50" s="136"/>
      <c r="AE50" s="136"/>
      <c r="AF50" s="136"/>
      <c r="AG50" s="136"/>
      <c r="AH50" s="136"/>
      <c r="AI50" s="136"/>
      <c r="AJ50" s="137"/>
      <c r="AK50" s="135"/>
      <c r="AL50" s="136"/>
      <c r="AM50" s="136"/>
      <c r="AN50" s="136"/>
      <c r="AO50" s="136"/>
      <c r="AP50" s="136"/>
      <c r="AQ50" s="136"/>
      <c r="AR50" s="137"/>
      <c r="AS50" s="135"/>
      <c r="AT50" s="136"/>
      <c r="AU50" s="136"/>
      <c r="AV50" s="136"/>
      <c r="AW50" s="136"/>
      <c r="AX50" s="136"/>
      <c r="AY50" s="136"/>
      <c r="AZ50" s="137"/>
      <c r="BA50" s="37">
        <f t="shared" si="8"/>
        <v>16</v>
      </c>
      <c r="BB50" s="9">
        <f t="shared" si="3"/>
        <v>48</v>
      </c>
      <c r="BC50" s="10">
        <f t="shared" si="4"/>
        <v>89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32</v>
      </c>
      <c r="E51" s="61">
        <v>1</v>
      </c>
      <c r="F51" s="62">
        <f t="shared" si="10"/>
        <v>1</v>
      </c>
      <c r="G51" s="62">
        <f t="shared" si="10"/>
        <v>1</v>
      </c>
      <c r="H51" s="62">
        <f t="shared" si="10"/>
        <v>1</v>
      </c>
      <c r="I51" s="62">
        <f t="shared" si="10"/>
        <v>1</v>
      </c>
      <c r="J51" s="62">
        <f t="shared" si="10"/>
        <v>1</v>
      </c>
      <c r="K51" s="62">
        <f t="shared" si="10"/>
        <v>1</v>
      </c>
      <c r="L51" s="63">
        <f t="shared" si="10"/>
        <v>1</v>
      </c>
      <c r="M51" s="61">
        <v>1</v>
      </c>
      <c r="N51" s="62">
        <f t="shared" si="9"/>
        <v>1</v>
      </c>
      <c r="O51" s="62">
        <f t="shared" si="9"/>
        <v>1</v>
      </c>
      <c r="P51" s="62">
        <f t="shared" si="9"/>
        <v>1</v>
      </c>
      <c r="Q51" s="62">
        <f t="shared" si="9"/>
        <v>1</v>
      </c>
      <c r="R51" s="62">
        <f t="shared" si="9"/>
        <v>1</v>
      </c>
      <c r="S51" s="62">
        <f t="shared" si="9"/>
        <v>1</v>
      </c>
      <c r="T51" s="63">
        <f t="shared" si="9"/>
        <v>1</v>
      </c>
      <c r="U51" s="135"/>
      <c r="V51" s="136"/>
      <c r="W51" s="136"/>
      <c r="X51" s="136"/>
      <c r="Y51" s="136"/>
      <c r="Z51" s="136"/>
      <c r="AA51" s="136"/>
      <c r="AB51" s="137"/>
      <c r="AC51" s="135"/>
      <c r="AD51" s="136"/>
      <c r="AE51" s="136"/>
      <c r="AF51" s="136"/>
      <c r="AG51" s="136"/>
      <c r="AH51" s="136"/>
      <c r="AI51" s="136"/>
      <c r="AJ51" s="137"/>
      <c r="AK51" s="135"/>
      <c r="AL51" s="136"/>
      <c r="AM51" s="136"/>
      <c r="AN51" s="136"/>
      <c r="AO51" s="136"/>
      <c r="AP51" s="136"/>
      <c r="AQ51" s="136"/>
      <c r="AR51" s="137"/>
      <c r="AS51" s="135"/>
      <c r="AT51" s="136"/>
      <c r="AU51" s="136"/>
      <c r="AV51" s="136"/>
      <c r="AW51" s="136"/>
      <c r="AX51" s="136"/>
      <c r="AY51" s="136"/>
      <c r="AZ51" s="137"/>
      <c r="BA51" s="37">
        <f t="shared" si="8"/>
        <v>16</v>
      </c>
      <c r="BB51" s="9">
        <f t="shared" si="3"/>
        <v>48</v>
      </c>
      <c r="BC51" s="10">
        <f t="shared" si="4"/>
        <v>89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32</v>
      </c>
      <c r="E52" s="61">
        <v>1</v>
      </c>
      <c r="F52" s="62">
        <f t="shared" si="10"/>
        <v>1</v>
      </c>
      <c r="G52" s="62">
        <f t="shared" si="10"/>
        <v>1</v>
      </c>
      <c r="H52" s="62">
        <f t="shared" si="10"/>
        <v>1</v>
      </c>
      <c r="I52" s="62">
        <f t="shared" si="10"/>
        <v>1</v>
      </c>
      <c r="J52" s="62">
        <f t="shared" si="10"/>
        <v>1</v>
      </c>
      <c r="K52" s="62">
        <f t="shared" si="10"/>
        <v>1</v>
      </c>
      <c r="L52" s="63">
        <f t="shared" si="10"/>
        <v>1</v>
      </c>
      <c r="M52" s="61">
        <v>1</v>
      </c>
      <c r="N52" s="62">
        <f t="shared" si="9"/>
        <v>1</v>
      </c>
      <c r="O52" s="62">
        <f t="shared" si="9"/>
        <v>1</v>
      </c>
      <c r="P52" s="62">
        <f t="shared" si="9"/>
        <v>1</v>
      </c>
      <c r="Q52" s="62">
        <f t="shared" si="9"/>
        <v>1</v>
      </c>
      <c r="R52" s="62">
        <f t="shared" si="9"/>
        <v>1</v>
      </c>
      <c r="S52" s="62">
        <f t="shared" si="9"/>
        <v>1</v>
      </c>
      <c r="T52" s="63">
        <f t="shared" si="9"/>
        <v>1</v>
      </c>
      <c r="U52" s="135"/>
      <c r="V52" s="136"/>
      <c r="W52" s="136"/>
      <c r="X52" s="136"/>
      <c r="Y52" s="136"/>
      <c r="Z52" s="136"/>
      <c r="AA52" s="136"/>
      <c r="AB52" s="137"/>
      <c r="AC52" s="135"/>
      <c r="AD52" s="136"/>
      <c r="AE52" s="136"/>
      <c r="AF52" s="136"/>
      <c r="AG52" s="136"/>
      <c r="AH52" s="136"/>
      <c r="AI52" s="136"/>
      <c r="AJ52" s="137"/>
      <c r="AK52" s="135"/>
      <c r="AL52" s="136"/>
      <c r="AM52" s="136"/>
      <c r="AN52" s="136"/>
      <c r="AO52" s="136"/>
      <c r="AP52" s="136"/>
      <c r="AQ52" s="136"/>
      <c r="AR52" s="137"/>
      <c r="AS52" s="135"/>
      <c r="AT52" s="136"/>
      <c r="AU52" s="136"/>
      <c r="AV52" s="136"/>
      <c r="AW52" s="136"/>
      <c r="AX52" s="136"/>
      <c r="AY52" s="136"/>
      <c r="AZ52" s="137"/>
      <c r="BA52" s="37">
        <f t="shared" si="8"/>
        <v>16</v>
      </c>
      <c r="BB52" s="9">
        <f t="shared" si="3"/>
        <v>48</v>
      </c>
      <c r="BC52" s="10">
        <f t="shared" si="4"/>
        <v>89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38</v>
      </c>
      <c r="E53" s="61" t="s">
        <v>124</v>
      </c>
      <c r="F53" s="62" t="str">
        <f t="shared" si="10"/>
        <v>a</v>
      </c>
      <c r="G53" s="62" t="str">
        <f t="shared" si="10"/>
        <v>a</v>
      </c>
      <c r="H53" s="62" t="str">
        <f t="shared" si="10"/>
        <v>a</v>
      </c>
      <c r="I53" s="62" t="str">
        <f t="shared" si="10"/>
        <v>a</v>
      </c>
      <c r="J53" s="62" t="str">
        <f t="shared" si="10"/>
        <v>a</v>
      </c>
      <c r="K53" s="62" t="str">
        <f t="shared" si="10"/>
        <v>a</v>
      </c>
      <c r="L53" s="63" t="str">
        <f t="shared" si="10"/>
        <v>a</v>
      </c>
      <c r="M53" s="61">
        <v>1</v>
      </c>
      <c r="N53" s="62">
        <f t="shared" si="9"/>
        <v>1</v>
      </c>
      <c r="O53" s="62">
        <f t="shared" si="9"/>
        <v>1</v>
      </c>
      <c r="P53" s="62">
        <f t="shared" si="9"/>
        <v>1</v>
      </c>
      <c r="Q53" s="62">
        <f t="shared" si="9"/>
        <v>1</v>
      </c>
      <c r="R53" s="62">
        <f t="shared" si="9"/>
        <v>1</v>
      </c>
      <c r="S53" s="62">
        <f t="shared" si="9"/>
        <v>1</v>
      </c>
      <c r="T53" s="63">
        <f t="shared" si="9"/>
        <v>1</v>
      </c>
      <c r="U53" s="135"/>
      <c r="V53" s="136"/>
      <c r="W53" s="136"/>
      <c r="X53" s="136"/>
      <c r="Y53" s="136"/>
      <c r="Z53" s="136"/>
      <c r="AA53" s="136"/>
      <c r="AB53" s="137"/>
      <c r="AC53" s="135"/>
      <c r="AD53" s="136"/>
      <c r="AE53" s="136"/>
      <c r="AF53" s="136"/>
      <c r="AG53" s="136"/>
      <c r="AH53" s="136"/>
      <c r="AI53" s="136"/>
      <c r="AJ53" s="137"/>
      <c r="AK53" s="135"/>
      <c r="AL53" s="136"/>
      <c r="AM53" s="136"/>
      <c r="AN53" s="136"/>
      <c r="AO53" s="136"/>
      <c r="AP53" s="136"/>
      <c r="AQ53" s="136"/>
      <c r="AR53" s="137"/>
      <c r="AS53" s="135"/>
      <c r="AT53" s="136"/>
      <c r="AU53" s="136"/>
      <c r="AV53" s="136"/>
      <c r="AW53" s="136"/>
      <c r="AX53" s="136"/>
      <c r="AY53" s="136"/>
      <c r="AZ53" s="137"/>
      <c r="BA53" s="37">
        <f t="shared" si="8"/>
        <v>8</v>
      </c>
      <c r="BB53" s="9">
        <f t="shared" si="3"/>
        <v>46</v>
      </c>
      <c r="BC53" s="10">
        <f t="shared" si="4"/>
        <v>85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24</v>
      </c>
      <c r="E54" s="61">
        <v>1</v>
      </c>
      <c r="F54" s="62">
        <f t="shared" si="10"/>
        <v>1</v>
      </c>
      <c r="G54" s="62">
        <f t="shared" si="10"/>
        <v>1</v>
      </c>
      <c r="H54" s="62">
        <f t="shared" si="10"/>
        <v>1</v>
      </c>
      <c r="I54" s="62">
        <f t="shared" si="10"/>
        <v>1</v>
      </c>
      <c r="J54" s="62">
        <f t="shared" si="10"/>
        <v>1</v>
      </c>
      <c r="K54" s="62">
        <f t="shared" si="10"/>
        <v>1</v>
      </c>
      <c r="L54" s="63">
        <f t="shared" si="10"/>
        <v>1</v>
      </c>
      <c r="M54" s="61" t="s">
        <v>124</v>
      </c>
      <c r="N54" s="62" t="str">
        <f t="shared" si="9"/>
        <v>a</v>
      </c>
      <c r="O54" s="62" t="str">
        <f t="shared" si="9"/>
        <v>a</v>
      </c>
      <c r="P54" s="62" t="str">
        <f t="shared" si="9"/>
        <v>a</v>
      </c>
      <c r="Q54" s="62" t="str">
        <f t="shared" si="9"/>
        <v>a</v>
      </c>
      <c r="R54" s="62" t="str">
        <f t="shared" si="9"/>
        <v>a</v>
      </c>
      <c r="S54" s="62" t="str">
        <f t="shared" si="9"/>
        <v>a</v>
      </c>
      <c r="T54" s="63" t="str">
        <f t="shared" si="9"/>
        <v>a</v>
      </c>
      <c r="U54" s="135"/>
      <c r="V54" s="136"/>
      <c r="W54" s="136"/>
      <c r="X54" s="136"/>
      <c r="Y54" s="136"/>
      <c r="Z54" s="136"/>
      <c r="AA54" s="136"/>
      <c r="AB54" s="137"/>
      <c r="AC54" s="135"/>
      <c r="AD54" s="136"/>
      <c r="AE54" s="136"/>
      <c r="AF54" s="136"/>
      <c r="AG54" s="136"/>
      <c r="AH54" s="136"/>
      <c r="AI54" s="136"/>
      <c r="AJ54" s="137"/>
      <c r="AK54" s="135"/>
      <c r="AL54" s="136"/>
      <c r="AM54" s="136"/>
      <c r="AN54" s="136"/>
      <c r="AO54" s="136"/>
      <c r="AP54" s="136"/>
      <c r="AQ54" s="136"/>
      <c r="AR54" s="137"/>
      <c r="AS54" s="135"/>
      <c r="AT54" s="136"/>
      <c r="AU54" s="136"/>
      <c r="AV54" s="136"/>
      <c r="AW54" s="136"/>
      <c r="AX54" s="136"/>
      <c r="AY54" s="136"/>
      <c r="AZ54" s="137"/>
      <c r="BA54" s="37">
        <f t="shared" si="8"/>
        <v>8</v>
      </c>
      <c r="BB54" s="9">
        <f t="shared" si="3"/>
        <v>32</v>
      </c>
      <c r="BC54" s="10">
        <f t="shared" si="4"/>
        <v>59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38</v>
      </c>
      <c r="E55" s="61">
        <v>1</v>
      </c>
      <c r="F55" s="62">
        <f t="shared" si="10"/>
        <v>1</v>
      </c>
      <c r="G55" s="62">
        <f t="shared" si="10"/>
        <v>1</v>
      </c>
      <c r="H55" s="62">
        <f t="shared" si="10"/>
        <v>1</v>
      </c>
      <c r="I55" s="62">
        <f t="shared" si="10"/>
        <v>1</v>
      </c>
      <c r="J55" s="62">
        <f t="shared" si="10"/>
        <v>1</v>
      </c>
      <c r="K55" s="62">
        <f t="shared" si="10"/>
        <v>1</v>
      </c>
      <c r="L55" s="63">
        <f t="shared" si="10"/>
        <v>1</v>
      </c>
      <c r="M55" s="61">
        <v>1</v>
      </c>
      <c r="N55" s="62">
        <f t="shared" si="9"/>
        <v>1</v>
      </c>
      <c r="O55" s="62">
        <f t="shared" si="9"/>
        <v>1</v>
      </c>
      <c r="P55" s="62">
        <f t="shared" si="9"/>
        <v>1</v>
      </c>
      <c r="Q55" s="62">
        <f t="shared" si="9"/>
        <v>1</v>
      </c>
      <c r="R55" s="62">
        <f t="shared" si="9"/>
        <v>1</v>
      </c>
      <c r="S55" s="62">
        <f t="shared" si="9"/>
        <v>1</v>
      </c>
      <c r="T55" s="63">
        <f t="shared" si="9"/>
        <v>1</v>
      </c>
      <c r="U55" s="135"/>
      <c r="V55" s="136"/>
      <c r="W55" s="136"/>
      <c r="X55" s="136"/>
      <c r="Y55" s="136"/>
      <c r="Z55" s="136"/>
      <c r="AA55" s="136"/>
      <c r="AB55" s="137"/>
      <c r="AC55" s="135"/>
      <c r="AD55" s="136"/>
      <c r="AE55" s="136"/>
      <c r="AF55" s="136"/>
      <c r="AG55" s="136"/>
      <c r="AH55" s="136"/>
      <c r="AI55" s="136"/>
      <c r="AJ55" s="137"/>
      <c r="AK55" s="135"/>
      <c r="AL55" s="136"/>
      <c r="AM55" s="136"/>
      <c r="AN55" s="136"/>
      <c r="AO55" s="136"/>
      <c r="AP55" s="136"/>
      <c r="AQ55" s="136"/>
      <c r="AR55" s="137"/>
      <c r="AS55" s="135"/>
      <c r="AT55" s="136"/>
      <c r="AU55" s="136"/>
      <c r="AV55" s="136"/>
      <c r="AW55" s="136"/>
      <c r="AX55" s="136"/>
      <c r="AY55" s="136"/>
      <c r="AZ55" s="137"/>
      <c r="BA55" s="37">
        <f t="shared" si="8"/>
        <v>16</v>
      </c>
      <c r="BB55" s="9">
        <f t="shared" si="3"/>
        <v>54</v>
      </c>
      <c r="BC55" s="10">
        <f t="shared" si="4"/>
        <v>100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30</v>
      </c>
      <c r="E56" s="61">
        <v>1</v>
      </c>
      <c r="F56" s="62">
        <f t="shared" si="10"/>
        <v>1</v>
      </c>
      <c r="G56" s="62">
        <f t="shared" si="10"/>
        <v>1</v>
      </c>
      <c r="H56" s="62">
        <f t="shared" si="10"/>
        <v>1</v>
      </c>
      <c r="I56" s="62">
        <f t="shared" si="10"/>
        <v>1</v>
      </c>
      <c r="J56" s="62">
        <f t="shared" si="10"/>
        <v>1</v>
      </c>
      <c r="K56" s="62">
        <f t="shared" si="10"/>
        <v>1</v>
      </c>
      <c r="L56" s="63">
        <f t="shared" si="10"/>
        <v>1</v>
      </c>
      <c r="M56" s="61">
        <v>1</v>
      </c>
      <c r="N56" s="62">
        <f t="shared" si="9"/>
        <v>1</v>
      </c>
      <c r="O56" s="62">
        <f t="shared" si="9"/>
        <v>1</v>
      </c>
      <c r="P56" s="62">
        <f t="shared" si="9"/>
        <v>1</v>
      </c>
      <c r="Q56" s="62">
        <f t="shared" si="9"/>
        <v>1</v>
      </c>
      <c r="R56" s="62">
        <f t="shared" si="9"/>
        <v>1</v>
      </c>
      <c r="S56" s="62">
        <f t="shared" si="9"/>
        <v>1</v>
      </c>
      <c r="T56" s="63">
        <f t="shared" si="9"/>
        <v>1</v>
      </c>
      <c r="U56" s="135"/>
      <c r="V56" s="136"/>
      <c r="W56" s="136"/>
      <c r="X56" s="136"/>
      <c r="Y56" s="136"/>
      <c r="Z56" s="136"/>
      <c r="AA56" s="136"/>
      <c r="AB56" s="137"/>
      <c r="AC56" s="135"/>
      <c r="AD56" s="136"/>
      <c r="AE56" s="136"/>
      <c r="AF56" s="136"/>
      <c r="AG56" s="136"/>
      <c r="AH56" s="136"/>
      <c r="AI56" s="136"/>
      <c r="AJ56" s="137"/>
      <c r="AK56" s="135"/>
      <c r="AL56" s="136"/>
      <c r="AM56" s="136"/>
      <c r="AN56" s="136"/>
      <c r="AO56" s="136"/>
      <c r="AP56" s="136"/>
      <c r="AQ56" s="136"/>
      <c r="AR56" s="137"/>
      <c r="AS56" s="135"/>
      <c r="AT56" s="136"/>
      <c r="AU56" s="136"/>
      <c r="AV56" s="136"/>
      <c r="AW56" s="136"/>
      <c r="AX56" s="136"/>
      <c r="AY56" s="136"/>
      <c r="AZ56" s="137"/>
      <c r="BA56" s="37">
        <f t="shared" si="8"/>
        <v>16</v>
      </c>
      <c r="BB56" s="9">
        <f t="shared" si="3"/>
        <v>46</v>
      </c>
      <c r="BC56" s="10">
        <f t="shared" si="4"/>
        <v>85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30</v>
      </c>
      <c r="E57" s="61">
        <v>1</v>
      </c>
      <c r="F57" s="62">
        <f t="shared" si="10"/>
        <v>1</v>
      </c>
      <c r="G57" s="62">
        <f t="shared" si="10"/>
        <v>1</v>
      </c>
      <c r="H57" s="62">
        <f t="shared" si="10"/>
        <v>1</v>
      </c>
      <c r="I57" s="62">
        <f t="shared" si="10"/>
        <v>1</v>
      </c>
      <c r="J57" s="62">
        <f t="shared" si="10"/>
        <v>1</v>
      </c>
      <c r="K57" s="62">
        <f t="shared" si="10"/>
        <v>1</v>
      </c>
      <c r="L57" s="63">
        <f t="shared" si="10"/>
        <v>1</v>
      </c>
      <c r="M57" s="61">
        <v>1</v>
      </c>
      <c r="N57" s="62">
        <f t="shared" ref="N57:T72" si="11">M57</f>
        <v>1</v>
      </c>
      <c r="O57" s="62">
        <f t="shared" si="11"/>
        <v>1</v>
      </c>
      <c r="P57" s="62">
        <f t="shared" si="11"/>
        <v>1</v>
      </c>
      <c r="Q57" s="62">
        <f t="shared" si="11"/>
        <v>1</v>
      </c>
      <c r="R57" s="62">
        <f t="shared" si="11"/>
        <v>1</v>
      </c>
      <c r="S57" s="62">
        <f t="shared" si="11"/>
        <v>1</v>
      </c>
      <c r="T57" s="63">
        <f t="shared" si="11"/>
        <v>1</v>
      </c>
      <c r="U57" s="135"/>
      <c r="V57" s="136"/>
      <c r="W57" s="136"/>
      <c r="X57" s="136"/>
      <c r="Y57" s="136"/>
      <c r="Z57" s="136"/>
      <c r="AA57" s="136"/>
      <c r="AB57" s="137"/>
      <c r="AC57" s="135"/>
      <c r="AD57" s="136"/>
      <c r="AE57" s="136"/>
      <c r="AF57" s="136"/>
      <c r="AG57" s="136"/>
      <c r="AH57" s="136"/>
      <c r="AI57" s="136"/>
      <c r="AJ57" s="137"/>
      <c r="AK57" s="135"/>
      <c r="AL57" s="136"/>
      <c r="AM57" s="136"/>
      <c r="AN57" s="136"/>
      <c r="AO57" s="136"/>
      <c r="AP57" s="136"/>
      <c r="AQ57" s="136"/>
      <c r="AR57" s="137"/>
      <c r="AS57" s="135"/>
      <c r="AT57" s="136"/>
      <c r="AU57" s="136"/>
      <c r="AV57" s="136"/>
      <c r="AW57" s="136"/>
      <c r="AX57" s="136"/>
      <c r="AY57" s="136"/>
      <c r="AZ57" s="137"/>
      <c r="BA57" s="37">
        <f t="shared" si="8"/>
        <v>16</v>
      </c>
      <c r="BB57" s="9">
        <f t="shared" si="3"/>
        <v>46</v>
      </c>
      <c r="BC57" s="10">
        <f t="shared" si="4"/>
        <v>85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30</v>
      </c>
      <c r="E58" s="61">
        <v>1</v>
      </c>
      <c r="F58" s="62">
        <f t="shared" si="10"/>
        <v>1</v>
      </c>
      <c r="G58" s="62">
        <f t="shared" si="10"/>
        <v>1</v>
      </c>
      <c r="H58" s="62">
        <f t="shared" si="10"/>
        <v>1</v>
      </c>
      <c r="I58" s="62">
        <f t="shared" si="10"/>
        <v>1</v>
      </c>
      <c r="J58" s="62">
        <f t="shared" si="10"/>
        <v>1</v>
      </c>
      <c r="K58" s="62">
        <f t="shared" si="10"/>
        <v>1</v>
      </c>
      <c r="L58" s="63">
        <f t="shared" si="10"/>
        <v>1</v>
      </c>
      <c r="M58" s="61">
        <v>1</v>
      </c>
      <c r="N58" s="62">
        <f t="shared" si="11"/>
        <v>1</v>
      </c>
      <c r="O58" s="62">
        <f t="shared" si="11"/>
        <v>1</v>
      </c>
      <c r="P58" s="62">
        <f t="shared" si="11"/>
        <v>1</v>
      </c>
      <c r="Q58" s="62">
        <f t="shared" si="11"/>
        <v>1</v>
      </c>
      <c r="R58" s="62">
        <f t="shared" si="11"/>
        <v>1</v>
      </c>
      <c r="S58" s="62">
        <f t="shared" si="11"/>
        <v>1</v>
      </c>
      <c r="T58" s="63">
        <f t="shared" si="11"/>
        <v>1</v>
      </c>
      <c r="U58" s="135"/>
      <c r="V58" s="136"/>
      <c r="W58" s="136"/>
      <c r="X58" s="136"/>
      <c r="Y58" s="136"/>
      <c r="Z58" s="136"/>
      <c r="AA58" s="136"/>
      <c r="AB58" s="137"/>
      <c r="AC58" s="135"/>
      <c r="AD58" s="136"/>
      <c r="AE58" s="136"/>
      <c r="AF58" s="136"/>
      <c r="AG58" s="136"/>
      <c r="AH58" s="136"/>
      <c r="AI58" s="136"/>
      <c r="AJ58" s="137"/>
      <c r="AK58" s="135"/>
      <c r="AL58" s="136"/>
      <c r="AM58" s="136"/>
      <c r="AN58" s="136"/>
      <c r="AO58" s="136"/>
      <c r="AP58" s="136"/>
      <c r="AQ58" s="136"/>
      <c r="AR58" s="137"/>
      <c r="AS58" s="135"/>
      <c r="AT58" s="136"/>
      <c r="AU58" s="136"/>
      <c r="AV58" s="136"/>
      <c r="AW58" s="136"/>
      <c r="AX58" s="136"/>
      <c r="AY58" s="136"/>
      <c r="AZ58" s="137"/>
      <c r="BA58" s="37">
        <f t="shared" si="8"/>
        <v>16</v>
      </c>
      <c r="BB58" s="9">
        <f t="shared" si="3"/>
        <v>46</v>
      </c>
      <c r="BC58" s="10">
        <f t="shared" si="4"/>
        <v>85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30</v>
      </c>
      <c r="E59" s="61">
        <v>1</v>
      </c>
      <c r="F59" s="62">
        <f t="shared" ref="F59:L73" si="12">E59</f>
        <v>1</v>
      </c>
      <c r="G59" s="62">
        <f t="shared" si="12"/>
        <v>1</v>
      </c>
      <c r="H59" s="62">
        <f t="shared" si="12"/>
        <v>1</v>
      </c>
      <c r="I59" s="62">
        <f t="shared" si="12"/>
        <v>1</v>
      </c>
      <c r="J59" s="62">
        <f t="shared" si="12"/>
        <v>1</v>
      </c>
      <c r="K59" s="62">
        <f t="shared" si="12"/>
        <v>1</v>
      </c>
      <c r="L59" s="63">
        <f t="shared" si="12"/>
        <v>1</v>
      </c>
      <c r="M59" s="61">
        <v>1</v>
      </c>
      <c r="N59" s="62">
        <f t="shared" si="11"/>
        <v>1</v>
      </c>
      <c r="O59" s="62">
        <f t="shared" si="11"/>
        <v>1</v>
      </c>
      <c r="P59" s="62">
        <f t="shared" si="11"/>
        <v>1</v>
      </c>
      <c r="Q59" s="62">
        <f t="shared" si="11"/>
        <v>1</v>
      </c>
      <c r="R59" s="62">
        <f t="shared" si="11"/>
        <v>1</v>
      </c>
      <c r="S59" s="62">
        <f t="shared" si="11"/>
        <v>1</v>
      </c>
      <c r="T59" s="63">
        <f t="shared" si="11"/>
        <v>1</v>
      </c>
      <c r="U59" s="135"/>
      <c r="V59" s="136"/>
      <c r="W59" s="136"/>
      <c r="X59" s="136"/>
      <c r="Y59" s="136"/>
      <c r="Z59" s="136"/>
      <c r="AA59" s="136"/>
      <c r="AB59" s="137"/>
      <c r="AC59" s="135"/>
      <c r="AD59" s="136"/>
      <c r="AE59" s="136"/>
      <c r="AF59" s="136"/>
      <c r="AG59" s="136"/>
      <c r="AH59" s="136"/>
      <c r="AI59" s="136"/>
      <c r="AJ59" s="137"/>
      <c r="AK59" s="135"/>
      <c r="AL59" s="136"/>
      <c r="AM59" s="136"/>
      <c r="AN59" s="136"/>
      <c r="AO59" s="136"/>
      <c r="AP59" s="136"/>
      <c r="AQ59" s="136"/>
      <c r="AR59" s="137"/>
      <c r="AS59" s="135"/>
      <c r="AT59" s="136"/>
      <c r="AU59" s="136"/>
      <c r="AV59" s="136"/>
      <c r="AW59" s="136"/>
      <c r="AX59" s="136"/>
      <c r="AY59" s="136"/>
      <c r="AZ59" s="137"/>
      <c r="BA59" s="37">
        <f t="shared" si="8"/>
        <v>16</v>
      </c>
      <c r="BB59" s="9">
        <f t="shared" si="3"/>
        <v>46</v>
      </c>
      <c r="BC59" s="10">
        <f t="shared" si="4"/>
        <v>85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30</v>
      </c>
      <c r="E60" s="61">
        <v>1</v>
      </c>
      <c r="F60" s="62">
        <f t="shared" si="12"/>
        <v>1</v>
      </c>
      <c r="G60" s="62">
        <f t="shared" si="12"/>
        <v>1</v>
      </c>
      <c r="H60" s="62">
        <f t="shared" si="12"/>
        <v>1</v>
      </c>
      <c r="I60" s="62">
        <f t="shared" si="12"/>
        <v>1</v>
      </c>
      <c r="J60" s="62">
        <f t="shared" si="12"/>
        <v>1</v>
      </c>
      <c r="K60" s="62">
        <f t="shared" si="12"/>
        <v>1</v>
      </c>
      <c r="L60" s="63">
        <f t="shared" si="12"/>
        <v>1</v>
      </c>
      <c r="M60" s="61" t="s">
        <v>124</v>
      </c>
      <c r="N60" s="62" t="str">
        <f t="shared" si="11"/>
        <v>a</v>
      </c>
      <c r="O60" s="62" t="str">
        <f t="shared" si="11"/>
        <v>a</v>
      </c>
      <c r="P60" s="62" t="str">
        <f t="shared" si="11"/>
        <v>a</v>
      </c>
      <c r="Q60" s="62" t="str">
        <f t="shared" si="11"/>
        <v>a</v>
      </c>
      <c r="R60" s="62" t="str">
        <f t="shared" si="11"/>
        <v>a</v>
      </c>
      <c r="S60" s="62" t="str">
        <f t="shared" si="11"/>
        <v>a</v>
      </c>
      <c r="T60" s="63" t="str">
        <f t="shared" si="11"/>
        <v>a</v>
      </c>
      <c r="U60" s="135"/>
      <c r="V60" s="136"/>
      <c r="W60" s="136"/>
      <c r="X60" s="136"/>
      <c r="Y60" s="136"/>
      <c r="Z60" s="136"/>
      <c r="AA60" s="136"/>
      <c r="AB60" s="137"/>
      <c r="AC60" s="135"/>
      <c r="AD60" s="136"/>
      <c r="AE60" s="136"/>
      <c r="AF60" s="136"/>
      <c r="AG60" s="136"/>
      <c r="AH60" s="136"/>
      <c r="AI60" s="136"/>
      <c r="AJ60" s="137"/>
      <c r="AK60" s="135"/>
      <c r="AL60" s="136"/>
      <c r="AM60" s="136"/>
      <c r="AN60" s="136"/>
      <c r="AO60" s="136"/>
      <c r="AP60" s="136"/>
      <c r="AQ60" s="136"/>
      <c r="AR60" s="137"/>
      <c r="AS60" s="135"/>
      <c r="AT60" s="136"/>
      <c r="AU60" s="136"/>
      <c r="AV60" s="136"/>
      <c r="AW60" s="136"/>
      <c r="AX60" s="136"/>
      <c r="AY60" s="136"/>
      <c r="AZ60" s="137"/>
      <c r="BA60" s="37">
        <f t="shared" si="8"/>
        <v>8</v>
      </c>
      <c r="BB60" s="9">
        <f t="shared" si="3"/>
        <v>38</v>
      </c>
      <c r="BC60" s="10">
        <f t="shared" si="4"/>
        <v>70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38</v>
      </c>
      <c r="E61" s="61" t="s">
        <v>124</v>
      </c>
      <c r="F61" s="62" t="str">
        <f t="shared" si="12"/>
        <v>a</v>
      </c>
      <c r="G61" s="62" t="str">
        <f t="shared" si="12"/>
        <v>a</v>
      </c>
      <c r="H61" s="62" t="str">
        <f t="shared" si="12"/>
        <v>a</v>
      </c>
      <c r="I61" s="62" t="str">
        <f t="shared" si="12"/>
        <v>a</v>
      </c>
      <c r="J61" s="62" t="str">
        <f t="shared" si="12"/>
        <v>a</v>
      </c>
      <c r="K61" s="62" t="str">
        <f t="shared" si="12"/>
        <v>a</v>
      </c>
      <c r="L61" s="63" t="str">
        <f t="shared" si="12"/>
        <v>a</v>
      </c>
      <c r="M61" s="61">
        <v>1</v>
      </c>
      <c r="N61" s="62">
        <f t="shared" si="11"/>
        <v>1</v>
      </c>
      <c r="O61" s="62">
        <f t="shared" si="11"/>
        <v>1</v>
      </c>
      <c r="P61" s="62">
        <f t="shared" si="11"/>
        <v>1</v>
      </c>
      <c r="Q61" s="62">
        <f t="shared" si="11"/>
        <v>1</v>
      </c>
      <c r="R61" s="62">
        <f t="shared" si="11"/>
        <v>1</v>
      </c>
      <c r="S61" s="62">
        <f t="shared" si="11"/>
        <v>1</v>
      </c>
      <c r="T61" s="63">
        <f t="shared" si="11"/>
        <v>1</v>
      </c>
      <c r="U61" s="135"/>
      <c r="V61" s="136"/>
      <c r="W61" s="136"/>
      <c r="X61" s="136"/>
      <c r="Y61" s="136"/>
      <c r="Z61" s="136"/>
      <c r="AA61" s="136"/>
      <c r="AB61" s="137"/>
      <c r="AC61" s="135"/>
      <c r="AD61" s="136"/>
      <c r="AE61" s="136"/>
      <c r="AF61" s="136"/>
      <c r="AG61" s="136"/>
      <c r="AH61" s="136"/>
      <c r="AI61" s="136"/>
      <c r="AJ61" s="137"/>
      <c r="AK61" s="135"/>
      <c r="AL61" s="136"/>
      <c r="AM61" s="136"/>
      <c r="AN61" s="136"/>
      <c r="AO61" s="136"/>
      <c r="AP61" s="136"/>
      <c r="AQ61" s="136"/>
      <c r="AR61" s="137"/>
      <c r="AS61" s="135"/>
      <c r="AT61" s="136"/>
      <c r="AU61" s="136"/>
      <c r="AV61" s="136"/>
      <c r="AW61" s="136"/>
      <c r="AX61" s="136"/>
      <c r="AY61" s="136"/>
      <c r="AZ61" s="137"/>
      <c r="BA61" s="37">
        <f t="shared" si="8"/>
        <v>8</v>
      </c>
      <c r="BB61" s="9">
        <f t="shared" si="3"/>
        <v>46</v>
      </c>
      <c r="BC61" s="10">
        <f t="shared" si="4"/>
        <v>85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24</v>
      </c>
      <c r="E62" s="61">
        <v>1</v>
      </c>
      <c r="F62" s="62">
        <f t="shared" si="12"/>
        <v>1</v>
      </c>
      <c r="G62" s="62">
        <f t="shared" si="12"/>
        <v>1</v>
      </c>
      <c r="H62" s="62">
        <f t="shared" si="12"/>
        <v>1</v>
      </c>
      <c r="I62" s="62">
        <f t="shared" si="12"/>
        <v>1</v>
      </c>
      <c r="J62" s="62">
        <f t="shared" si="12"/>
        <v>1</v>
      </c>
      <c r="K62" s="62">
        <f t="shared" si="12"/>
        <v>1</v>
      </c>
      <c r="L62" s="63">
        <f t="shared" si="12"/>
        <v>1</v>
      </c>
      <c r="M62" s="61" t="s">
        <v>124</v>
      </c>
      <c r="N62" s="62" t="str">
        <f t="shared" si="11"/>
        <v>a</v>
      </c>
      <c r="O62" s="62" t="str">
        <f t="shared" si="11"/>
        <v>a</v>
      </c>
      <c r="P62" s="62" t="str">
        <f t="shared" si="11"/>
        <v>a</v>
      </c>
      <c r="Q62" s="62" t="str">
        <f t="shared" si="11"/>
        <v>a</v>
      </c>
      <c r="R62" s="62" t="str">
        <f t="shared" si="11"/>
        <v>a</v>
      </c>
      <c r="S62" s="62" t="str">
        <f t="shared" si="11"/>
        <v>a</v>
      </c>
      <c r="T62" s="63" t="str">
        <f t="shared" si="11"/>
        <v>a</v>
      </c>
      <c r="U62" s="135"/>
      <c r="V62" s="136"/>
      <c r="W62" s="136"/>
      <c r="X62" s="136"/>
      <c r="Y62" s="136"/>
      <c r="Z62" s="136"/>
      <c r="AA62" s="136"/>
      <c r="AB62" s="137"/>
      <c r="AC62" s="135"/>
      <c r="AD62" s="136"/>
      <c r="AE62" s="136"/>
      <c r="AF62" s="136"/>
      <c r="AG62" s="136"/>
      <c r="AH62" s="136"/>
      <c r="AI62" s="136"/>
      <c r="AJ62" s="137"/>
      <c r="AK62" s="135"/>
      <c r="AL62" s="136"/>
      <c r="AM62" s="136"/>
      <c r="AN62" s="136"/>
      <c r="AO62" s="136"/>
      <c r="AP62" s="136"/>
      <c r="AQ62" s="136"/>
      <c r="AR62" s="137"/>
      <c r="AS62" s="135"/>
      <c r="AT62" s="136"/>
      <c r="AU62" s="136"/>
      <c r="AV62" s="136"/>
      <c r="AW62" s="136"/>
      <c r="AX62" s="136"/>
      <c r="AY62" s="136"/>
      <c r="AZ62" s="137"/>
      <c r="BA62" s="42">
        <f t="shared" si="8"/>
        <v>8</v>
      </c>
      <c r="BB62" s="9">
        <f t="shared" si="3"/>
        <v>32</v>
      </c>
      <c r="BC62" s="10">
        <f t="shared" si="4"/>
        <v>59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28</v>
      </c>
      <c r="E63" s="61" t="s">
        <v>124</v>
      </c>
      <c r="F63" s="62" t="str">
        <f t="shared" si="12"/>
        <v>a</v>
      </c>
      <c r="G63" s="62" t="str">
        <f t="shared" si="12"/>
        <v>a</v>
      </c>
      <c r="H63" s="62" t="str">
        <f t="shared" si="12"/>
        <v>a</v>
      </c>
      <c r="I63" s="62" t="str">
        <f t="shared" si="12"/>
        <v>a</v>
      </c>
      <c r="J63" s="62" t="str">
        <f t="shared" si="12"/>
        <v>a</v>
      </c>
      <c r="K63" s="62" t="str">
        <f t="shared" si="12"/>
        <v>a</v>
      </c>
      <c r="L63" s="63" t="str">
        <f t="shared" si="12"/>
        <v>a</v>
      </c>
      <c r="M63" s="61" t="s">
        <v>124</v>
      </c>
      <c r="N63" s="62" t="str">
        <f t="shared" si="11"/>
        <v>a</v>
      </c>
      <c r="O63" s="62" t="str">
        <f t="shared" si="11"/>
        <v>a</v>
      </c>
      <c r="P63" s="62" t="str">
        <f t="shared" si="11"/>
        <v>a</v>
      </c>
      <c r="Q63" s="62" t="str">
        <f t="shared" si="11"/>
        <v>a</v>
      </c>
      <c r="R63" s="62" t="str">
        <f t="shared" si="11"/>
        <v>a</v>
      </c>
      <c r="S63" s="62" t="str">
        <f t="shared" si="11"/>
        <v>a</v>
      </c>
      <c r="T63" s="63" t="str">
        <f t="shared" si="11"/>
        <v>a</v>
      </c>
      <c r="U63" s="135"/>
      <c r="V63" s="136"/>
      <c r="W63" s="136"/>
      <c r="X63" s="136"/>
      <c r="Y63" s="136"/>
      <c r="Z63" s="136"/>
      <c r="AA63" s="136"/>
      <c r="AB63" s="137"/>
      <c r="AC63" s="135"/>
      <c r="AD63" s="136"/>
      <c r="AE63" s="136"/>
      <c r="AF63" s="136"/>
      <c r="AG63" s="136"/>
      <c r="AH63" s="136"/>
      <c r="AI63" s="136"/>
      <c r="AJ63" s="137"/>
      <c r="AK63" s="135"/>
      <c r="AL63" s="136"/>
      <c r="AM63" s="136"/>
      <c r="AN63" s="136"/>
      <c r="AO63" s="136"/>
      <c r="AP63" s="136"/>
      <c r="AQ63" s="136"/>
      <c r="AR63" s="137"/>
      <c r="AS63" s="135"/>
      <c r="AT63" s="136"/>
      <c r="AU63" s="136"/>
      <c r="AV63" s="136"/>
      <c r="AW63" s="136"/>
      <c r="AX63" s="136"/>
      <c r="AY63" s="136"/>
      <c r="AZ63" s="137"/>
      <c r="BA63" s="42">
        <f t="shared" si="8"/>
        <v>0</v>
      </c>
      <c r="BB63" s="9">
        <f t="shared" si="3"/>
        <v>28</v>
      </c>
      <c r="BC63" s="10">
        <f t="shared" si="4"/>
        <v>52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36</v>
      </c>
      <c r="E64" s="61" t="s">
        <v>124</v>
      </c>
      <c r="F64" s="62" t="str">
        <f t="shared" si="12"/>
        <v>a</v>
      </c>
      <c r="G64" s="62" t="str">
        <f t="shared" si="12"/>
        <v>a</v>
      </c>
      <c r="H64" s="62" t="str">
        <f t="shared" si="12"/>
        <v>a</v>
      </c>
      <c r="I64" s="62" t="str">
        <f t="shared" si="12"/>
        <v>a</v>
      </c>
      <c r="J64" s="62" t="str">
        <f t="shared" si="12"/>
        <v>a</v>
      </c>
      <c r="K64" s="62" t="str">
        <f t="shared" si="12"/>
        <v>a</v>
      </c>
      <c r="L64" s="63" t="str">
        <f t="shared" si="12"/>
        <v>a</v>
      </c>
      <c r="M64" s="61" t="s">
        <v>124</v>
      </c>
      <c r="N64" s="62" t="str">
        <f t="shared" si="11"/>
        <v>a</v>
      </c>
      <c r="O64" s="62" t="str">
        <f t="shared" si="11"/>
        <v>a</v>
      </c>
      <c r="P64" s="62" t="str">
        <f t="shared" si="11"/>
        <v>a</v>
      </c>
      <c r="Q64" s="62" t="str">
        <f t="shared" si="11"/>
        <v>a</v>
      </c>
      <c r="R64" s="62" t="str">
        <f t="shared" si="11"/>
        <v>a</v>
      </c>
      <c r="S64" s="62" t="str">
        <f t="shared" si="11"/>
        <v>a</v>
      </c>
      <c r="T64" s="63" t="str">
        <f t="shared" si="11"/>
        <v>a</v>
      </c>
      <c r="U64" s="135"/>
      <c r="V64" s="136"/>
      <c r="W64" s="136"/>
      <c r="X64" s="136"/>
      <c r="Y64" s="136"/>
      <c r="Z64" s="136"/>
      <c r="AA64" s="136"/>
      <c r="AB64" s="137"/>
      <c r="AC64" s="135"/>
      <c r="AD64" s="136"/>
      <c r="AE64" s="136"/>
      <c r="AF64" s="136"/>
      <c r="AG64" s="136"/>
      <c r="AH64" s="136"/>
      <c r="AI64" s="136"/>
      <c r="AJ64" s="137"/>
      <c r="AK64" s="135"/>
      <c r="AL64" s="136"/>
      <c r="AM64" s="136"/>
      <c r="AN64" s="136"/>
      <c r="AO64" s="136"/>
      <c r="AP64" s="136"/>
      <c r="AQ64" s="136"/>
      <c r="AR64" s="137"/>
      <c r="AS64" s="135"/>
      <c r="AT64" s="136"/>
      <c r="AU64" s="136"/>
      <c r="AV64" s="136"/>
      <c r="AW64" s="136"/>
      <c r="AX64" s="136"/>
      <c r="AY64" s="136"/>
      <c r="AZ64" s="137"/>
      <c r="BA64" s="42">
        <f t="shared" si="8"/>
        <v>0</v>
      </c>
      <c r="BB64" s="9">
        <f t="shared" si="3"/>
        <v>36</v>
      </c>
      <c r="BC64" s="10">
        <f t="shared" si="4"/>
        <v>67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24</v>
      </c>
      <c r="E65" s="61">
        <v>1</v>
      </c>
      <c r="F65" s="62">
        <f t="shared" si="12"/>
        <v>1</v>
      </c>
      <c r="G65" s="62">
        <f t="shared" si="12"/>
        <v>1</v>
      </c>
      <c r="H65" s="62">
        <f t="shared" si="12"/>
        <v>1</v>
      </c>
      <c r="I65" s="62">
        <f t="shared" si="12"/>
        <v>1</v>
      </c>
      <c r="J65" s="62">
        <f t="shared" si="12"/>
        <v>1</v>
      </c>
      <c r="K65" s="62">
        <f t="shared" si="12"/>
        <v>1</v>
      </c>
      <c r="L65" s="63">
        <f t="shared" si="12"/>
        <v>1</v>
      </c>
      <c r="M65" s="61" t="s">
        <v>124</v>
      </c>
      <c r="N65" s="62" t="str">
        <f t="shared" si="11"/>
        <v>a</v>
      </c>
      <c r="O65" s="62" t="str">
        <f t="shared" si="11"/>
        <v>a</v>
      </c>
      <c r="P65" s="62" t="str">
        <f t="shared" si="11"/>
        <v>a</v>
      </c>
      <c r="Q65" s="62" t="str">
        <f t="shared" si="11"/>
        <v>a</v>
      </c>
      <c r="R65" s="62" t="str">
        <f t="shared" si="11"/>
        <v>a</v>
      </c>
      <c r="S65" s="62" t="str">
        <f t="shared" si="11"/>
        <v>a</v>
      </c>
      <c r="T65" s="63" t="str">
        <f t="shared" si="11"/>
        <v>a</v>
      </c>
      <c r="U65" s="135"/>
      <c r="V65" s="136"/>
      <c r="W65" s="136"/>
      <c r="X65" s="136"/>
      <c r="Y65" s="136"/>
      <c r="Z65" s="136"/>
      <c r="AA65" s="136"/>
      <c r="AB65" s="137"/>
      <c r="AC65" s="135"/>
      <c r="AD65" s="136"/>
      <c r="AE65" s="136"/>
      <c r="AF65" s="136"/>
      <c r="AG65" s="136"/>
      <c r="AH65" s="136"/>
      <c r="AI65" s="136"/>
      <c r="AJ65" s="137"/>
      <c r="AK65" s="135"/>
      <c r="AL65" s="136"/>
      <c r="AM65" s="136"/>
      <c r="AN65" s="136"/>
      <c r="AO65" s="136"/>
      <c r="AP65" s="136"/>
      <c r="AQ65" s="136"/>
      <c r="AR65" s="137"/>
      <c r="AS65" s="135"/>
      <c r="AT65" s="136"/>
      <c r="AU65" s="136"/>
      <c r="AV65" s="136"/>
      <c r="AW65" s="136"/>
      <c r="AX65" s="136"/>
      <c r="AY65" s="136"/>
      <c r="AZ65" s="137"/>
      <c r="BA65" s="37">
        <f t="shared" si="8"/>
        <v>8</v>
      </c>
      <c r="BB65" s="9">
        <f t="shared" si="3"/>
        <v>32</v>
      </c>
      <c r="BC65" s="10">
        <f t="shared" si="4"/>
        <v>59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38</v>
      </c>
      <c r="E66" s="61">
        <v>1</v>
      </c>
      <c r="F66" s="62">
        <f t="shared" si="12"/>
        <v>1</v>
      </c>
      <c r="G66" s="62">
        <f t="shared" si="12"/>
        <v>1</v>
      </c>
      <c r="H66" s="62">
        <f t="shared" si="12"/>
        <v>1</v>
      </c>
      <c r="I66" s="62">
        <f t="shared" si="12"/>
        <v>1</v>
      </c>
      <c r="J66" s="62">
        <f t="shared" si="12"/>
        <v>1</v>
      </c>
      <c r="K66" s="62">
        <f t="shared" si="12"/>
        <v>1</v>
      </c>
      <c r="L66" s="63">
        <f t="shared" si="12"/>
        <v>1</v>
      </c>
      <c r="M66" s="61">
        <v>1</v>
      </c>
      <c r="N66" s="62">
        <f t="shared" si="11"/>
        <v>1</v>
      </c>
      <c r="O66" s="62">
        <f t="shared" si="11"/>
        <v>1</v>
      </c>
      <c r="P66" s="62">
        <f t="shared" si="11"/>
        <v>1</v>
      </c>
      <c r="Q66" s="62">
        <f t="shared" si="11"/>
        <v>1</v>
      </c>
      <c r="R66" s="62">
        <f t="shared" si="11"/>
        <v>1</v>
      </c>
      <c r="S66" s="62">
        <f t="shared" si="11"/>
        <v>1</v>
      </c>
      <c r="T66" s="63">
        <f t="shared" si="11"/>
        <v>1</v>
      </c>
      <c r="U66" s="135"/>
      <c r="V66" s="136"/>
      <c r="W66" s="136"/>
      <c r="X66" s="136"/>
      <c r="Y66" s="136"/>
      <c r="Z66" s="136"/>
      <c r="AA66" s="136"/>
      <c r="AB66" s="137"/>
      <c r="AC66" s="135"/>
      <c r="AD66" s="136"/>
      <c r="AE66" s="136"/>
      <c r="AF66" s="136"/>
      <c r="AG66" s="136"/>
      <c r="AH66" s="136"/>
      <c r="AI66" s="136"/>
      <c r="AJ66" s="137"/>
      <c r="AK66" s="135"/>
      <c r="AL66" s="136"/>
      <c r="AM66" s="136"/>
      <c r="AN66" s="136"/>
      <c r="AO66" s="136"/>
      <c r="AP66" s="136"/>
      <c r="AQ66" s="136"/>
      <c r="AR66" s="137"/>
      <c r="AS66" s="135"/>
      <c r="AT66" s="136"/>
      <c r="AU66" s="136"/>
      <c r="AV66" s="136"/>
      <c r="AW66" s="136"/>
      <c r="AX66" s="136"/>
      <c r="AY66" s="136"/>
      <c r="AZ66" s="137"/>
      <c r="BA66" s="37">
        <f t="shared" si="8"/>
        <v>16</v>
      </c>
      <c r="BB66" s="9">
        <f t="shared" si="3"/>
        <v>54</v>
      </c>
      <c r="BC66" s="10">
        <f t="shared" si="4"/>
        <v>100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38</v>
      </c>
      <c r="E67" s="61" t="s">
        <v>124</v>
      </c>
      <c r="F67" s="62" t="str">
        <f t="shared" si="12"/>
        <v>a</v>
      </c>
      <c r="G67" s="62" t="str">
        <f t="shared" si="12"/>
        <v>a</v>
      </c>
      <c r="H67" s="62" t="str">
        <f t="shared" si="12"/>
        <v>a</v>
      </c>
      <c r="I67" s="62" t="str">
        <f t="shared" si="12"/>
        <v>a</v>
      </c>
      <c r="J67" s="62" t="str">
        <f t="shared" si="12"/>
        <v>a</v>
      </c>
      <c r="K67" s="62" t="str">
        <f t="shared" si="12"/>
        <v>a</v>
      </c>
      <c r="L67" s="63" t="str">
        <f t="shared" si="12"/>
        <v>a</v>
      </c>
      <c r="M67" s="61" t="s">
        <v>124</v>
      </c>
      <c r="N67" s="62" t="str">
        <f t="shared" si="11"/>
        <v>a</v>
      </c>
      <c r="O67" s="62" t="str">
        <f t="shared" si="11"/>
        <v>a</v>
      </c>
      <c r="P67" s="62" t="str">
        <f t="shared" si="11"/>
        <v>a</v>
      </c>
      <c r="Q67" s="62" t="str">
        <f t="shared" si="11"/>
        <v>a</v>
      </c>
      <c r="R67" s="62" t="str">
        <f t="shared" si="11"/>
        <v>a</v>
      </c>
      <c r="S67" s="62" t="str">
        <f t="shared" si="11"/>
        <v>a</v>
      </c>
      <c r="T67" s="63" t="str">
        <f t="shared" si="11"/>
        <v>a</v>
      </c>
      <c r="U67" s="135"/>
      <c r="V67" s="136"/>
      <c r="W67" s="136"/>
      <c r="X67" s="136"/>
      <c r="Y67" s="136"/>
      <c r="Z67" s="136"/>
      <c r="AA67" s="136"/>
      <c r="AB67" s="137"/>
      <c r="AC67" s="135"/>
      <c r="AD67" s="136"/>
      <c r="AE67" s="136"/>
      <c r="AF67" s="136"/>
      <c r="AG67" s="136"/>
      <c r="AH67" s="136"/>
      <c r="AI67" s="136"/>
      <c r="AJ67" s="137"/>
      <c r="AK67" s="135"/>
      <c r="AL67" s="136"/>
      <c r="AM67" s="136"/>
      <c r="AN67" s="136"/>
      <c r="AO67" s="136"/>
      <c r="AP67" s="136"/>
      <c r="AQ67" s="136"/>
      <c r="AR67" s="137"/>
      <c r="AS67" s="135"/>
      <c r="AT67" s="136"/>
      <c r="AU67" s="136"/>
      <c r="AV67" s="136"/>
      <c r="AW67" s="136"/>
      <c r="AX67" s="136"/>
      <c r="AY67" s="136"/>
      <c r="AZ67" s="137"/>
      <c r="BA67" s="42">
        <f t="shared" si="8"/>
        <v>0</v>
      </c>
      <c r="BB67" s="9">
        <f t="shared" si="3"/>
        <v>38</v>
      </c>
      <c r="BC67" s="10">
        <f t="shared" si="4"/>
        <v>70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38</v>
      </c>
      <c r="E68" s="61" t="s">
        <v>124</v>
      </c>
      <c r="F68" s="62" t="str">
        <f t="shared" si="12"/>
        <v>a</v>
      </c>
      <c r="G68" s="62" t="str">
        <f t="shared" si="12"/>
        <v>a</v>
      </c>
      <c r="H68" s="62" t="str">
        <f t="shared" si="12"/>
        <v>a</v>
      </c>
      <c r="I68" s="62" t="str">
        <f t="shared" si="12"/>
        <v>a</v>
      </c>
      <c r="J68" s="62" t="str">
        <f t="shared" si="12"/>
        <v>a</v>
      </c>
      <c r="K68" s="62" t="str">
        <f t="shared" si="12"/>
        <v>a</v>
      </c>
      <c r="L68" s="63" t="str">
        <f t="shared" si="12"/>
        <v>a</v>
      </c>
      <c r="M68" s="61">
        <v>1</v>
      </c>
      <c r="N68" s="62">
        <f t="shared" si="11"/>
        <v>1</v>
      </c>
      <c r="O68" s="62">
        <f t="shared" si="11"/>
        <v>1</v>
      </c>
      <c r="P68" s="62">
        <f t="shared" si="11"/>
        <v>1</v>
      </c>
      <c r="Q68" s="62">
        <f t="shared" si="11"/>
        <v>1</v>
      </c>
      <c r="R68" s="62">
        <f t="shared" si="11"/>
        <v>1</v>
      </c>
      <c r="S68" s="62">
        <f t="shared" si="11"/>
        <v>1</v>
      </c>
      <c r="T68" s="63">
        <f t="shared" si="11"/>
        <v>1</v>
      </c>
      <c r="U68" s="135"/>
      <c r="V68" s="136"/>
      <c r="W68" s="136"/>
      <c r="X68" s="136"/>
      <c r="Y68" s="136"/>
      <c r="Z68" s="136"/>
      <c r="AA68" s="136"/>
      <c r="AB68" s="137"/>
      <c r="AC68" s="135"/>
      <c r="AD68" s="136"/>
      <c r="AE68" s="136"/>
      <c r="AF68" s="136"/>
      <c r="AG68" s="136"/>
      <c r="AH68" s="136"/>
      <c r="AI68" s="136"/>
      <c r="AJ68" s="137"/>
      <c r="AK68" s="135"/>
      <c r="AL68" s="136"/>
      <c r="AM68" s="136"/>
      <c r="AN68" s="136"/>
      <c r="AO68" s="136"/>
      <c r="AP68" s="136"/>
      <c r="AQ68" s="136"/>
      <c r="AR68" s="137"/>
      <c r="AS68" s="135"/>
      <c r="AT68" s="136"/>
      <c r="AU68" s="136"/>
      <c r="AV68" s="136"/>
      <c r="AW68" s="136"/>
      <c r="AX68" s="136"/>
      <c r="AY68" s="136"/>
      <c r="AZ68" s="137"/>
      <c r="BA68" s="37">
        <f t="shared" si="8"/>
        <v>8</v>
      </c>
      <c r="BB68" s="9">
        <f t="shared" si="3"/>
        <v>46</v>
      </c>
      <c r="BC68" s="10">
        <f t="shared" si="4"/>
        <v>85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36</v>
      </c>
      <c r="E69" s="61">
        <v>1</v>
      </c>
      <c r="F69" s="62">
        <f t="shared" si="12"/>
        <v>1</v>
      </c>
      <c r="G69" s="62">
        <f t="shared" si="12"/>
        <v>1</v>
      </c>
      <c r="H69" s="62">
        <f t="shared" si="12"/>
        <v>1</v>
      </c>
      <c r="I69" s="62">
        <f t="shared" si="12"/>
        <v>1</v>
      </c>
      <c r="J69" s="62">
        <f t="shared" si="12"/>
        <v>1</v>
      </c>
      <c r="K69" s="62">
        <f t="shared" si="12"/>
        <v>1</v>
      </c>
      <c r="L69" s="63">
        <f t="shared" si="12"/>
        <v>1</v>
      </c>
      <c r="M69" s="61">
        <v>1</v>
      </c>
      <c r="N69" s="62">
        <f t="shared" si="11"/>
        <v>1</v>
      </c>
      <c r="O69" s="62">
        <f t="shared" si="11"/>
        <v>1</v>
      </c>
      <c r="P69" s="62">
        <f t="shared" si="11"/>
        <v>1</v>
      </c>
      <c r="Q69" s="62">
        <f t="shared" si="11"/>
        <v>1</v>
      </c>
      <c r="R69" s="62">
        <f t="shared" si="11"/>
        <v>1</v>
      </c>
      <c r="S69" s="62">
        <f t="shared" si="11"/>
        <v>1</v>
      </c>
      <c r="T69" s="63">
        <f t="shared" si="11"/>
        <v>1</v>
      </c>
      <c r="U69" s="135"/>
      <c r="V69" s="136"/>
      <c r="W69" s="136"/>
      <c r="X69" s="136"/>
      <c r="Y69" s="136"/>
      <c r="Z69" s="136"/>
      <c r="AA69" s="136"/>
      <c r="AB69" s="137"/>
      <c r="AC69" s="135"/>
      <c r="AD69" s="136"/>
      <c r="AE69" s="136"/>
      <c r="AF69" s="136"/>
      <c r="AG69" s="136"/>
      <c r="AH69" s="136"/>
      <c r="AI69" s="136"/>
      <c r="AJ69" s="137"/>
      <c r="AK69" s="135"/>
      <c r="AL69" s="136"/>
      <c r="AM69" s="136"/>
      <c r="AN69" s="136"/>
      <c r="AO69" s="136"/>
      <c r="AP69" s="136"/>
      <c r="AQ69" s="136"/>
      <c r="AR69" s="137"/>
      <c r="AS69" s="135"/>
      <c r="AT69" s="136"/>
      <c r="AU69" s="136"/>
      <c r="AV69" s="136"/>
      <c r="AW69" s="136"/>
      <c r="AX69" s="136"/>
      <c r="AY69" s="136"/>
      <c r="AZ69" s="137"/>
      <c r="BA69" s="37">
        <f t="shared" si="8"/>
        <v>16</v>
      </c>
      <c r="BB69" s="9">
        <f t="shared" si="3"/>
        <v>52</v>
      </c>
      <c r="BC69" s="10">
        <f t="shared" si="4"/>
        <v>96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22</v>
      </c>
      <c r="E70" s="61">
        <v>1</v>
      </c>
      <c r="F70" s="62">
        <f t="shared" si="12"/>
        <v>1</v>
      </c>
      <c r="G70" s="62">
        <f t="shared" si="12"/>
        <v>1</v>
      </c>
      <c r="H70" s="62">
        <f t="shared" si="12"/>
        <v>1</v>
      </c>
      <c r="I70" s="62">
        <f t="shared" si="12"/>
        <v>1</v>
      </c>
      <c r="J70" s="62">
        <f t="shared" si="12"/>
        <v>1</v>
      </c>
      <c r="K70" s="62">
        <f t="shared" si="12"/>
        <v>1</v>
      </c>
      <c r="L70" s="63">
        <f t="shared" si="12"/>
        <v>1</v>
      </c>
      <c r="M70" s="61" t="s">
        <v>124</v>
      </c>
      <c r="N70" s="62" t="str">
        <f t="shared" si="11"/>
        <v>a</v>
      </c>
      <c r="O70" s="62" t="str">
        <f t="shared" si="11"/>
        <v>a</v>
      </c>
      <c r="P70" s="62" t="str">
        <f t="shared" si="11"/>
        <v>a</v>
      </c>
      <c r="Q70" s="62" t="str">
        <f t="shared" si="11"/>
        <v>a</v>
      </c>
      <c r="R70" s="62" t="str">
        <f t="shared" si="11"/>
        <v>a</v>
      </c>
      <c r="S70" s="62" t="str">
        <f t="shared" si="11"/>
        <v>a</v>
      </c>
      <c r="T70" s="63" t="str">
        <f t="shared" si="11"/>
        <v>a</v>
      </c>
      <c r="U70" s="135"/>
      <c r="V70" s="136"/>
      <c r="W70" s="136"/>
      <c r="X70" s="136"/>
      <c r="Y70" s="136"/>
      <c r="Z70" s="136"/>
      <c r="AA70" s="136"/>
      <c r="AB70" s="137"/>
      <c r="AC70" s="135"/>
      <c r="AD70" s="136"/>
      <c r="AE70" s="136"/>
      <c r="AF70" s="136"/>
      <c r="AG70" s="136"/>
      <c r="AH70" s="136"/>
      <c r="AI70" s="136"/>
      <c r="AJ70" s="137"/>
      <c r="AK70" s="135"/>
      <c r="AL70" s="136"/>
      <c r="AM70" s="136"/>
      <c r="AN70" s="136"/>
      <c r="AO70" s="136"/>
      <c r="AP70" s="136"/>
      <c r="AQ70" s="136"/>
      <c r="AR70" s="137"/>
      <c r="AS70" s="135"/>
      <c r="AT70" s="136"/>
      <c r="AU70" s="136"/>
      <c r="AV70" s="136"/>
      <c r="AW70" s="136"/>
      <c r="AX70" s="136"/>
      <c r="AY70" s="136"/>
      <c r="AZ70" s="137"/>
      <c r="BA70" s="37">
        <f t="shared" si="8"/>
        <v>8</v>
      </c>
      <c r="BB70" s="9">
        <f t="shared" si="3"/>
        <v>30</v>
      </c>
      <c r="BC70" s="10">
        <f t="shared" si="4"/>
        <v>56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38</v>
      </c>
      <c r="E71" s="61" t="s">
        <v>124</v>
      </c>
      <c r="F71" s="62" t="str">
        <f t="shared" si="12"/>
        <v>a</v>
      </c>
      <c r="G71" s="62" t="str">
        <f t="shared" si="12"/>
        <v>a</v>
      </c>
      <c r="H71" s="62" t="str">
        <f t="shared" si="12"/>
        <v>a</v>
      </c>
      <c r="I71" s="62" t="str">
        <f t="shared" si="12"/>
        <v>a</v>
      </c>
      <c r="J71" s="62" t="str">
        <f t="shared" si="12"/>
        <v>a</v>
      </c>
      <c r="K71" s="62" t="str">
        <f t="shared" si="12"/>
        <v>a</v>
      </c>
      <c r="L71" s="63" t="str">
        <f t="shared" si="12"/>
        <v>a</v>
      </c>
      <c r="M71" s="61">
        <v>1</v>
      </c>
      <c r="N71" s="62">
        <f t="shared" si="11"/>
        <v>1</v>
      </c>
      <c r="O71" s="62">
        <f t="shared" si="11"/>
        <v>1</v>
      </c>
      <c r="P71" s="62">
        <f t="shared" si="11"/>
        <v>1</v>
      </c>
      <c r="Q71" s="62">
        <f t="shared" si="11"/>
        <v>1</v>
      </c>
      <c r="R71" s="62">
        <f t="shared" si="11"/>
        <v>1</v>
      </c>
      <c r="S71" s="62">
        <f t="shared" si="11"/>
        <v>1</v>
      </c>
      <c r="T71" s="63">
        <f t="shared" si="11"/>
        <v>1</v>
      </c>
      <c r="U71" s="135"/>
      <c r="V71" s="136"/>
      <c r="W71" s="136"/>
      <c r="X71" s="136"/>
      <c r="Y71" s="136"/>
      <c r="Z71" s="136"/>
      <c r="AA71" s="136"/>
      <c r="AB71" s="137"/>
      <c r="AC71" s="135"/>
      <c r="AD71" s="136"/>
      <c r="AE71" s="136"/>
      <c r="AF71" s="136"/>
      <c r="AG71" s="136"/>
      <c r="AH71" s="136"/>
      <c r="AI71" s="136"/>
      <c r="AJ71" s="137"/>
      <c r="AK71" s="135"/>
      <c r="AL71" s="136"/>
      <c r="AM71" s="136"/>
      <c r="AN71" s="136"/>
      <c r="AO71" s="136"/>
      <c r="AP71" s="136"/>
      <c r="AQ71" s="136"/>
      <c r="AR71" s="137"/>
      <c r="AS71" s="135"/>
      <c r="AT71" s="136"/>
      <c r="AU71" s="136"/>
      <c r="AV71" s="136"/>
      <c r="AW71" s="136"/>
      <c r="AX71" s="136"/>
      <c r="AY71" s="136"/>
      <c r="AZ71" s="137"/>
      <c r="BA71" s="42">
        <f t="shared" si="8"/>
        <v>8</v>
      </c>
      <c r="BB71" s="9">
        <f t="shared" si="3"/>
        <v>46</v>
      </c>
      <c r="BC71" s="10">
        <f t="shared" si="4"/>
        <v>85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32</v>
      </c>
      <c r="E72" s="61">
        <v>1</v>
      </c>
      <c r="F72" s="62">
        <f t="shared" si="12"/>
        <v>1</v>
      </c>
      <c r="G72" s="62">
        <f t="shared" si="12"/>
        <v>1</v>
      </c>
      <c r="H72" s="62">
        <f t="shared" si="12"/>
        <v>1</v>
      </c>
      <c r="I72" s="62">
        <f t="shared" si="12"/>
        <v>1</v>
      </c>
      <c r="J72" s="62">
        <f t="shared" si="12"/>
        <v>1</v>
      </c>
      <c r="K72" s="62">
        <f t="shared" si="12"/>
        <v>1</v>
      </c>
      <c r="L72" s="63">
        <f t="shared" si="12"/>
        <v>1</v>
      </c>
      <c r="M72" s="61" t="s">
        <v>124</v>
      </c>
      <c r="N72" s="62" t="str">
        <f t="shared" si="11"/>
        <v>a</v>
      </c>
      <c r="O72" s="62" t="str">
        <f t="shared" si="11"/>
        <v>a</v>
      </c>
      <c r="P72" s="62" t="str">
        <f t="shared" si="11"/>
        <v>a</v>
      </c>
      <c r="Q72" s="62" t="str">
        <f t="shared" si="11"/>
        <v>a</v>
      </c>
      <c r="R72" s="62" t="str">
        <f t="shared" si="11"/>
        <v>a</v>
      </c>
      <c r="S72" s="62" t="str">
        <f t="shared" si="11"/>
        <v>a</v>
      </c>
      <c r="T72" s="63" t="str">
        <f t="shared" si="11"/>
        <v>a</v>
      </c>
      <c r="U72" s="135"/>
      <c r="V72" s="136"/>
      <c r="W72" s="136"/>
      <c r="X72" s="136"/>
      <c r="Y72" s="136"/>
      <c r="Z72" s="136"/>
      <c r="AA72" s="136"/>
      <c r="AB72" s="137"/>
      <c r="AC72" s="135"/>
      <c r="AD72" s="136"/>
      <c r="AE72" s="136"/>
      <c r="AF72" s="136"/>
      <c r="AG72" s="136"/>
      <c r="AH72" s="136"/>
      <c r="AI72" s="136"/>
      <c r="AJ72" s="137"/>
      <c r="AK72" s="135"/>
      <c r="AL72" s="136"/>
      <c r="AM72" s="136"/>
      <c r="AN72" s="136"/>
      <c r="AO72" s="136"/>
      <c r="AP72" s="136"/>
      <c r="AQ72" s="136"/>
      <c r="AR72" s="137"/>
      <c r="AS72" s="135"/>
      <c r="AT72" s="136"/>
      <c r="AU72" s="136"/>
      <c r="AV72" s="136"/>
      <c r="AW72" s="136"/>
      <c r="AX72" s="136"/>
      <c r="AY72" s="136"/>
      <c r="AZ72" s="137"/>
      <c r="BA72" s="37">
        <f t="shared" si="8"/>
        <v>8</v>
      </c>
      <c r="BB72" s="9">
        <f t="shared" si="3"/>
        <v>40</v>
      </c>
      <c r="BC72" s="10">
        <f t="shared" si="4"/>
        <v>74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38</v>
      </c>
      <c r="E73" s="61">
        <v>1</v>
      </c>
      <c r="F73" s="62">
        <f t="shared" si="12"/>
        <v>1</v>
      </c>
      <c r="G73" s="62">
        <f t="shared" si="12"/>
        <v>1</v>
      </c>
      <c r="H73" s="62">
        <f t="shared" si="12"/>
        <v>1</v>
      </c>
      <c r="I73" s="62">
        <f t="shared" si="12"/>
        <v>1</v>
      </c>
      <c r="J73" s="62">
        <f t="shared" si="12"/>
        <v>1</v>
      </c>
      <c r="K73" s="62">
        <f t="shared" si="12"/>
        <v>1</v>
      </c>
      <c r="L73" s="63">
        <f t="shared" si="12"/>
        <v>1</v>
      </c>
      <c r="M73" s="61">
        <v>1</v>
      </c>
      <c r="N73" s="62">
        <f t="shared" ref="N73:T73" si="13">M73</f>
        <v>1</v>
      </c>
      <c r="O73" s="62">
        <f t="shared" si="13"/>
        <v>1</v>
      </c>
      <c r="P73" s="62">
        <f t="shared" si="13"/>
        <v>1</v>
      </c>
      <c r="Q73" s="62">
        <f t="shared" si="13"/>
        <v>1</v>
      </c>
      <c r="R73" s="62">
        <f t="shared" si="13"/>
        <v>1</v>
      </c>
      <c r="S73" s="62">
        <f t="shared" si="13"/>
        <v>1</v>
      </c>
      <c r="T73" s="63">
        <f t="shared" si="13"/>
        <v>1</v>
      </c>
      <c r="U73" s="138"/>
      <c r="V73" s="139"/>
      <c r="W73" s="139"/>
      <c r="X73" s="139"/>
      <c r="Y73" s="139"/>
      <c r="Z73" s="139"/>
      <c r="AA73" s="139"/>
      <c r="AB73" s="140"/>
      <c r="AC73" s="138"/>
      <c r="AD73" s="139"/>
      <c r="AE73" s="139"/>
      <c r="AF73" s="139"/>
      <c r="AG73" s="139"/>
      <c r="AH73" s="139"/>
      <c r="AI73" s="139"/>
      <c r="AJ73" s="140"/>
      <c r="AK73" s="138"/>
      <c r="AL73" s="139"/>
      <c r="AM73" s="139"/>
      <c r="AN73" s="139"/>
      <c r="AO73" s="139"/>
      <c r="AP73" s="139"/>
      <c r="AQ73" s="139"/>
      <c r="AR73" s="140"/>
      <c r="AS73" s="138"/>
      <c r="AT73" s="139"/>
      <c r="AU73" s="139"/>
      <c r="AV73" s="139"/>
      <c r="AW73" s="139"/>
      <c r="AX73" s="139"/>
      <c r="AY73" s="139"/>
      <c r="AZ73" s="140"/>
      <c r="BA73" s="37">
        <f t="shared" si="8"/>
        <v>16</v>
      </c>
      <c r="BB73" s="9">
        <f t="shared" si="3"/>
        <v>54</v>
      </c>
      <c r="BC73" s="10">
        <f t="shared" si="4"/>
        <v>100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 t="shared" ref="E74:T74" si="14">COUNTIF(E10:E73,"a")</f>
        <v>14</v>
      </c>
      <c r="F74" s="50">
        <f t="shared" si="14"/>
        <v>14</v>
      </c>
      <c r="G74" s="50">
        <f t="shared" si="14"/>
        <v>14</v>
      </c>
      <c r="H74" s="50">
        <f t="shared" si="14"/>
        <v>14</v>
      </c>
      <c r="I74" s="50">
        <f t="shared" si="14"/>
        <v>14</v>
      </c>
      <c r="J74" s="50">
        <f t="shared" si="14"/>
        <v>14</v>
      </c>
      <c r="K74" s="50">
        <f t="shared" si="14"/>
        <v>14</v>
      </c>
      <c r="L74" s="50">
        <f t="shared" si="14"/>
        <v>14</v>
      </c>
      <c r="M74" s="50">
        <f t="shared" si="14"/>
        <v>27</v>
      </c>
      <c r="N74" s="50">
        <f t="shared" si="14"/>
        <v>27</v>
      </c>
      <c r="O74" s="50">
        <f t="shared" si="14"/>
        <v>27</v>
      </c>
      <c r="P74" s="50">
        <f t="shared" si="14"/>
        <v>27</v>
      </c>
      <c r="Q74" s="50">
        <f t="shared" si="14"/>
        <v>27</v>
      </c>
      <c r="R74" s="50">
        <f t="shared" si="14"/>
        <v>27</v>
      </c>
      <c r="S74" s="50">
        <f t="shared" si="14"/>
        <v>27</v>
      </c>
      <c r="T74" s="50">
        <f t="shared" si="14"/>
        <v>27</v>
      </c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27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Q75" si="15">F9</f>
        <v>PA</v>
      </c>
      <c r="G75" s="102" t="str">
        <f t="shared" si="15"/>
        <v>BB</v>
      </c>
      <c r="H75" s="102" t="str">
        <f t="shared" si="15"/>
        <v>VP</v>
      </c>
      <c r="I75" s="228" t="s">
        <v>98</v>
      </c>
      <c r="J75" s="229"/>
      <c r="K75" s="229"/>
      <c r="L75" s="230"/>
      <c r="M75" s="102" t="str">
        <f t="shared" si="15"/>
        <v>SJ</v>
      </c>
      <c r="N75" s="105" t="str">
        <f t="shared" si="15"/>
        <v>NPK</v>
      </c>
      <c r="O75" s="102" t="str">
        <f t="shared" si="15"/>
        <v>SG</v>
      </c>
      <c r="P75" s="102" t="str">
        <f t="shared" si="15"/>
        <v>PA</v>
      </c>
      <c r="Q75" s="102" t="str">
        <f t="shared" si="15"/>
        <v>NS</v>
      </c>
      <c r="R75" s="195" t="s">
        <v>107</v>
      </c>
      <c r="S75" s="196"/>
      <c r="T75" s="197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100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8">
    <mergeCell ref="AS10:AZ42"/>
    <mergeCell ref="U43:AB73"/>
    <mergeCell ref="AC43:AJ73"/>
    <mergeCell ref="AK43:AR73"/>
    <mergeCell ref="AS43:AZ73"/>
    <mergeCell ref="A80:H80"/>
    <mergeCell ref="AR80:BC80"/>
    <mergeCell ref="D7:D8"/>
    <mergeCell ref="BB8:BB9"/>
    <mergeCell ref="BA8:BA9"/>
    <mergeCell ref="BA5:BA7"/>
    <mergeCell ref="BB5:BB7"/>
    <mergeCell ref="U10:AB42"/>
    <mergeCell ref="AC10:AJ42"/>
    <mergeCell ref="R9:T9"/>
    <mergeCell ref="A74:D74"/>
    <mergeCell ref="A76:D76"/>
    <mergeCell ref="A79:I79"/>
    <mergeCell ref="AK10:AR42"/>
    <mergeCell ref="I75:L75"/>
    <mergeCell ref="R75:T75"/>
    <mergeCell ref="B7:B9"/>
    <mergeCell ref="C7:C9"/>
    <mergeCell ref="I8:L8"/>
    <mergeCell ref="R8:T8"/>
    <mergeCell ref="I9:L9"/>
    <mergeCell ref="AS5:AZ5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A1:BC1"/>
    <mergeCell ref="A2:BC2"/>
    <mergeCell ref="A3:BC3"/>
    <mergeCell ref="A4:L4"/>
    <mergeCell ref="U4:AC4"/>
    <mergeCell ref="AL4:BC4"/>
  </mergeCells>
  <conditionalFormatting sqref="BC1:BC73">
    <cfRule type="cellIs" dxfId="47" priority="1" operator="lessThan">
      <formula>75</formula>
    </cfRule>
  </conditionalFormatting>
  <conditionalFormatting sqref="BC10:BC73">
    <cfRule type="cellIs" dxfId="46" priority="3" operator="lessThan">
      <formula>75</formula>
    </cfRule>
  </conditionalFormatting>
  <conditionalFormatting sqref="BC80">
    <cfRule type="cellIs" dxfId="45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r:id="rId1"/>
  <rowBreaks count="1" manualBreakCount="1">
    <brk id="42" max="5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A60A-4C56-4427-9B5B-E5C9F4A5DB05}">
  <dimension ref="A1:BC80"/>
  <sheetViews>
    <sheetView zoomScale="70" zoomScaleNormal="70" zoomScaleSheetLayoutView="10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139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231" t="s">
        <v>148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140</v>
      </c>
      <c r="F5" s="177"/>
      <c r="G5" s="177"/>
      <c r="H5" s="177"/>
      <c r="I5" s="177"/>
      <c r="J5" s="177"/>
      <c r="K5" s="177"/>
      <c r="L5" s="177"/>
      <c r="M5" s="177" t="s">
        <v>141</v>
      </c>
      <c r="N5" s="177"/>
      <c r="O5" s="177"/>
      <c r="P5" s="177"/>
      <c r="Q5" s="177"/>
      <c r="R5" s="177"/>
      <c r="S5" s="177"/>
      <c r="T5" s="177"/>
      <c r="U5" s="177" t="s">
        <v>142</v>
      </c>
      <c r="V5" s="177"/>
      <c r="W5" s="177"/>
      <c r="X5" s="177"/>
      <c r="Y5" s="177"/>
      <c r="Z5" s="177"/>
      <c r="AA5" s="177"/>
      <c r="AB5" s="177"/>
      <c r="AC5" s="177" t="s">
        <v>143</v>
      </c>
      <c r="AD5" s="177"/>
      <c r="AE5" s="177"/>
      <c r="AF5" s="177"/>
      <c r="AG5" s="177"/>
      <c r="AH5" s="177"/>
      <c r="AI5" s="177"/>
      <c r="AJ5" s="177"/>
      <c r="AK5" s="177" t="s">
        <v>144</v>
      </c>
      <c r="AL5" s="177"/>
      <c r="AM5" s="177"/>
      <c r="AN5" s="177"/>
      <c r="AO5" s="177"/>
      <c r="AP5" s="177"/>
      <c r="AQ5" s="177"/>
      <c r="AR5" s="177"/>
      <c r="AS5" s="177" t="s">
        <v>145</v>
      </c>
      <c r="AT5" s="177"/>
      <c r="AU5" s="177"/>
      <c r="AV5" s="177"/>
      <c r="AW5" s="177"/>
      <c r="AX5" s="177"/>
      <c r="AY5" s="177"/>
      <c r="AZ5" s="177"/>
      <c r="BA5" s="157">
        <v>48</v>
      </c>
      <c r="BB5" s="209">
        <f>D7+BA5</f>
        <v>102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86"/>
      <c r="BA6" s="158"/>
      <c r="BB6" s="211"/>
      <c r="BC6" s="182"/>
    </row>
    <row r="7" spans="1:55" ht="16.5" customHeight="1" thickBot="1" x14ac:dyDescent="0.4">
      <c r="A7" s="164" t="s">
        <v>12</v>
      </c>
      <c r="B7" s="167" t="s">
        <v>13</v>
      </c>
      <c r="C7" s="213" t="s">
        <v>14</v>
      </c>
      <c r="D7" s="232">
        <v>54</v>
      </c>
      <c r="E7" s="106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45">
        <v>8</v>
      </c>
      <c r="BA7" s="233" t="s">
        <v>129</v>
      </c>
      <c r="BB7" s="159" t="s">
        <v>147</v>
      </c>
      <c r="BC7" s="182"/>
    </row>
    <row r="8" spans="1:55" ht="30" customHeight="1" thickBot="1" x14ac:dyDescent="0.4">
      <c r="A8" s="165"/>
      <c r="B8" s="168"/>
      <c r="C8" s="213"/>
      <c r="D8" s="232"/>
      <c r="E8" s="95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58" t="s">
        <v>91</v>
      </c>
      <c r="N8" s="59" t="s">
        <v>146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92</v>
      </c>
      <c r="AB8" s="60" t="s">
        <v>94</v>
      </c>
      <c r="AC8" s="58" t="s">
        <v>92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95" t="s">
        <v>106</v>
      </c>
      <c r="AL8" s="196"/>
      <c r="AM8" s="196"/>
      <c r="AN8" s="197"/>
      <c r="AO8" s="59" t="s">
        <v>96</v>
      </c>
      <c r="AP8" s="59" t="s">
        <v>105</v>
      </c>
      <c r="AQ8" s="59" t="s">
        <v>101</v>
      </c>
      <c r="AR8" s="59" t="s">
        <v>94</v>
      </c>
      <c r="AS8" s="192" t="s">
        <v>103</v>
      </c>
      <c r="AT8" s="193"/>
      <c r="AU8" s="193"/>
      <c r="AV8" s="194"/>
      <c r="AW8" s="59" t="s">
        <v>92</v>
      </c>
      <c r="AX8" s="59" t="s">
        <v>91</v>
      </c>
      <c r="AY8" s="59" t="s">
        <v>101</v>
      </c>
      <c r="AZ8" s="60" t="s">
        <v>101</v>
      </c>
      <c r="BA8" s="234"/>
      <c r="BB8" s="159"/>
      <c r="BC8" s="182"/>
    </row>
    <row r="9" spans="1:55" ht="39" customHeight="1" thickBot="1" x14ac:dyDescent="0.4">
      <c r="A9" s="166"/>
      <c r="B9" s="169"/>
      <c r="C9" s="213"/>
      <c r="D9" s="115" t="s">
        <v>128</v>
      </c>
      <c r="E9" s="77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83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93</v>
      </c>
      <c r="AB9" s="79" t="s">
        <v>95</v>
      </c>
      <c r="AC9" s="57" t="s">
        <v>93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198" t="s">
        <v>83</v>
      </c>
      <c r="AL9" s="199"/>
      <c r="AM9" s="199"/>
      <c r="AN9" s="200"/>
      <c r="AO9" s="56" t="s">
        <v>85</v>
      </c>
      <c r="AP9" s="56" t="s">
        <v>100</v>
      </c>
      <c r="AQ9" s="56" t="s">
        <v>92</v>
      </c>
      <c r="AR9" s="56" t="s">
        <v>95</v>
      </c>
      <c r="AS9" s="129" t="s">
        <v>108</v>
      </c>
      <c r="AT9" s="130"/>
      <c r="AU9" s="130"/>
      <c r="AV9" s="131"/>
      <c r="AW9" s="56" t="s">
        <v>93</v>
      </c>
      <c r="AX9" s="56" t="s">
        <v>83</v>
      </c>
      <c r="AY9" s="56" t="s">
        <v>92</v>
      </c>
      <c r="AZ9" s="79" t="s">
        <v>92</v>
      </c>
      <c r="BA9" s="235"/>
      <c r="BB9" s="158"/>
      <c r="BC9" s="182"/>
    </row>
    <row r="10" spans="1:55" ht="15" customHeight="1" x14ac:dyDescent="0.35">
      <c r="A10" s="109">
        <v>820323205061</v>
      </c>
      <c r="B10" s="110" t="s">
        <v>20</v>
      </c>
      <c r="C10" s="6"/>
      <c r="D10" s="7">
        <v>38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86</v>
      </c>
      <c r="BC10" s="10">
        <f>ROUND((BB10/BB$5)*100,0)</f>
        <v>84</v>
      </c>
    </row>
    <row r="11" spans="1:55" ht="15" customHeight="1" x14ac:dyDescent="0.35">
      <c r="A11" s="111">
        <v>820323205062</v>
      </c>
      <c r="B11" s="112" t="s">
        <v>21</v>
      </c>
      <c r="C11" s="11"/>
      <c r="D11" s="7">
        <v>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56</v>
      </c>
      <c r="BC11" s="10">
        <f t="shared" ref="BC11:BC73" si="8">ROUND((BB11/BB$5)*100,0)</f>
        <v>55</v>
      </c>
    </row>
    <row r="12" spans="1:55" ht="15" customHeight="1" x14ac:dyDescent="0.35">
      <c r="A12" s="111">
        <v>820323205063</v>
      </c>
      <c r="B12" s="112" t="s">
        <v>22</v>
      </c>
      <c r="C12" s="11"/>
      <c r="D12" s="7">
        <v>54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102</v>
      </c>
      <c r="BC12" s="10">
        <f t="shared" si="8"/>
        <v>100</v>
      </c>
    </row>
    <row r="13" spans="1:55" ht="15" customHeight="1" x14ac:dyDescent="0.35">
      <c r="A13" s="111">
        <v>820323205064</v>
      </c>
      <c r="B13" s="112" t="s">
        <v>23</v>
      </c>
      <c r="C13" s="11"/>
      <c r="D13" s="7">
        <v>30</v>
      </c>
      <c r="E13" s="61">
        <v>1</v>
      </c>
      <c r="F13" s="62">
        <f t="shared" si="9"/>
        <v>1</v>
      </c>
      <c r="G13" s="62">
        <f t="shared" si="9"/>
        <v>1</v>
      </c>
      <c r="H13" s="62">
        <f t="shared" si="9"/>
        <v>1</v>
      </c>
      <c r="I13" s="62">
        <f t="shared" si="9"/>
        <v>1</v>
      </c>
      <c r="J13" s="62">
        <f t="shared" si="9"/>
        <v>1</v>
      </c>
      <c r="K13" s="62">
        <f t="shared" si="9"/>
        <v>1</v>
      </c>
      <c r="L13" s="63">
        <f t="shared" si="9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61">
        <v>1</v>
      </c>
      <c r="AT13" s="62">
        <f t="shared" si="5"/>
        <v>1</v>
      </c>
      <c r="AU13" s="62">
        <f t="shared" si="5"/>
        <v>1</v>
      </c>
      <c r="AV13" s="62">
        <f t="shared" si="5"/>
        <v>1</v>
      </c>
      <c r="AW13" s="62">
        <f t="shared" si="5"/>
        <v>1</v>
      </c>
      <c r="AX13" s="62">
        <f t="shared" si="5"/>
        <v>1</v>
      </c>
      <c r="AY13" s="62">
        <f t="shared" si="5"/>
        <v>1</v>
      </c>
      <c r="AZ13" s="63">
        <f t="shared" si="5"/>
        <v>1</v>
      </c>
      <c r="BA13" s="37">
        <f t="shared" si="6"/>
        <v>48</v>
      </c>
      <c r="BB13" s="9">
        <f t="shared" si="7"/>
        <v>78</v>
      </c>
      <c r="BC13" s="10">
        <f t="shared" si="8"/>
        <v>76</v>
      </c>
    </row>
    <row r="14" spans="1:55" ht="15" customHeight="1" x14ac:dyDescent="0.35">
      <c r="A14" s="111">
        <v>820323205065</v>
      </c>
      <c r="B14" s="112" t="s">
        <v>24</v>
      </c>
      <c r="C14" s="11"/>
      <c r="D14" s="7">
        <v>30</v>
      </c>
      <c r="E14" s="61" t="s">
        <v>124</v>
      </c>
      <c r="F14" s="62" t="str">
        <f t="shared" si="9"/>
        <v>a</v>
      </c>
      <c r="G14" s="62" t="str">
        <f t="shared" si="9"/>
        <v>a</v>
      </c>
      <c r="H14" s="62" t="str">
        <f t="shared" si="9"/>
        <v>a</v>
      </c>
      <c r="I14" s="62" t="str">
        <f t="shared" si="9"/>
        <v>a</v>
      </c>
      <c r="J14" s="62" t="str">
        <f t="shared" si="9"/>
        <v>a</v>
      </c>
      <c r="K14" s="62" t="str">
        <f t="shared" si="9"/>
        <v>a</v>
      </c>
      <c r="L14" s="63" t="str">
        <f t="shared" si="9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40</v>
      </c>
      <c r="BB14" s="9">
        <f t="shared" si="7"/>
        <v>70</v>
      </c>
      <c r="BC14" s="10">
        <f t="shared" si="8"/>
        <v>69</v>
      </c>
    </row>
    <row r="15" spans="1:55" ht="15" customHeight="1" x14ac:dyDescent="0.35">
      <c r="A15" s="111">
        <v>820323205066</v>
      </c>
      <c r="B15" s="112" t="s">
        <v>25</v>
      </c>
      <c r="C15" s="11"/>
      <c r="D15" s="7">
        <v>32</v>
      </c>
      <c r="E15" s="61" t="s">
        <v>124</v>
      </c>
      <c r="F15" s="62" t="str">
        <f t="shared" si="9"/>
        <v>a</v>
      </c>
      <c r="G15" s="62" t="str">
        <f t="shared" si="9"/>
        <v>a</v>
      </c>
      <c r="H15" s="62" t="str">
        <f t="shared" si="9"/>
        <v>a</v>
      </c>
      <c r="I15" s="62" t="str">
        <f t="shared" si="9"/>
        <v>a</v>
      </c>
      <c r="J15" s="62" t="str">
        <f t="shared" si="9"/>
        <v>a</v>
      </c>
      <c r="K15" s="62" t="str">
        <f t="shared" si="9"/>
        <v>a</v>
      </c>
      <c r="L15" s="63" t="str">
        <f t="shared" si="9"/>
        <v>a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 t="s">
        <v>124</v>
      </c>
      <c r="AT15" s="62" t="str">
        <f t="shared" si="5"/>
        <v>a</v>
      </c>
      <c r="AU15" s="62" t="str">
        <f t="shared" si="5"/>
        <v>a</v>
      </c>
      <c r="AV15" s="62" t="str">
        <f t="shared" si="5"/>
        <v>a</v>
      </c>
      <c r="AW15" s="62" t="str">
        <f t="shared" si="5"/>
        <v>a</v>
      </c>
      <c r="AX15" s="62" t="str">
        <f t="shared" si="5"/>
        <v>a</v>
      </c>
      <c r="AY15" s="62" t="str">
        <f t="shared" si="5"/>
        <v>a</v>
      </c>
      <c r="AZ15" s="63" t="str">
        <f t="shared" si="5"/>
        <v>a</v>
      </c>
      <c r="BA15" s="37">
        <f t="shared" si="6"/>
        <v>24</v>
      </c>
      <c r="BB15" s="9">
        <f t="shared" si="7"/>
        <v>56</v>
      </c>
      <c r="BC15" s="10">
        <f t="shared" si="8"/>
        <v>55</v>
      </c>
    </row>
    <row r="16" spans="1:55" ht="15" customHeight="1" x14ac:dyDescent="0.35">
      <c r="A16" s="111">
        <v>820323205068</v>
      </c>
      <c r="B16" s="112" t="s">
        <v>26</v>
      </c>
      <c r="C16" s="11"/>
      <c r="D16" s="7">
        <v>32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 t="s">
        <v>124</v>
      </c>
      <c r="J16" s="62" t="str">
        <f t="shared" si="9"/>
        <v>a</v>
      </c>
      <c r="K16" s="62" t="str">
        <f t="shared" si="9"/>
        <v>a</v>
      </c>
      <c r="L16" s="63" t="str">
        <f t="shared" si="9"/>
        <v>a</v>
      </c>
      <c r="M16" s="61">
        <v>1</v>
      </c>
      <c r="N16" s="62">
        <f t="shared" si="1"/>
        <v>1</v>
      </c>
      <c r="O16" s="62" t="s">
        <v>124</v>
      </c>
      <c r="P16" s="62"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 t="s">
        <v>124</v>
      </c>
      <c r="AL16" s="62" t="str">
        <f t="shared" si="4"/>
        <v>a</v>
      </c>
      <c r="AM16" s="62" t="str">
        <f t="shared" si="4"/>
        <v>a</v>
      </c>
      <c r="AN16" s="62" t="str">
        <f t="shared" si="4"/>
        <v>a</v>
      </c>
      <c r="AO16" s="62" t="str">
        <f t="shared" si="4"/>
        <v>a</v>
      </c>
      <c r="AP16" s="62" t="str">
        <f t="shared" si="4"/>
        <v>a</v>
      </c>
      <c r="AQ16" s="62" t="str">
        <f t="shared" si="4"/>
        <v>a</v>
      </c>
      <c r="AR16" s="63" t="str">
        <f t="shared" si="4"/>
        <v>a</v>
      </c>
      <c r="AS16" s="61" t="s">
        <v>124</v>
      </c>
      <c r="AT16" s="62" t="str">
        <f t="shared" si="5"/>
        <v>a</v>
      </c>
      <c r="AU16" s="62" t="str">
        <f t="shared" si="5"/>
        <v>a</v>
      </c>
      <c r="AV16" s="62" t="str">
        <f t="shared" si="5"/>
        <v>a</v>
      </c>
      <c r="AW16" s="62" t="str">
        <f t="shared" si="5"/>
        <v>a</v>
      </c>
      <c r="AX16" s="62" t="str">
        <f t="shared" si="5"/>
        <v>a</v>
      </c>
      <c r="AY16" s="62" t="str">
        <f t="shared" si="5"/>
        <v>a</v>
      </c>
      <c r="AZ16" s="63" t="str">
        <f t="shared" si="5"/>
        <v>a</v>
      </c>
      <c r="BA16" s="37">
        <f t="shared" si="6"/>
        <v>19</v>
      </c>
      <c r="BB16" s="9">
        <f t="shared" si="7"/>
        <v>51</v>
      </c>
      <c r="BC16" s="10">
        <f t="shared" si="8"/>
        <v>50</v>
      </c>
    </row>
    <row r="17" spans="1:55" ht="15" customHeight="1" x14ac:dyDescent="0.35">
      <c r="A17" s="111">
        <v>820323205069</v>
      </c>
      <c r="B17" s="112" t="s">
        <v>27</v>
      </c>
      <c r="C17" s="11"/>
      <c r="D17" s="7">
        <v>48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96</v>
      </c>
      <c r="BC17" s="10">
        <f t="shared" si="8"/>
        <v>94</v>
      </c>
    </row>
    <row r="18" spans="1:55" ht="15" customHeight="1" x14ac:dyDescent="0.35">
      <c r="A18" s="111">
        <v>820323205070</v>
      </c>
      <c r="B18" s="112" t="s">
        <v>28</v>
      </c>
      <c r="C18" s="11"/>
      <c r="D18" s="7">
        <v>40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 t="s">
        <v>124</v>
      </c>
      <c r="J18" s="62" t="str">
        <f t="shared" si="9"/>
        <v>a</v>
      </c>
      <c r="K18" s="62" t="str">
        <f t="shared" si="9"/>
        <v>a</v>
      </c>
      <c r="L18" s="63" t="str">
        <f t="shared" si="9"/>
        <v>a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 t="s">
        <v>124</v>
      </c>
      <c r="AT18" s="62" t="str">
        <f t="shared" si="5"/>
        <v>a</v>
      </c>
      <c r="AU18" s="62" t="str">
        <f t="shared" si="5"/>
        <v>a</v>
      </c>
      <c r="AV18" s="62" t="str">
        <f t="shared" si="5"/>
        <v>a</v>
      </c>
      <c r="AW18" s="62" t="str">
        <f t="shared" si="5"/>
        <v>a</v>
      </c>
      <c r="AX18" s="62" t="str">
        <f t="shared" si="5"/>
        <v>a</v>
      </c>
      <c r="AY18" s="62" t="str">
        <f t="shared" si="5"/>
        <v>a</v>
      </c>
      <c r="AZ18" s="63" t="str">
        <f t="shared" si="5"/>
        <v>a</v>
      </c>
      <c r="BA18" s="37">
        <f t="shared" si="6"/>
        <v>36</v>
      </c>
      <c r="BB18" s="9">
        <f t="shared" si="7"/>
        <v>76</v>
      </c>
      <c r="BC18" s="10">
        <f t="shared" si="8"/>
        <v>75</v>
      </c>
    </row>
    <row r="19" spans="1:55" ht="15" customHeight="1" x14ac:dyDescent="0.35">
      <c r="A19" s="111">
        <v>820323205071</v>
      </c>
      <c r="B19" s="112" t="s">
        <v>29</v>
      </c>
      <c r="C19" s="11"/>
      <c r="D19" s="7">
        <v>40</v>
      </c>
      <c r="E19" s="61">
        <v>1</v>
      </c>
      <c r="F19" s="62">
        <f t="shared" si="9"/>
        <v>1</v>
      </c>
      <c r="G19" s="62">
        <f t="shared" si="9"/>
        <v>1</v>
      </c>
      <c r="H19" s="62">
        <f t="shared" si="9"/>
        <v>1</v>
      </c>
      <c r="I19" s="62">
        <f t="shared" si="9"/>
        <v>1</v>
      </c>
      <c r="J19" s="62">
        <f t="shared" si="9"/>
        <v>1</v>
      </c>
      <c r="K19" s="62">
        <f t="shared" si="9"/>
        <v>1</v>
      </c>
      <c r="L19" s="63">
        <f t="shared" si="9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 t="s">
        <v>124</v>
      </c>
      <c r="AT19" s="62" t="str">
        <f t="shared" si="5"/>
        <v>a</v>
      </c>
      <c r="AU19" s="62" t="str">
        <f t="shared" si="5"/>
        <v>a</v>
      </c>
      <c r="AV19" s="62" t="str">
        <f t="shared" si="5"/>
        <v>a</v>
      </c>
      <c r="AW19" s="62" t="str">
        <f t="shared" si="5"/>
        <v>a</v>
      </c>
      <c r="AX19" s="62" t="str">
        <f t="shared" si="5"/>
        <v>a</v>
      </c>
      <c r="AY19" s="62" t="str">
        <f t="shared" si="5"/>
        <v>a</v>
      </c>
      <c r="AZ19" s="63" t="str">
        <f t="shared" si="5"/>
        <v>a</v>
      </c>
      <c r="BA19" s="37">
        <f t="shared" si="6"/>
        <v>40</v>
      </c>
      <c r="BB19" s="9">
        <f t="shared" si="7"/>
        <v>80</v>
      </c>
      <c r="BC19" s="10">
        <f t="shared" si="8"/>
        <v>78</v>
      </c>
    </row>
    <row r="20" spans="1:55" ht="15" customHeight="1" x14ac:dyDescent="0.35">
      <c r="A20" s="111">
        <v>820323205073</v>
      </c>
      <c r="B20" s="112" t="s">
        <v>30</v>
      </c>
      <c r="C20" s="11"/>
      <c r="D20" s="7">
        <v>54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102</v>
      </c>
      <c r="BC20" s="10">
        <f t="shared" si="8"/>
        <v>100</v>
      </c>
    </row>
    <row r="21" spans="1:55" ht="15" customHeight="1" x14ac:dyDescent="0.35">
      <c r="A21" s="111">
        <v>820323205074</v>
      </c>
      <c r="B21" s="112" t="s">
        <v>31</v>
      </c>
      <c r="C21" s="11"/>
      <c r="D21" s="7">
        <v>46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 t="s">
        <v>124</v>
      </c>
      <c r="J21" s="62" t="str">
        <f t="shared" si="9"/>
        <v>a</v>
      </c>
      <c r="K21" s="62" t="str">
        <f t="shared" si="9"/>
        <v>a</v>
      </c>
      <c r="L21" s="63" t="str">
        <f t="shared" si="9"/>
        <v>a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44</v>
      </c>
      <c r="BB21" s="9">
        <f t="shared" si="7"/>
        <v>90</v>
      </c>
      <c r="BC21" s="10">
        <f t="shared" si="8"/>
        <v>88</v>
      </c>
    </row>
    <row r="22" spans="1:55" ht="15" customHeight="1" x14ac:dyDescent="0.35">
      <c r="A22" s="111">
        <v>820323205075</v>
      </c>
      <c r="B22" s="112" t="s">
        <v>32</v>
      </c>
      <c r="C22" s="11"/>
      <c r="D22" s="7">
        <v>54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102</v>
      </c>
      <c r="BC22" s="10">
        <f t="shared" si="8"/>
        <v>100</v>
      </c>
    </row>
    <row r="23" spans="1:55" ht="15" customHeight="1" x14ac:dyDescent="0.35">
      <c r="A23" s="111">
        <v>820323205076</v>
      </c>
      <c r="B23" s="112" t="s">
        <v>33</v>
      </c>
      <c r="C23" s="11"/>
      <c r="D23" s="7">
        <v>48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96</v>
      </c>
      <c r="BC23" s="10">
        <f t="shared" si="8"/>
        <v>94</v>
      </c>
    </row>
    <row r="24" spans="1:55" ht="15" customHeight="1" x14ac:dyDescent="0.35">
      <c r="A24" s="111">
        <v>820323205077</v>
      </c>
      <c r="B24" s="112" t="s">
        <v>34</v>
      </c>
      <c r="C24" s="11"/>
      <c r="D24" s="7">
        <v>40</v>
      </c>
      <c r="E24" s="61" t="s">
        <v>124</v>
      </c>
      <c r="F24" s="62" t="str">
        <f t="shared" si="9"/>
        <v>a</v>
      </c>
      <c r="G24" s="62" t="str">
        <f t="shared" si="9"/>
        <v>a</v>
      </c>
      <c r="H24" s="62" t="str">
        <f t="shared" si="9"/>
        <v>a</v>
      </c>
      <c r="I24" s="62" t="str">
        <f t="shared" si="9"/>
        <v>a</v>
      </c>
      <c r="J24" s="62" t="str">
        <f t="shared" si="9"/>
        <v>a</v>
      </c>
      <c r="K24" s="62" t="str">
        <f t="shared" si="9"/>
        <v>a</v>
      </c>
      <c r="L24" s="63" t="str">
        <f t="shared" si="9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 t="s">
        <v>124</v>
      </c>
      <c r="AT24" s="62" t="str">
        <f t="shared" si="5"/>
        <v>a</v>
      </c>
      <c r="AU24" s="62" t="str">
        <f t="shared" si="5"/>
        <v>a</v>
      </c>
      <c r="AV24" s="62" t="str">
        <f t="shared" si="5"/>
        <v>a</v>
      </c>
      <c r="AW24" s="62" t="str">
        <f t="shared" si="5"/>
        <v>a</v>
      </c>
      <c r="AX24" s="62" t="str">
        <f t="shared" si="5"/>
        <v>a</v>
      </c>
      <c r="AY24" s="62" t="str">
        <f t="shared" si="5"/>
        <v>a</v>
      </c>
      <c r="AZ24" s="63" t="str">
        <f t="shared" si="5"/>
        <v>a</v>
      </c>
      <c r="BA24" s="37">
        <f t="shared" si="6"/>
        <v>32</v>
      </c>
      <c r="BB24" s="9">
        <f t="shared" si="7"/>
        <v>72</v>
      </c>
      <c r="BC24" s="10">
        <f t="shared" si="8"/>
        <v>71</v>
      </c>
    </row>
    <row r="25" spans="1:55" ht="15" customHeight="1" x14ac:dyDescent="0.35">
      <c r="A25" s="111">
        <v>820323205078</v>
      </c>
      <c r="B25" s="112" t="s">
        <v>35</v>
      </c>
      <c r="C25" s="12"/>
      <c r="D25" s="7">
        <v>30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 t="s">
        <v>124</v>
      </c>
      <c r="AT25" s="62" t="str">
        <f t="shared" si="5"/>
        <v>a</v>
      </c>
      <c r="AU25" s="62" t="str">
        <f t="shared" si="5"/>
        <v>a</v>
      </c>
      <c r="AV25" s="62" t="str">
        <f t="shared" si="5"/>
        <v>a</v>
      </c>
      <c r="AW25" s="62" t="str">
        <f t="shared" si="5"/>
        <v>a</v>
      </c>
      <c r="AX25" s="62" t="str">
        <f t="shared" si="5"/>
        <v>a</v>
      </c>
      <c r="AY25" s="62" t="str">
        <f t="shared" si="5"/>
        <v>a</v>
      </c>
      <c r="AZ25" s="63" t="str">
        <f t="shared" si="5"/>
        <v>a</v>
      </c>
      <c r="BA25" s="37">
        <f t="shared" si="6"/>
        <v>40</v>
      </c>
      <c r="BB25" s="9">
        <f t="shared" si="7"/>
        <v>70</v>
      </c>
      <c r="BC25" s="10">
        <f t="shared" si="8"/>
        <v>69</v>
      </c>
    </row>
    <row r="26" spans="1:55" ht="15" customHeight="1" x14ac:dyDescent="0.35">
      <c r="A26" s="111">
        <v>820323205079</v>
      </c>
      <c r="B26" s="112" t="s">
        <v>36</v>
      </c>
      <c r="C26" s="11"/>
      <c r="D26" s="7">
        <v>40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 t="s">
        <v>124</v>
      </c>
      <c r="N26" s="62">
        <v>1</v>
      </c>
      <c r="O26" s="62">
        <f t="shared" ref="N26:T41" si="10">N26</f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>
        <v>1</v>
      </c>
      <c r="V26" s="62">
        <f t="shared" ref="V26:AB41" si="11">U26</f>
        <v>1</v>
      </c>
      <c r="W26" s="62">
        <f t="shared" si="11"/>
        <v>1</v>
      </c>
      <c r="X26" s="62">
        <f t="shared" si="11"/>
        <v>1</v>
      </c>
      <c r="Y26" s="62">
        <f t="shared" si="11"/>
        <v>1</v>
      </c>
      <c r="Z26" s="62">
        <f t="shared" si="11"/>
        <v>1</v>
      </c>
      <c r="AA26" s="62">
        <f t="shared" si="11"/>
        <v>1</v>
      </c>
      <c r="AB26" s="63">
        <f t="shared" si="11"/>
        <v>1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 t="s">
        <v>124</v>
      </c>
      <c r="AT26" s="62" t="str">
        <f t="shared" ref="AT26:AZ41" si="14">AS26</f>
        <v>a</v>
      </c>
      <c r="AU26" s="62" t="str">
        <f t="shared" si="14"/>
        <v>a</v>
      </c>
      <c r="AV26" s="62" t="str">
        <f t="shared" si="14"/>
        <v>a</v>
      </c>
      <c r="AW26" s="62" t="str">
        <f t="shared" si="14"/>
        <v>a</v>
      </c>
      <c r="AX26" s="62" t="str">
        <f t="shared" si="14"/>
        <v>a</v>
      </c>
      <c r="AY26" s="62" t="str">
        <f t="shared" si="14"/>
        <v>a</v>
      </c>
      <c r="AZ26" s="63" t="str">
        <f t="shared" si="14"/>
        <v>a</v>
      </c>
      <c r="BA26" s="37">
        <f t="shared" si="6"/>
        <v>39</v>
      </c>
      <c r="BB26" s="9">
        <f t="shared" si="7"/>
        <v>79</v>
      </c>
      <c r="BC26" s="10">
        <f t="shared" si="8"/>
        <v>77</v>
      </c>
    </row>
    <row r="27" spans="1:55" ht="15" customHeight="1" x14ac:dyDescent="0.35">
      <c r="A27" s="111">
        <v>820323205080</v>
      </c>
      <c r="B27" s="112" t="s">
        <v>37</v>
      </c>
      <c r="C27" s="11"/>
      <c r="D27" s="7">
        <v>54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 t="s">
        <v>124</v>
      </c>
      <c r="AT27" s="62" t="str">
        <f t="shared" si="14"/>
        <v>a</v>
      </c>
      <c r="AU27" s="62" t="str">
        <f t="shared" si="14"/>
        <v>a</v>
      </c>
      <c r="AV27" s="62" t="str">
        <f t="shared" si="14"/>
        <v>a</v>
      </c>
      <c r="AW27" s="62" t="str">
        <f t="shared" si="14"/>
        <v>a</v>
      </c>
      <c r="AX27" s="62" t="str">
        <f t="shared" si="14"/>
        <v>a</v>
      </c>
      <c r="AY27" s="62" t="str">
        <f t="shared" si="14"/>
        <v>a</v>
      </c>
      <c r="AZ27" s="63" t="str">
        <f t="shared" si="14"/>
        <v>a</v>
      </c>
      <c r="BA27" s="37">
        <f t="shared" si="6"/>
        <v>40</v>
      </c>
      <c r="BB27" s="9">
        <f t="shared" si="7"/>
        <v>94</v>
      </c>
      <c r="BC27" s="10">
        <f t="shared" si="8"/>
        <v>92</v>
      </c>
    </row>
    <row r="28" spans="1:55" ht="15" customHeight="1" x14ac:dyDescent="0.35">
      <c r="A28" s="111">
        <v>820323205081</v>
      </c>
      <c r="B28" s="112" t="s">
        <v>38</v>
      </c>
      <c r="C28" s="13"/>
      <c r="D28" s="7">
        <v>38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86</v>
      </c>
      <c r="BC28" s="10">
        <f t="shared" si="8"/>
        <v>84</v>
      </c>
    </row>
    <row r="29" spans="1:55" ht="15" customHeight="1" x14ac:dyDescent="0.35">
      <c r="A29" s="111">
        <v>820323205082</v>
      </c>
      <c r="B29" s="112" t="s">
        <v>39</v>
      </c>
      <c r="C29" s="13"/>
      <c r="D29" s="7">
        <v>40</v>
      </c>
      <c r="E29" s="61">
        <v>1</v>
      </c>
      <c r="F29" s="62">
        <f t="shared" si="15"/>
        <v>1</v>
      </c>
      <c r="G29" s="62">
        <f t="shared" si="15"/>
        <v>1</v>
      </c>
      <c r="H29" s="62">
        <f t="shared" si="15"/>
        <v>1</v>
      </c>
      <c r="I29" s="62">
        <f t="shared" si="15"/>
        <v>1</v>
      </c>
      <c r="J29" s="62">
        <f t="shared" si="15"/>
        <v>1</v>
      </c>
      <c r="K29" s="62">
        <f t="shared" si="15"/>
        <v>1</v>
      </c>
      <c r="L29" s="63">
        <f t="shared" si="15"/>
        <v>1</v>
      </c>
      <c r="M29" s="61">
        <v>1</v>
      </c>
      <c r="N29" s="62">
        <f t="shared" si="10"/>
        <v>1</v>
      </c>
      <c r="O29" s="62">
        <f t="shared" si="10"/>
        <v>1</v>
      </c>
      <c r="P29" s="62">
        <f t="shared" si="10"/>
        <v>1</v>
      </c>
      <c r="Q29" s="62">
        <f t="shared" si="10"/>
        <v>1</v>
      </c>
      <c r="R29" s="62">
        <f t="shared" si="10"/>
        <v>1</v>
      </c>
      <c r="S29" s="62">
        <f t="shared" si="10"/>
        <v>1</v>
      </c>
      <c r="T29" s="63">
        <f t="shared" si="10"/>
        <v>1</v>
      </c>
      <c r="U29" s="61" t="s">
        <v>124</v>
      </c>
      <c r="V29" s="62" t="str">
        <f t="shared" si="11"/>
        <v>a</v>
      </c>
      <c r="W29" s="62" t="str">
        <f t="shared" si="11"/>
        <v>a</v>
      </c>
      <c r="X29" s="62" t="str">
        <f t="shared" si="11"/>
        <v>a</v>
      </c>
      <c r="Y29" s="62" t="str">
        <f t="shared" si="11"/>
        <v>a</v>
      </c>
      <c r="Z29" s="62" t="str">
        <f t="shared" si="11"/>
        <v>a</v>
      </c>
      <c r="AA29" s="62" t="str">
        <f t="shared" si="11"/>
        <v>a</v>
      </c>
      <c r="AB29" s="63" t="str">
        <f t="shared" si="11"/>
        <v>a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 t="s">
        <v>124</v>
      </c>
      <c r="AT29" s="62" t="str">
        <f t="shared" si="14"/>
        <v>a</v>
      </c>
      <c r="AU29" s="62" t="str">
        <f t="shared" si="14"/>
        <v>a</v>
      </c>
      <c r="AV29" s="62" t="str">
        <f t="shared" si="14"/>
        <v>a</v>
      </c>
      <c r="AW29" s="62" t="str">
        <f t="shared" si="14"/>
        <v>a</v>
      </c>
      <c r="AX29" s="62" t="str">
        <f t="shared" si="14"/>
        <v>a</v>
      </c>
      <c r="AY29" s="62" t="str">
        <f t="shared" si="14"/>
        <v>a</v>
      </c>
      <c r="AZ29" s="63" t="str">
        <f t="shared" si="14"/>
        <v>a</v>
      </c>
      <c r="BA29" s="37">
        <f t="shared" si="6"/>
        <v>32</v>
      </c>
      <c r="BB29" s="9">
        <f t="shared" si="7"/>
        <v>72</v>
      </c>
      <c r="BC29" s="10">
        <f t="shared" si="8"/>
        <v>71</v>
      </c>
    </row>
    <row r="30" spans="1:55" ht="15" customHeight="1" x14ac:dyDescent="0.35">
      <c r="A30" s="111">
        <v>820323205083</v>
      </c>
      <c r="B30" s="112" t="s">
        <v>40</v>
      </c>
      <c r="C30" s="11"/>
      <c r="D30" s="7">
        <v>40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>
        <v>1</v>
      </c>
      <c r="V30" s="62">
        <f t="shared" si="11"/>
        <v>1</v>
      </c>
      <c r="W30" s="62">
        <f t="shared" si="11"/>
        <v>1</v>
      </c>
      <c r="X30" s="62">
        <f t="shared" si="11"/>
        <v>1</v>
      </c>
      <c r="Y30" s="62">
        <f t="shared" si="11"/>
        <v>1</v>
      </c>
      <c r="Z30" s="62">
        <f t="shared" si="11"/>
        <v>1</v>
      </c>
      <c r="AA30" s="62">
        <f t="shared" si="11"/>
        <v>1</v>
      </c>
      <c r="AB30" s="63">
        <f t="shared" si="11"/>
        <v>1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48</v>
      </c>
      <c r="BB30" s="9">
        <f t="shared" si="7"/>
        <v>88</v>
      </c>
      <c r="BC30" s="10">
        <f t="shared" si="8"/>
        <v>86</v>
      </c>
    </row>
    <row r="31" spans="1:55" ht="15" customHeight="1" x14ac:dyDescent="0.35">
      <c r="A31" s="111">
        <v>820323205084</v>
      </c>
      <c r="B31" s="112" t="s">
        <v>41</v>
      </c>
      <c r="C31" s="11"/>
      <c r="D31" s="7">
        <v>46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>
        <v>1</v>
      </c>
      <c r="V31" s="62">
        <f t="shared" si="11"/>
        <v>1</v>
      </c>
      <c r="W31" s="62">
        <f t="shared" si="11"/>
        <v>1</v>
      </c>
      <c r="X31" s="62">
        <f t="shared" si="11"/>
        <v>1</v>
      </c>
      <c r="Y31" s="62">
        <f t="shared" si="11"/>
        <v>1</v>
      </c>
      <c r="Z31" s="62">
        <f t="shared" si="11"/>
        <v>1</v>
      </c>
      <c r="AA31" s="62">
        <f t="shared" si="11"/>
        <v>1</v>
      </c>
      <c r="AB31" s="63">
        <f t="shared" si="11"/>
        <v>1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 t="s">
        <v>124</v>
      </c>
      <c r="AL31" s="62" t="str">
        <f t="shared" si="13"/>
        <v>a</v>
      </c>
      <c r="AM31" s="62" t="str">
        <f t="shared" si="13"/>
        <v>a</v>
      </c>
      <c r="AN31" s="62" t="str">
        <f t="shared" si="13"/>
        <v>a</v>
      </c>
      <c r="AO31" s="62" t="str">
        <f t="shared" si="13"/>
        <v>a</v>
      </c>
      <c r="AP31" s="62" t="str">
        <f t="shared" si="13"/>
        <v>a</v>
      </c>
      <c r="AQ31" s="62" t="str">
        <f t="shared" si="13"/>
        <v>a</v>
      </c>
      <c r="AR31" s="63" t="str">
        <f t="shared" si="13"/>
        <v>a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40</v>
      </c>
      <c r="BB31" s="9">
        <f t="shared" si="7"/>
        <v>86</v>
      </c>
      <c r="BC31" s="10">
        <f t="shared" si="8"/>
        <v>84</v>
      </c>
    </row>
    <row r="32" spans="1:55" ht="15" customHeight="1" x14ac:dyDescent="0.35">
      <c r="A32" s="111">
        <v>820323205085</v>
      </c>
      <c r="B32" s="112" t="s">
        <v>42</v>
      </c>
      <c r="C32" s="11"/>
      <c r="D32" s="7">
        <v>22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 t="s">
        <v>124</v>
      </c>
      <c r="N32" s="62"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>
        <v>1</v>
      </c>
      <c r="V32" s="62">
        <f t="shared" si="11"/>
        <v>1</v>
      </c>
      <c r="W32" s="62">
        <f t="shared" si="11"/>
        <v>1</v>
      </c>
      <c r="X32" s="62">
        <f t="shared" si="11"/>
        <v>1</v>
      </c>
      <c r="Y32" s="62">
        <f t="shared" si="11"/>
        <v>1</v>
      </c>
      <c r="Z32" s="62">
        <f t="shared" si="11"/>
        <v>1</v>
      </c>
      <c r="AA32" s="62">
        <f t="shared" si="11"/>
        <v>1</v>
      </c>
      <c r="AB32" s="63">
        <f t="shared" si="11"/>
        <v>1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47</v>
      </c>
      <c r="BB32" s="9">
        <f t="shared" si="7"/>
        <v>69</v>
      </c>
      <c r="BC32" s="10">
        <f t="shared" si="8"/>
        <v>68</v>
      </c>
    </row>
    <row r="33" spans="1:55" ht="15" customHeight="1" x14ac:dyDescent="0.35">
      <c r="A33" s="111">
        <v>820323205086</v>
      </c>
      <c r="B33" s="112" t="s">
        <v>43</v>
      </c>
      <c r="C33" s="11"/>
      <c r="D33" s="7">
        <v>48</v>
      </c>
      <c r="E33" s="61" t="s">
        <v>124</v>
      </c>
      <c r="F33" s="62" t="str">
        <f t="shared" si="15"/>
        <v>a</v>
      </c>
      <c r="G33" s="62" t="str">
        <f t="shared" si="15"/>
        <v>a</v>
      </c>
      <c r="H33" s="62" t="str">
        <f t="shared" si="15"/>
        <v>a</v>
      </c>
      <c r="I33" s="62" t="s">
        <v>124</v>
      </c>
      <c r="J33" s="62" t="str">
        <f t="shared" si="15"/>
        <v>a</v>
      </c>
      <c r="K33" s="62" t="str">
        <f t="shared" si="15"/>
        <v>a</v>
      </c>
      <c r="L33" s="63" t="str">
        <f t="shared" si="15"/>
        <v>a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 t="s">
        <v>124</v>
      </c>
      <c r="AT33" s="62" t="str">
        <f t="shared" si="14"/>
        <v>a</v>
      </c>
      <c r="AU33" s="62" t="str">
        <f t="shared" si="14"/>
        <v>a</v>
      </c>
      <c r="AV33" s="62" t="str">
        <f t="shared" si="14"/>
        <v>a</v>
      </c>
      <c r="AW33" s="62" t="str">
        <f t="shared" si="14"/>
        <v>a</v>
      </c>
      <c r="AX33" s="62" t="str">
        <f t="shared" si="14"/>
        <v>a</v>
      </c>
      <c r="AY33" s="62" t="str">
        <f t="shared" si="14"/>
        <v>a</v>
      </c>
      <c r="AZ33" s="63" t="str">
        <f t="shared" si="14"/>
        <v>a</v>
      </c>
      <c r="BA33" s="37">
        <f t="shared" si="6"/>
        <v>32</v>
      </c>
      <c r="BB33" s="9">
        <f t="shared" si="7"/>
        <v>80</v>
      </c>
      <c r="BC33" s="10">
        <f t="shared" si="8"/>
        <v>78</v>
      </c>
    </row>
    <row r="34" spans="1:55" ht="15" customHeight="1" x14ac:dyDescent="0.35">
      <c r="A34" s="111">
        <v>820323205087</v>
      </c>
      <c r="B34" s="112" t="s">
        <v>44</v>
      </c>
      <c r="C34" s="14"/>
      <c r="D34" s="7">
        <v>32</v>
      </c>
      <c r="E34" s="61">
        <v>1</v>
      </c>
      <c r="F34" s="62">
        <f t="shared" si="15"/>
        <v>1</v>
      </c>
      <c r="G34" s="62">
        <f t="shared" si="15"/>
        <v>1</v>
      </c>
      <c r="H34" s="62">
        <f t="shared" si="15"/>
        <v>1</v>
      </c>
      <c r="I34" s="62">
        <f t="shared" si="15"/>
        <v>1</v>
      </c>
      <c r="J34" s="62">
        <f t="shared" si="15"/>
        <v>1</v>
      </c>
      <c r="K34" s="62">
        <f t="shared" si="15"/>
        <v>1</v>
      </c>
      <c r="L34" s="63">
        <f t="shared" si="15"/>
        <v>1</v>
      </c>
      <c r="M34" s="61">
        <v>1</v>
      </c>
      <c r="N34" s="62">
        <f t="shared" si="10"/>
        <v>1</v>
      </c>
      <c r="O34" s="62" t="s">
        <v>124</v>
      </c>
      <c r="P34" s="62"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>
        <v>1</v>
      </c>
      <c r="V34" s="62">
        <f t="shared" si="11"/>
        <v>1</v>
      </c>
      <c r="W34" s="62">
        <f t="shared" si="11"/>
        <v>1</v>
      </c>
      <c r="X34" s="62">
        <f t="shared" si="11"/>
        <v>1</v>
      </c>
      <c r="Y34" s="62">
        <f t="shared" si="11"/>
        <v>1</v>
      </c>
      <c r="Z34" s="62">
        <f t="shared" si="11"/>
        <v>1</v>
      </c>
      <c r="AA34" s="62">
        <f t="shared" si="11"/>
        <v>1</v>
      </c>
      <c r="AB34" s="63">
        <f t="shared" si="11"/>
        <v>1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 t="s">
        <v>124</v>
      </c>
      <c r="AT34" s="62" t="str">
        <f t="shared" si="14"/>
        <v>a</v>
      </c>
      <c r="AU34" s="62" t="str">
        <f t="shared" si="14"/>
        <v>a</v>
      </c>
      <c r="AV34" s="62" t="str">
        <f t="shared" si="14"/>
        <v>a</v>
      </c>
      <c r="AW34" s="62" t="str">
        <f t="shared" si="14"/>
        <v>a</v>
      </c>
      <c r="AX34" s="62" t="str">
        <f t="shared" si="14"/>
        <v>a</v>
      </c>
      <c r="AY34" s="62" t="str">
        <f t="shared" si="14"/>
        <v>a</v>
      </c>
      <c r="AZ34" s="63" t="str">
        <f t="shared" si="14"/>
        <v>a</v>
      </c>
      <c r="BA34" s="37">
        <f t="shared" si="6"/>
        <v>39</v>
      </c>
      <c r="BB34" s="9">
        <f t="shared" si="7"/>
        <v>71</v>
      </c>
      <c r="BC34" s="10">
        <f t="shared" si="8"/>
        <v>70</v>
      </c>
    </row>
    <row r="35" spans="1:55" ht="15" customHeight="1" x14ac:dyDescent="0.35">
      <c r="A35" s="111">
        <v>820323205088</v>
      </c>
      <c r="B35" s="112" t="s">
        <v>45</v>
      </c>
      <c r="C35" s="14"/>
      <c r="D35" s="7">
        <v>54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>
        <v>1</v>
      </c>
      <c r="N35" s="62">
        <f t="shared" si="10"/>
        <v>1</v>
      </c>
      <c r="O35" s="62">
        <f t="shared" si="10"/>
        <v>1</v>
      </c>
      <c r="P35" s="62">
        <f t="shared" si="10"/>
        <v>1</v>
      </c>
      <c r="Q35" s="62">
        <f t="shared" si="10"/>
        <v>1</v>
      </c>
      <c r="R35" s="62">
        <f t="shared" si="10"/>
        <v>1</v>
      </c>
      <c r="S35" s="62">
        <f t="shared" si="10"/>
        <v>1</v>
      </c>
      <c r="T35" s="63">
        <f t="shared" si="10"/>
        <v>1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48</v>
      </c>
      <c r="BB35" s="9">
        <f t="shared" si="7"/>
        <v>102</v>
      </c>
      <c r="BC35" s="10">
        <f t="shared" si="8"/>
        <v>100</v>
      </c>
    </row>
    <row r="36" spans="1:55" ht="15" customHeight="1" x14ac:dyDescent="0.35">
      <c r="A36" s="111">
        <v>820323205089</v>
      </c>
      <c r="B36" s="112" t="s">
        <v>46</v>
      </c>
      <c r="C36" s="14"/>
      <c r="D36" s="7">
        <v>38</v>
      </c>
      <c r="E36" s="61" t="s">
        <v>124</v>
      </c>
      <c r="F36" s="62" t="str">
        <f t="shared" si="15"/>
        <v>a</v>
      </c>
      <c r="G36" s="62" t="str">
        <f t="shared" si="15"/>
        <v>a</v>
      </c>
      <c r="H36" s="62" t="str">
        <f t="shared" si="15"/>
        <v>a</v>
      </c>
      <c r="I36" s="62" t="str">
        <f t="shared" si="15"/>
        <v>a</v>
      </c>
      <c r="J36" s="62" t="str">
        <f t="shared" si="15"/>
        <v>a</v>
      </c>
      <c r="K36" s="62" t="str">
        <f t="shared" si="15"/>
        <v>a</v>
      </c>
      <c r="L36" s="63" t="str">
        <f t="shared" si="15"/>
        <v>a</v>
      </c>
      <c r="M36" s="61">
        <v>1</v>
      </c>
      <c r="N36" s="62">
        <f t="shared" si="10"/>
        <v>1</v>
      </c>
      <c r="O36" s="62" t="s">
        <v>124</v>
      </c>
      <c r="P36" s="62"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>
        <v>1</v>
      </c>
      <c r="V36" s="62">
        <f t="shared" si="11"/>
        <v>1</v>
      </c>
      <c r="W36" s="62">
        <f t="shared" si="11"/>
        <v>1</v>
      </c>
      <c r="X36" s="62">
        <f t="shared" si="11"/>
        <v>1</v>
      </c>
      <c r="Y36" s="62">
        <f t="shared" si="11"/>
        <v>1</v>
      </c>
      <c r="Z36" s="62">
        <f t="shared" si="11"/>
        <v>1</v>
      </c>
      <c r="AA36" s="62">
        <f t="shared" si="11"/>
        <v>1</v>
      </c>
      <c r="AB36" s="63">
        <f t="shared" si="11"/>
        <v>1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 t="s">
        <v>124</v>
      </c>
      <c r="AT36" s="62" t="str">
        <f t="shared" si="14"/>
        <v>a</v>
      </c>
      <c r="AU36" s="62" t="str">
        <f t="shared" si="14"/>
        <v>a</v>
      </c>
      <c r="AV36" s="62" t="str">
        <f t="shared" si="14"/>
        <v>a</v>
      </c>
      <c r="AW36" s="62" t="str">
        <f t="shared" si="14"/>
        <v>a</v>
      </c>
      <c r="AX36" s="62" t="str">
        <f t="shared" si="14"/>
        <v>a</v>
      </c>
      <c r="AY36" s="62" t="str">
        <f t="shared" si="14"/>
        <v>a</v>
      </c>
      <c r="AZ36" s="63" t="str">
        <f t="shared" si="14"/>
        <v>a</v>
      </c>
      <c r="BA36" s="37">
        <f t="shared" si="6"/>
        <v>31</v>
      </c>
      <c r="BB36" s="9">
        <f t="shared" si="7"/>
        <v>69</v>
      </c>
      <c r="BC36" s="10">
        <f t="shared" si="8"/>
        <v>68</v>
      </c>
    </row>
    <row r="37" spans="1:55" ht="15" customHeight="1" thickBot="1" x14ac:dyDescent="0.4">
      <c r="A37" s="111">
        <v>820323205090</v>
      </c>
      <c r="B37" s="112" t="s">
        <v>47</v>
      </c>
      <c r="C37" s="15"/>
      <c r="D37" s="7">
        <v>54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>
        <v>1</v>
      </c>
      <c r="N37" s="62">
        <f t="shared" si="10"/>
        <v>1</v>
      </c>
      <c r="O37" s="62">
        <f t="shared" si="10"/>
        <v>1</v>
      </c>
      <c r="P37" s="62">
        <f t="shared" si="10"/>
        <v>1</v>
      </c>
      <c r="Q37" s="62">
        <f t="shared" si="10"/>
        <v>1</v>
      </c>
      <c r="R37" s="62">
        <f t="shared" si="10"/>
        <v>1</v>
      </c>
      <c r="S37" s="62">
        <f t="shared" si="10"/>
        <v>1</v>
      </c>
      <c r="T37" s="63">
        <f t="shared" si="10"/>
        <v>1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48</v>
      </c>
      <c r="BB37" s="9">
        <f t="shared" si="7"/>
        <v>102</v>
      </c>
      <c r="BC37" s="10">
        <f t="shared" si="8"/>
        <v>100</v>
      </c>
    </row>
    <row r="38" spans="1:55" ht="15" customHeight="1" x14ac:dyDescent="0.35">
      <c r="A38" s="111">
        <v>820323205091</v>
      </c>
      <c r="B38" s="112" t="s">
        <v>48</v>
      </c>
      <c r="C38" s="6"/>
      <c r="D38" s="46">
        <v>30</v>
      </c>
      <c r="E38" s="61" t="s">
        <v>124</v>
      </c>
      <c r="F38" s="62" t="str">
        <f t="shared" si="15"/>
        <v>a</v>
      </c>
      <c r="G38" s="62" t="str">
        <f t="shared" si="15"/>
        <v>a</v>
      </c>
      <c r="H38" s="62" t="str">
        <f t="shared" si="15"/>
        <v>a</v>
      </c>
      <c r="I38" s="62" t="str">
        <f t="shared" si="15"/>
        <v>a</v>
      </c>
      <c r="J38" s="62" t="str">
        <f t="shared" si="15"/>
        <v>a</v>
      </c>
      <c r="K38" s="62" t="str">
        <f t="shared" si="15"/>
        <v>a</v>
      </c>
      <c r="L38" s="63" t="str">
        <f t="shared" si="15"/>
        <v>a</v>
      </c>
      <c r="M38" s="61">
        <v>1</v>
      </c>
      <c r="N38" s="62">
        <f t="shared" si="10"/>
        <v>1</v>
      </c>
      <c r="O38" s="62">
        <f t="shared" si="10"/>
        <v>1</v>
      </c>
      <c r="P38" s="62">
        <f t="shared" si="10"/>
        <v>1</v>
      </c>
      <c r="Q38" s="62">
        <f t="shared" si="10"/>
        <v>1</v>
      </c>
      <c r="R38" s="62">
        <f t="shared" si="10"/>
        <v>1</v>
      </c>
      <c r="S38" s="62">
        <f t="shared" si="10"/>
        <v>1</v>
      </c>
      <c r="T38" s="63">
        <f t="shared" si="10"/>
        <v>1</v>
      </c>
      <c r="U38" s="61">
        <v>1</v>
      </c>
      <c r="V38" s="62">
        <f t="shared" si="11"/>
        <v>1</v>
      </c>
      <c r="W38" s="62">
        <f t="shared" si="11"/>
        <v>1</v>
      </c>
      <c r="X38" s="62">
        <f t="shared" si="11"/>
        <v>1</v>
      </c>
      <c r="Y38" s="62">
        <f t="shared" si="11"/>
        <v>1</v>
      </c>
      <c r="Z38" s="62">
        <f t="shared" si="11"/>
        <v>1</v>
      </c>
      <c r="AA38" s="62">
        <f t="shared" si="11"/>
        <v>1</v>
      </c>
      <c r="AB38" s="63">
        <f t="shared" si="11"/>
        <v>1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 t="s">
        <v>124</v>
      </c>
      <c r="AT38" s="62" t="str">
        <f t="shared" si="14"/>
        <v>a</v>
      </c>
      <c r="AU38" s="62" t="str">
        <f t="shared" si="14"/>
        <v>a</v>
      </c>
      <c r="AV38" s="62" t="str">
        <f t="shared" si="14"/>
        <v>a</v>
      </c>
      <c r="AW38" s="62" t="str">
        <f t="shared" si="14"/>
        <v>a</v>
      </c>
      <c r="AX38" s="62" t="str">
        <f t="shared" si="14"/>
        <v>a</v>
      </c>
      <c r="AY38" s="62" t="str">
        <f t="shared" si="14"/>
        <v>a</v>
      </c>
      <c r="AZ38" s="63" t="str">
        <f t="shared" si="14"/>
        <v>a</v>
      </c>
      <c r="BA38" s="36">
        <f>SUM(E38:AZ38)</f>
        <v>32</v>
      </c>
      <c r="BB38" s="9">
        <f t="shared" si="7"/>
        <v>62</v>
      </c>
      <c r="BC38" s="10">
        <f t="shared" si="8"/>
        <v>61</v>
      </c>
    </row>
    <row r="39" spans="1:55" ht="15" customHeight="1" x14ac:dyDescent="0.35">
      <c r="A39" s="111">
        <v>820323205092</v>
      </c>
      <c r="B39" s="112" t="s">
        <v>49</v>
      </c>
      <c r="C39" s="11"/>
      <c r="D39" s="46">
        <v>46</v>
      </c>
      <c r="E39" s="61" t="s">
        <v>124</v>
      </c>
      <c r="F39" s="62" t="str">
        <f t="shared" si="15"/>
        <v>a</v>
      </c>
      <c r="G39" s="62" t="str">
        <f t="shared" si="15"/>
        <v>a</v>
      </c>
      <c r="H39" s="62" t="str">
        <f t="shared" si="15"/>
        <v>a</v>
      </c>
      <c r="I39" s="62" t="str">
        <f t="shared" si="15"/>
        <v>a</v>
      </c>
      <c r="J39" s="62" t="str">
        <f t="shared" si="15"/>
        <v>a</v>
      </c>
      <c r="K39" s="62" t="str">
        <f t="shared" si="15"/>
        <v>a</v>
      </c>
      <c r="L39" s="63" t="str">
        <f t="shared" si="15"/>
        <v>a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 t="s">
        <v>124</v>
      </c>
      <c r="AT39" s="62" t="str">
        <f t="shared" si="14"/>
        <v>a</v>
      </c>
      <c r="AU39" s="62" t="str">
        <f t="shared" si="14"/>
        <v>a</v>
      </c>
      <c r="AV39" s="62" t="str">
        <f t="shared" si="14"/>
        <v>a</v>
      </c>
      <c r="AW39" s="62" t="str">
        <f t="shared" si="14"/>
        <v>a</v>
      </c>
      <c r="AX39" s="62" t="str">
        <f t="shared" si="14"/>
        <v>a</v>
      </c>
      <c r="AY39" s="62" t="str">
        <f t="shared" si="14"/>
        <v>a</v>
      </c>
      <c r="AZ39" s="63" t="str">
        <f t="shared" si="14"/>
        <v>a</v>
      </c>
      <c r="BA39" s="37">
        <f t="shared" ref="BA39:BA73" si="16">SUM(E39:AZ39)</f>
        <v>32</v>
      </c>
      <c r="BB39" s="9">
        <f t="shared" si="7"/>
        <v>78</v>
      </c>
      <c r="BC39" s="10">
        <f t="shared" si="8"/>
        <v>76</v>
      </c>
    </row>
    <row r="40" spans="1:55" ht="15" customHeight="1" x14ac:dyDescent="0.35">
      <c r="A40" s="111">
        <v>820323205093</v>
      </c>
      <c r="B40" s="112" t="s">
        <v>50</v>
      </c>
      <c r="C40" s="11"/>
      <c r="D40" s="46">
        <v>40</v>
      </c>
      <c r="E40" s="61">
        <v>1</v>
      </c>
      <c r="F40" s="62">
        <f t="shared" si="15"/>
        <v>1</v>
      </c>
      <c r="G40" s="62">
        <f t="shared" si="15"/>
        <v>1</v>
      </c>
      <c r="H40" s="62">
        <f t="shared" si="15"/>
        <v>1</v>
      </c>
      <c r="I40" s="62">
        <f t="shared" si="15"/>
        <v>1</v>
      </c>
      <c r="J40" s="62">
        <f t="shared" si="15"/>
        <v>1</v>
      </c>
      <c r="K40" s="62">
        <f t="shared" si="15"/>
        <v>1</v>
      </c>
      <c r="L40" s="63">
        <f t="shared" si="15"/>
        <v>1</v>
      </c>
      <c r="M40" s="61">
        <v>1</v>
      </c>
      <c r="N40" s="62">
        <f t="shared" si="10"/>
        <v>1</v>
      </c>
      <c r="O40" s="62">
        <f t="shared" si="10"/>
        <v>1</v>
      </c>
      <c r="P40" s="62">
        <f t="shared" si="10"/>
        <v>1</v>
      </c>
      <c r="Q40" s="62">
        <f t="shared" si="10"/>
        <v>1</v>
      </c>
      <c r="R40" s="62">
        <f t="shared" si="10"/>
        <v>1</v>
      </c>
      <c r="S40" s="62">
        <f t="shared" si="10"/>
        <v>1</v>
      </c>
      <c r="T40" s="63">
        <f t="shared" si="10"/>
        <v>1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48</v>
      </c>
      <c r="BB40" s="9">
        <f t="shared" si="7"/>
        <v>88</v>
      </c>
      <c r="BC40" s="10">
        <f t="shared" si="8"/>
        <v>86</v>
      </c>
    </row>
    <row r="41" spans="1:55" ht="15" customHeight="1" x14ac:dyDescent="0.35">
      <c r="A41" s="111">
        <v>820323205094</v>
      </c>
      <c r="B41" s="112" t="s">
        <v>51</v>
      </c>
      <c r="C41" s="11"/>
      <c r="D41" s="46">
        <v>54</v>
      </c>
      <c r="E41" s="61">
        <v>1</v>
      </c>
      <c r="F41" s="62">
        <f t="shared" si="15"/>
        <v>1</v>
      </c>
      <c r="G41" s="62">
        <f t="shared" si="15"/>
        <v>1</v>
      </c>
      <c r="H41" s="62">
        <f t="shared" si="15"/>
        <v>1</v>
      </c>
      <c r="I41" s="62">
        <f t="shared" si="15"/>
        <v>1</v>
      </c>
      <c r="J41" s="62">
        <f t="shared" si="15"/>
        <v>1</v>
      </c>
      <c r="K41" s="62">
        <f t="shared" si="15"/>
        <v>1</v>
      </c>
      <c r="L41" s="63">
        <f t="shared" si="15"/>
        <v>1</v>
      </c>
      <c r="M41" s="61">
        <v>1</v>
      </c>
      <c r="N41" s="62">
        <f t="shared" si="10"/>
        <v>1</v>
      </c>
      <c r="O41" s="62">
        <f t="shared" si="10"/>
        <v>1</v>
      </c>
      <c r="P41" s="62">
        <f t="shared" si="10"/>
        <v>1</v>
      </c>
      <c r="Q41" s="62">
        <f t="shared" si="10"/>
        <v>1</v>
      </c>
      <c r="R41" s="62">
        <f t="shared" si="10"/>
        <v>1</v>
      </c>
      <c r="S41" s="62">
        <f t="shared" si="10"/>
        <v>1</v>
      </c>
      <c r="T41" s="63">
        <f t="shared" si="10"/>
        <v>1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 t="s">
        <v>124</v>
      </c>
      <c r="AL41" s="62" t="str">
        <f t="shared" si="13"/>
        <v>a</v>
      </c>
      <c r="AM41" s="62" t="str">
        <f t="shared" si="13"/>
        <v>a</v>
      </c>
      <c r="AN41" s="62" t="str">
        <f t="shared" si="13"/>
        <v>a</v>
      </c>
      <c r="AO41" s="62" t="str">
        <f t="shared" si="13"/>
        <v>a</v>
      </c>
      <c r="AP41" s="62" t="str">
        <f t="shared" si="13"/>
        <v>a</v>
      </c>
      <c r="AQ41" s="62" t="str">
        <f t="shared" si="13"/>
        <v>a</v>
      </c>
      <c r="AR41" s="63" t="str">
        <f t="shared" si="13"/>
        <v>a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40</v>
      </c>
      <c r="BB41" s="9">
        <f t="shared" si="7"/>
        <v>94</v>
      </c>
      <c r="BC41" s="10">
        <f t="shared" si="8"/>
        <v>92</v>
      </c>
    </row>
    <row r="42" spans="1:55" ht="15" customHeight="1" x14ac:dyDescent="0.35">
      <c r="A42" s="111">
        <v>820323205095</v>
      </c>
      <c r="B42" s="112" t="s">
        <v>52</v>
      </c>
      <c r="C42" s="11"/>
      <c r="D42" s="46">
        <v>54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 t="s">
        <v>124</v>
      </c>
      <c r="N42" s="62">
        <v>1</v>
      </c>
      <c r="O42" s="62">
        <f t="shared" ref="N42:T57" si="17">N42</f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 t="s">
        <v>124</v>
      </c>
      <c r="AT42" s="62" t="str">
        <f t="shared" ref="AT42:AZ57" si="21">AS42</f>
        <v>a</v>
      </c>
      <c r="AU42" s="62" t="str">
        <f t="shared" si="21"/>
        <v>a</v>
      </c>
      <c r="AV42" s="62" t="str">
        <f t="shared" si="21"/>
        <v>a</v>
      </c>
      <c r="AW42" s="62" t="str">
        <f t="shared" si="21"/>
        <v>a</v>
      </c>
      <c r="AX42" s="62" t="str">
        <f t="shared" si="21"/>
        <v>a</v>
      </c>
      <c r="AY42" s="62" t="str">
        <f t="shared" si="21"/>
        <v>a</v>
      </c>
      <c r="AZ42" s="63" t="str">
        <f t="shared" si="21"/>
        <v>a</v>
      </c>
      <c r="BA42" s="37">
        <f t="shared" si="16"/>
        <v>39</v>
      </c>
      <c r="BB42" s="9">
        <f t="shared" si="7"/>
        <v>93</v>
      </c>
      <c r="BC42" s="10">
        <f t="shared" si="8"/>
        <v>91</v>
      </c>
    </row>
    <row r="43" spans="1:55" ht="15" customHeight="1" x14ac:dyDescent="0.35">
      <c r="A43" s="111">
        <v>820323205096</v>
      </c>
      <c r="B43" s="112" t="s">
        <v>53</v>
      </c>
      <c r="C43" s="11"/>
      <c r="D43" s="46">
        <v>38</v>
      </c>
      <c r="E43" s="61">
        <v>1</v>
      </c>
      <c r="F43" s="62">
        <f t="shared" si="15"/>
        <v>1</v>
      </c>
      <c r="G43" s="62">
        <f t="shared" si="15"/>
        <v>1</v>
      </c>
      <c r="H43" s="62">
        <f t="shared" si="15"/>
        <v>1</v>
      </c>
      <c r="I43" s="62">
        <f t="shared" si="15"/>
        <v>1</v>
      </c>
      <c r="J43" s="62">
        <f t="shared" si="15"/>
        <v>1</v>
      </c>
      <c r="K43" s="62">
        <f t="shared" si="15"/>
        <v>1</v>
      </c>
      <c r="L43" s="63">
        <f t="shared" si="15"/>
        <v>1</v>
      </c>
      <c r="M43" s="61" t="s">
        <v>124</v>
      </c>
      <c r="N43" s="62"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 t="s">
        <v>124</v>
      </c>
      <c r="V43" s="62" t="str">
        <f t="shared" si="18"/>
        <v>a</v>
      </c>
      <c r="W43" s="62" t="str">
        <f t="shared" si="18"/>
        <v>a</v>
      </c>
      <c r="X43" s="62" t="str">
        <f t="shared" si="18"/>
        <v>a</v>
      </c>
      <c r="Y43" s="62" t="str">
        <f t="shared" si="18"/>
        <v>a</v>
      </c>
      <c r="Z43" s="62" t="str">
        <f t="shared" si="18"/>
        <v>a</v>
      </c>
      <c r="AA43" s="62" t="str">
        <f t="shared" si="18"/>
        <v>a</v>
      </c>
      <c r="AB43" s="63" t="str">
        <f t="shared" si="18"/>
        <v>a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>
        <v>1</v>
      </c>
      <c r="AT43" s="62">
        <f t="shared" si="21"/>
        <v>1</v>
      </c>
      <c r="AU43" s="62">
        <f t="shared" si="21"/>
        <v>1</v>
      </c>
      <c r="AV43" s="62">
        <f t="shared" si="21"/>
        <v>1</v>
      </c>
      <c r="AW43" s="62">
        <f t="shared" si="21"/>
        <v>1</v>
      </c>
      <c r="AX43" s="62">
        <f t="shared" si="21"/>
        <v>1</v>
      </c>
      <c r="AY43" s="62">
        <f t="shared" si="21"/>
        <v>1</v>
      </c>
      <c r="AZ43" s="63">
        <f t="shared" si="21"/>
        <v>1</v>
      </c>
      <c r="BA43" s="37">
        <f t="shared" si="16"/>
        <v>39</v>
      </c>
      <c r="BB43" s="9">
        <f t="shared" si="7"/>
        <v>77</v>
      </c>
      <c r="BC43" s="10">
        <f t="shared" si="8"/>
        <v>75</v>
      </c>
    </row>
    <row r="44" spans="1:55" ht="15" customHeight="1" x14ac:dyDescent="0.35">
      <c r="A44" s="111">
        <v>820323205097</v>
      </c>
      <c r="B44" s="112" t="s">
        <v>54</v>
      </c>
      <c r="C44" s="11"/>
      <c r="D44" s="46">
        <v>0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48</v>
      </c>
      <c r="BC44" s="10">
        <f t="shared" si="8"/>
        <v>47</v>
      </c>
    </row>
    <row r="45" spans="1:55" ht="15" customHeight="1" x14ac:dyDescent="0.35">
      <c r="A45" s="111">
        <v>820323205098</v>
      </c>
      <c r="B45" s="112" t="s">
        <v>55</v>
      </c>
      <c r="C45" s="11"/>
      <c r="D45" s="46">
        <v>54</v>
      </c>
      <c r="E45" s="61" t="s">
        <v>124</v>
      </c>
      <c r="F45" s="62" t="str">
        <f t="shared" si="22"/>
        <v>a</v>
      </c>
      <c r="G45" s="62" t="str">
        <f t="shared" si="22"/>
        <v>a</v>
      </c>
      <c r="H45" s="62" t="str">
        <f t="shared" si="22"/>
        <v>a</v>
      </c>
      <c r="I45" s="62" t="str">
        <f t="shared" si="22"/>
        <v>a</v>
      </c>
      <c r="J45" s="62" t="str">
        <f t="shared" si="22"/>
        <v>a</v>
      </c>
      <c r="K45" s="62" t="str">
        <f t="shared" si="22"/>
        <v>a</v>
      </c>
      <c r="L45" s="63" t="str">
        <f t="shared" si="22"/>
        <v>a</v>
      </c>
      <c r="M45" s="61" t="s">
        <v>124</v>
      </c>
      <c r="N45" s="62" t="str">
        <f t="shared" si="17"/>
        <v>a</v>
      </c>
      <c r="O45" s="62" t="str">
        <f t="shared" si="17"/>
        <v>a</v>
      </c>
      <c r="P45" s="62" t="str">
        <f t="shared" si="17"/>
        <v>a</v>
      </c>
      <c r="Q45" s="62" t="str">
        <f t="shared" si="17"/>
        <v>a</v>
      </c>
      <c r="R45" s="62" t="str">
        <f t="shared" si="17"/>
        <v>a</v>
      </c>
      <c r="S45" s="62" t="str">
        <f t="shared" si="17"/>
        <v>a</v>
      </c>
      <c r="T45" s="63" t="str">
        <f t="shared" si="17"/>
        <v>a</v>
      </c>
      <c r="U45" s="61" t="s">
        <v>124</v>
      </c>
      <c r="V45" s="62" t="str">
        <f t="shared" si="18"/>
        <v>a</v>
      </c>
      <c r="W45" s="62" t="str">
        <f t="shared" si="18"/>
        <v>a</v>
      </c>
      <c r="X45" s="62" t="str">
        <f t="shared" si="18"/>
        <v>a</v>
      </c>
      <c r="Y45" s="62" t="str">
        <f t="shared" si="18"/>
        <v>a</v>
      </c>
      <c r="Z45" s="62" t="str">
        <f t="shared" si="18"/>
        <v>a</v>
      </c>
      <c r="AA45" s="62" t="str">
        <f t="shared" si="18"/>
        <v>a</v>
      </c>
      <c r="AB45" s="63" t="str">
        <f t="shared" si="18"/>
        <v>a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24</v>
      </c>
      <c r="BB45" s="9">
        <f t="shared" si="7"/>
        <v>78</v>
      </c>
      <c r="BC45" s="10">
        <f t="shared" si="8"/>
        <v>76</v>
      </c>
    </row>
    <row r="46" spans="1:55" ht="15" customHeight="1" x14ac:dyDescent="0.35">
      <c r="A46" s="111">
        <v>820323205099</v>
      </c>
      <c r="B46" s="112" t="s">
        <v>56</v>
      </c>
      <c r="C46" s="11"/>
      <c r="D46" s="46">
        <v>40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>
        <v>1</v>
      </c>
      <c r="V46" s="62">
        <f t="shared" si="18"/>
        <v>1</v>
      </c>
      <c r="W46" s="62">
        <f t="shared" si="18"/>
        <v>1</v>
      </c>
      <c r="X46" s="62">
        <f t="shared" si="18"/>
        <v>1</v>
      </c>
      <c r="Y46" s="62">
        <f t="shared" si="18"/>
        <v>1</v>
      </c>
      <c r="Z46" s="62">
        <f t="shared" si="18"/>
        <v>1</v>
      </c>
      <c r="AA46" s="62">
        <f t="shared" si="18"/>
        <v>1</v>
      </c>
      <c r="AB46" s="63">
        <f t="shared" si="18"/>
        <v>1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48</v>
      </c>
      <c r="BB46" s="9">
        <f t="shared" si="7"/>
        <v>88</v>
      </c>
      <c r="BC46" s="10">
        <f t="shared" si="8"/>
        <v>86</v>
      </c>
    </row>
    <row r="47" spans="1:55" ht="15" customHeight="1" x14ac:dyDescent="0.35">
      <c r="A47" s="111">
        <v>820323205100</v>
      </c>
      <c r="B47" s="112" t="s">
        <v>57</v>
      </c>
      <c r="C47" s="11"/>
      <c r="D47" s="46">
        <v>32</v>
      </c>
      <c r="E47" s="61">
        <v>1</v>
      </c>
      <c r="F47" s="62">
        <f t="shared" si="22"/>
        <v>1</v>
      </c>
      <c r="G47" s="62">
        <f t="shared" si="22"/>
        <v>1</v>
      </c>
      <c r="H47" s="62">
        <f t="shared" si="22"/>
        <v>1</v>
      </c>
      <c r="I47" s="62">
        <f t="shared" si="22"/>
        <v>1</v>
      </c>
      <c r="J47" s="62">
        <f t="shared" si="22"/>
        <v>1</v>
      </c>
      <c r="K47" s="62">
        <f t="shared" si="22"/>
        <v>1</v>
      </c>
      <c r="L47" s="63">
        <f t="shared" si="22"/>
        <v>1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 t="s">
        <v>124</v>
      </c>
      <c r="AT47" s="62" t="str">
        <f t="shared" si="21"/>
        <v>a</v>
      </c>
      <c r="AU47" s="62" t="str">
        <f t="shared" si="21"/>
        <v>a</v>
      </c>
      <c r="AV47" s="62" t="str">
        <f t="shared" si="21"/>
        <v>a</v>
      </c>
      <c r="AW47" s="62" t="str">
        <f t="shared" si="21"/>
        <v>a</v>
      </c>
      <c r="AX47" s="62" t="str">
        <f t="shared" si="21"/>
        <v>a</v>
      </c>
      <c r="AY47" s="62" t="str">
        <f t="shared" si="21"/>
        <v>a</v>
      </c>
      <c r="AZ47" s="63" t="str">
        <f t="shared" si="21"/>
        <v>a</v>
      </c>
      <c r="BA47" s="37">
        <f t="shared" si="16"/>
        <v>40</v>
      </c>
      <c r="BB47" s="9">
        <f t="shared" si="7"/>
        <v>72</v>
      </c>
      <c r="BC47" s="10">
        <f t="shared" si="8"/>
        <v>71</v>
      </c>
    </row>
    <row r="48" spans="1:55" ht="15" customHeight="1" x14ac:dyDescent="0.35">
      <c r="A48" s="111">
        <v>820323205101</v>
      </c>
      <c r="B48" s="112" t="s">
        <v>58</v>
      </c>
      <c r="C48" s="11"/>
      <c r="D48" s="46">
        <v>38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 t="s">
        <v>124</v>
      </c>
      <c r="J48" s="62" t="str">
        <f t="shared" si="22"/>
        <v>a</v>
      </c>
      <c r="K48" s="62" t="str">
        <f t="shared" si="22"/>
        <v>a</v>
      </c>
      <c r="L48" s="63" t="str">
        <f t="shared" si="22"/>
        <v>a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>
        <v>1</v>
      </c>
      <c r="V48" s="62">
        <f t="shared" si="18"/>
        <v>1</v>
      </c>
      <c r="W48" s="62">
        <f t="shared" si="18"/>
        <v>1</v>
      </c>
      <c r="X48" s="62">
        <f t="shared" si="18"/>
        <v>1</v>
      </c>
      <c r="Y48" s="62">
        <f t="shared" si="18"/>
        <v>1</v>
      </c>
      <c r="Z48" s="62">
        <f t="shared" si="18"/>
        <v>1</v>
      </c>
      <c r="AA48" s="62">
        <f t="shared" si="18"/>
        <v>1</v>
      </c>
      <c r="AB48" s="63">
        <f t="shared" si="18"/>
        <v>1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 t="s">
        <v>124</v>
      </c>
      <c r="AT48" s="62" t="str">
        <f t="shared" si="21"/>
        <v>a</v>
      </c>
      <c r="AU48" s="62" t="str">
        <f t="shared" si="21"/>
        <v>a</v>
      </c>
      <c r="AV48" s="62" t="str">
        <f t="shared" si="21"/>
        <v>a</v>
      </c>
      <c r="AW48" s="62" t="str">
        <f t="shared" si="21"/>
        <v>a</v>
      </c>
      <c r="AX48" s="62" t="str">
        <f t="shared" si="21"/>
        <v>a</v>
      </c>
      <c r="AY48" s="62" t="str">
        <f t="shared" si="21"/>
        <v>a</v>
      </c>
      <c r="AZ48" s="63" t="str">
        <f t="shared" si="21"/>
        <v>a</v>
      </c>
      <c r="BA48" s="37">
        <f t="shared" si="16"/>
        <v>36</v>
      </c>
      <c r="BB48" s="9">
        <f t="shared" si="7"/>
        <v>74</v>
      </c>
      <c r="BC48" s="10">
        <f t="shared" si="8"/>
        <v>73</v>
      </c>
    </row>
    <row r="49" spans="1:55" ht="15" customHeight="1" x14ac:dyDescent="0.35">
      <c r="A49" s="111">
        <v>820323205102</v>
      </c>
      <c r="B49" s="112" t="s">
        <v>59</v>
      </c>
      <c r="C49" s="11"/>
      <c r="D49" s="46">
        <v>46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94</v>
      </c>
      <c r="BC49" s="10">
        <f t="shared" si="8"/>
        <v>92</v>
      </c>
    </row>
    <row r="50" spans="1:55" ht="15" customHeight="1" x14ac:dyDescent="0.35">
      <c r="A50" s="111">
        <v>820323205103</v>
      </c>
      <c r="B50" s="112" t="s">
        <v>60</v>
      </c>
      <c r="C50" s="11"/>
      <c r="D50" s="46">
        <v>48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 t="s">
        <v>124</v>
      </c>
      <c r="V50" s="62" t="str">
        <f t="shared" si="18"/>
        <v>a</v>
      </c>
      <c r="W50" s="62" t="str">
        <f t="shared" si="18"/>
        <v>a</v>
      </c>
      <c r="X50" s="62" t="str">
        <f t="shared" si="18"/>
        <v>a</v>
      </c>
      <c r="Y50" s="62" t="str">
        <f t="shared" si="18"/>
        <v>a</v>
      </c>
      <c r="Z50" s="62" t="str">
        <f t="shared" si="18"/>
        <v>a</v>
      </c>
      <c r="AA50" s="62" t="str">
        <f t="shared" si="18"/>
        <v>a</v>
      </c>
      <c r="AB50" s="63" t="str">
        <f t="shared" si="18"/>
        <v>a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40</v>
      </c>
      <c r="BB50" s="9">
        <f t="shared" si="7"/>
        <v>88</v>
      </c>
      <c r="BC50" s="10">
        <f t="shared" si="8"/>
        <v>86</v>
      </c>
    </row>
    <row r="51" spans="1:55" ht="15" customHeight="1" x14ac:dyDescent="0.35">
      <c r="A51" s="111">
        <v>820323205104</v>
      </c>
      <c r="B51" s="112" t="s">
        <v>61</v>
      </c>
      <c r="C51" s="11"/>
      <c r="D51" s="46">
        <v>48</v>
      </c>
      <c r="E51" s="61" t="s">
        <v>124</v>
      </c>
      <c r="F51" s="62" t="str">
        <f t="shared" si="22"/>
        <v>a</v>
      </c>
      <c r="G51" s="62" t="str">
        <f t="shared" si="22"/>
        <v>a</v>
      </c>
      <c r="H51" s="62" t="str">
        <f t="shared" si="22"/>
        <v>a</v>
      </c>
      <c r="I51" s="62" t="str">
        <f t="shared" si="22"/>
        <v>a</v>
      </c>
      <c r="J51" s="62" t="str">
        <f t="shared" si="22"/>
        <v>a</v>
      </c>
      <c r="K51" s="62" t="str">
        <f t="shared" si="22"/>
        <v>a</v>
      </c>
      <c r="L51" s="63" t="str">
        <f t="shared" si="22"/>
        <v>a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 t="s">
        <v>124</v>
      </c>
      <c r="AD51" s="62" t="str">
        <f t="shared" si="19"/>
        <v>a</v>
      </c>
      <c r="AE51" s="62" t="str">
        <f t="shared" si="19"/>
        <v>a</v>
      </c>
      <c r="AF51" s="62" t="str">
        <f t="shared" si="19"/>
        <v>a</v>
      </c>
      <c r="AG51" s="62" t="str">
        <f t="shared" si="19"/>
        <v>a</v>
      </c>
      <c r="AH51" s="62" t="str">
        <f t="shared" si="19"/>
        <v>a</v>
      </c>
      <c r="AI51" s="62" t="str">
        <f t="shared" si="19"/>
        <v>a</v>
      </c>
      <c r="AJ51" s="63" t="str">
        <f t="shared" si="19"/>
        <v>a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32</v>
      </c>
      <c r="BB51" s="9">
        <f t="shared" si="7"/>
        <v>80</v>
      </c>
      <c r="BC51" s="10">
        <f t="shared" si="8"/>
        <v>78</v>
      </c>
    </row>
    <row r="52" spans="1:55" ht="15" customHeight="1" x14ac:dyDescent="0.35">
      <c r="A52" s="111">
        <v>820323205105</v>
      </c>
      <c r="B52" s="112" t="s">
        <v>62</v>
      </c>
      <c r="C52" s="11"/>
      <c r="D52" s="46">
        <v>48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 t="s">
        <v>124</v>
      </c>
      <c r="J52" s="62" t="str">
        <f t="shared" si="22"/>
        <v>a</v>
      </c>
      <c r="K52" s="62" t="str">
        <f t="shared" si="22"/>
        <v>a</v>
      </c>
      <c r="L52" s="63" t="str">
        <f t="shared" si="22"/>
        <v>a</v>
      </c>
      <c r="M52" s="61">
        <v>1</v>
      </c>
      <c r="N52" s="62">
        <f t="shared" si="17"/>
        <v>1</v>
      </c>
      <c r="O52" s="62">
        <f t="shared" si="17"/>
        <v>1</v>
      </c>
      <c r="P52" s="62">
        <f t="shared" si="17"/>
        <v>1</v>
      </c>
      <c r="Q52" s="62">
        <f t="shared" si="17"/>
        <v>1</v>
      </c>
      <c r="R52" s="62">
        <f t="shared" si="17"/>
        <v>1</v>
      </c>
      <c r="S52" s="62">
        <f t="shared" si="17"/>
        <v>1</v>
      </c>
      <c r="T52" s="63">
        <f t="shared" si="17"/>
        <v>1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44</v>
      </c>
      <c r="BB52" s="9">
        <f t="shared" si="7"/>
        <v>92</v>
      </c>
      <c r="BC52" s="10">
        <f t="shared" si="8"/>
        <v>90</v>
      </c>
    </row>
    <row r="53" spans="1:55" ht="15" customHeight="1" x14ac:dyDescent="0.35">
      <c r="A53" s="111">
        <v>820323205106</v>
      </c>
      <c r="B53" s="112" t="s">
        <v>63</v>
      </c>
      <c r="C53" s="11"/>
      <c r="D53" s="46">
        <v>46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 t="s">
        <v>124</v>
      </c>
      <c r="V53" s="62" t="str">
        <f t="shared" si="18"/>
        <v>a</v>
      </c>
      <c r="W53" s="62" t="str">
        <f t="shared" si="18"/>
        <v>a</v>
      </c>
      <c r="X53" s="62" t="str">
        <f t="shared" si="18"/>
        <v>a</v>
      </c>
      <c r="Y53" s="62" t="str">
        <f t="shared" si="18"/>
        <v>a</v>
      </c>
      <c r="Z53" s="62" t="str">
        <f t="shared" si="18"/>
        <v>a</v>
      </c>
      <c r="AA53" s="62" t="str">
        <f t="shared" si="18"/>
        <v>a</v>
      </c>
      <c r="AB53" s="63" t="str">
        <f t="shared" si="18"/>
        <v>a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40</v>
      </c>
      <c r="BB53" s="9">
        <f t="shared" si="7"/>
        <v>86</v>
      </c>
      <c r="BC53" s="10">
        <f t="shared" si="8"/>
        <v>84</v>
      </c>
    </row>
    <row r="54" spans="1:55" ht="15" customHeight="1" x14ac:dyDescent="0.35">
      <c r="A54" s="111">
        <v>820323205107</v>
      </c>
      <c r="B54" s="112" t="s">
        <v>64</v>
      </c>
      <c r="C54" s="12"/>
      <c r="D54" s="46">
        <v>32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>
        <v>1</v>
      </c>
      <c r="V54" s="62">
        <f t="shared" si="18"/>
        <v>1</v>
      </c>
      <c r="W54" s="62">
        <f t="shared" si="18"/>
        <v>1</v>
      </c>
      <c r="X54" s="62">
        <f t="shared" si="18"/>
        <v>1</v>
      </c>
      <c r="Y54" s="62">
        <f t="shared" si="18"/>
        <v>1</v>
      </c>
      <c r="Z54" s="62">
        <f t="shared" si="18"/>
        <v>1</v>
      </c>
      <c r="AA54" s="62">
        <f t="shared" si="18"/>
        <v>1</v>
      </c>
      <c r="AB54" s="63">
        <f t="shared" si="18"/>
        <v>1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 t="s">
        <v>124</v>
      </c>
      <c r="AT54" s="62" t="str">
        <f t="shared" si="21"/>
        <v>a</v>
      </c>
      <c r="AU54" s="62" t="str">
        <f t="shared" si="21"/>
        <v>a</v>
      </c>
      <c r="AV54" s="62" t="str">
        <f t="shared" si="21"/>
        <v>a</v>
      </c>
      <c r="AW54" s="62" t="str">
        <f t="shared" si="21"/>
        <v>a</v>
      </c>
      <c r="AX54" s="62" t="str">
        <f t="shared" si="21"/>
        <v>a</v>
      </c>
      <c r="AY54" s="62" t="str">
        <f t="shared" si="21"/>
        <v>a</v>
      </c>
      <c r="AZ54" s="63" t="str">
        <f t="shared" si="21"/>
        <v>a</v>
      </c>
      <c r="BA54" s="37">
        <f t="shared" si="16"/>
        <v>40</v>
      </c>
      <c r="BB54" s="9">
        <f t="shared" si="7"/>
        <v>72</v>
      </c>
      <c r="BC54" s="10">
        <f t="shared" si="8"/>
        <v>71</v>
      </c>
    </row>
    <row r="55" spans="1:55" ht="15" customHeight="1" x14ac:dyDescent="0.35">
      <c r="A55" s="111">
        <v>820323205108</v>
      </c>
      <c r="B55" s="112" t="s">
        <v>65</v>
      </c>
      <c r="C55" s="11"/>
      <c r="D55" s="46">
        <v>54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>
        <v>1</v>
      </c>
      <c r="V55" s="62">
        <f t="shared" si="18"/>
        <v>1</v>
      </c>
      <c r="W55" s="62">
        <f t="shared" si="18"/>
        <v>1</v>
      </c>
      <c r="X55" s="62">
        <f t="shared" si="18"/>
        <v>1</v>
      </c>
      <c r="Y55" s="62">
        <f t="shared" si="18"/>
        <v>1</v>
      </c>
      <c r="Z55" s="62">
        <f t="shared" si="18"/>
        <v>1</v>
      </c>
      <c r="AA55" s="62">
        <f t="shared" si="18"/>
        <v>1</v>
      </c>
      <c r="AB55" s="63">
        <f t="shared" si="18"/>
        <v>1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48</v>
      </c>
      <c r="BB55" s="9">
        <f t="shared" si="7"/>
        <v>102</v>
      </c>
      <c r="BC55" s="10">
        <f t="shared" si="8"/>
        <v>100</v>
      </c>
    </row>
    <row r="56" spans="1:55" ht="15" customHeight="1" x14ac:dyDescent="0.35">
      <c r="A56" s="111">
        <v>820323205109</v>
      </c>
      <c r="B56" s="112" t="s">
        <v>66</v>
      </c>
      <c r="C56" s="11"/>
      <c r="D56" s="46">
        <v>46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94</v>
      </c>
      <c r="BC56" s="10">
        <f t="shared" si="8"/>
        <v>92</v>
      </c>
    </row>
    <row r="57" spans="1:55" ht="15" customHeight="1" x14ac:dyDescent="0.35">
      <c r="A57" s="111">
        <v>820323205110</v>
      </c>
      <c r="B57" s="112" t="s">
        <v>67</v>
      </c>
      <c r="C57" s="13"/>
      <c r="D57" s="46">
        <v>46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94</v>
      </c>
      <c r="BC57" s="10">
        <f t="shared" si="8"/>
        <v>92</v>
      </c>
    </row>
    <row r="58" spans="1:55" ht="15" customHeight="1" x14ac:dyDescent="0.35">
      <c r="A58" s="111">
        <v>820323205111</v>
      </c>
      <c r="B58" s="112" t="s">
        <v>68</v>
      </c>
      <c r="C58" s="13"/>
      <c r="D58" s="46">
        <v>46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94</v>
      </c>
      <c r="BC58" s="10">
        <f t="shared" si="8"/>
        <v>92</v>
      </c>
    </row>
    <row r="59" spans="1:55" ht="15" customHeight="1" x14ac:dyDescent="0.35">
      <c r="A59" s="111">
        <v>820323205112</v>
      </c>
      <c r="B59" s="112" t="s">
        <v>69</v>
      </c>
      <c r="C59" s="11"/>
      <c r="D59" s="46">
        <v>46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94</v>
      </c>
      <c r="BC59" s="10">
        <f t="shared" si="8"/>
        <v>92</v>
      </c>
    </row>
    <row r="60" spans="1:55" ht="15" customHeight="1" x14ac:dyDescent="0.35">
      <c r="A60" s="111">
        <v>820323205113</v>
      </c>
      <c r="B60" s="112" t="s">
        <v>70</v>
      </c>
      <c r="C60" s="11"/>
      <c r="D60" s="46">
        <v>38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 t="s">
        <v>124</v>
      </c>
      <c r="R60" s="62" t="str">
        <f t="shared" si="23"/>
        <v>a</v>
      </c>
      <c r="S60" s="62" t="str">
        <f t="shared" si="23"/>
        <v>a</v>
      </c>
      <c r="T60" s="63" t="str">
        <f t="shared" si="23"/>
        <v>a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 t="s">
        <v>124</v>
      </c>
      <c r="AT60" s="62" t="str">
        <f t="shared" si="27"/>
        <v>a</v>
      </c>
      <c r="AU60" s="62" t="str">
        <f t="shared" si="27"/>
        <v>a</v>
      </c>
      <c r="AV60" s="62" t="str">
        <f t="shared" si="27"/>
        <v>a</v>
      </c>
      <c r="AW60" s="62" t="str">
        <f t="shared" si="27"/>
        <v>a</v>
      </c>
      <c r="AX60" s="62" t="str">
        <f t="shared" si="27"/>
        <v>a</v>
      </c>
      <c r="AY60" s="62" t="str">
        <f t="shared" si="27"/>
        <v>a</v>
      </c>
      <c r="AZ60" s="63" t="str">
        <f t="shared" si="27"/>
        <v>a</v>
      </c>
      <c r="BA60" s="37">
        <f t="shared" si="16"/>
        <v>36</v>
      </c>
      <c r="BB60" s="9">
        <f t="shared" si="7"/>
        <v>74</v>
      </c>
      <c r="BC60" s="10">
        <f t="shared" si="8"/>
        <v>73</v>
      </c>
    </row>
    <row r="61" spans="1:55" ht="15" customHeight="1" x14ac:dyDescent="0.35">
      <c r="A61" s="111">
        <v>820323205114</v>
      </c>
      <c r="B61" s="112" t="s">
        <v>71</v>
      </c>
      <c r="C61" s="11"/>
      <c r="D61" s="46">
        <v>46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94</v>
      </c>
      <c r="BC61" s="10">
        <f t="shared" si="8"/>
        <v>92</v>
      </c>
    </row>
    <row r="62" spans="1:55" ht="15" customHeight="1" x14ac:dyDescent="0.35">
      <c r="A62" s="113">
        <v>820323205115</v>
      </c>
      <c r="B62" s="114" t="s">
        <v>72</v>
      </c>
      <c r="C62" s="33"/>
      <c r="D62" s="46">
        <v>32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 t="s">
        <v>124</v>
      </c>
      <c r="R62" s="62" t="str">
        <f t="shared" si="23"/>
        <v>a</v>
      </c>
      <c r="S62" s="62" t="str">
        <f t="shared" si="23"/>
        <v>a</v>
      </c>
      <c r="T62" s="63" t="str">
        <f t="shared" si="23"/>
        <v>a</v>
      </c>
      <c r="U62" s="61">
        <v>1</v>
      </c>
      <c r="V62" s="62">
        <f t="shared" si="24"/>
        <v>1</v>
      </c>
      <c r="W62" s="62">
        <f t="shared" si="24"/>
        <v>1</v>
      </c>
      <c r="X62" s="62">
        <f t="shared" si="24"/>
        <v>1</v>
      </c>
      <c r="Y62" s="62">
        <f t="shared" si="24"/>
        <v>1</v>
      </c>
      <c r="Z62" s="62">
        <f t="shared" si="24"/>
        <v>1</v>
      </c>
      <c r="AA62" s="62">
        <f t="shared" si="24"/>
        <v>1</v>
      </c>
      <c r="AB62" s="63">
        <f t="shared" si="24"/>
        <v>1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 t="s">
        <v>124</v>
      </c>
      <c r="AL62" s="62" t="str">
        <f t="shared" si="26"/>
        <v>a</v>
      </c>
      <c r="AM62" s="62" t="str">
        <f t="shared" si="26"/>
        <v>a</v>
      </c>
      <c r="AN62" s="62" t="str">
        <f t="shared" si="26"/>
        <v>a</v>
      </c>
      <c r="AO62" s="62" t="str">
        <f t="shared" si="26"/>
        <v>a</v>
      </c>
      <c r="AP62" s="62" t="str">
        <f t="shared" si="26"/>
        <v>a</v>
      </c>
      <c r="AQ62" s="62" t="str">
        <f t="shared" si="26"/>
        <v>a</v>
      </c>
      <c r="AR62" s="63" t="str">
        <f t="shared" si="26"/>
        <v>a</v>
      </c>
      <c r="AS62" s="61" t="s">
        <v>124</v>
      </c>
      <c r="AT62" s="62" t="str">
        <f t="shared" si="27"/>
        <v>a</v>
      </c>
      <c r="AU62" s="62" t="str">
        <f t="shared" si="27"/>
        <v>a</v>
      </c>
      <c r="AV62" s="62" t="str">
        <f t="shared" si="27"/>
        <v>a</v>
      </c>
      <c r="AW62" s="62" t="str">
        <f t="shared" si="27"/>
        <v>a</v>
      </c>
      <c r="AX62" s="62" t="str">
        <f t="shared" si="27"/>
        <v>a</v>
      </c>
      <c r="AY62" s="62" t="str">
        <f t="shared" si="27"/>
        <v>a</v>
      </c>
      <c r="AZ62" s="63" t="str">
        <f t="shared" si="27"/>
        <v>a</v>
      </c>
      <c r="BA62" s="42">
        <f t="shared" si="16"/>
        <v>28</v>
      </c>
      <c r="BB62" s="9">
        <f t="shared" si="7"/>
        <v>60</v>
      </c>
      <c r="BC62" s="10">
        <f t="shared" si="8"/>
        <v>59</v>
      </c>
    </row>
    <row r="63" spans="1:55" ht="15" customHeight="1" x14ac:dyDescent="0.35">
      <c r="A63" s="113">
        <v>820323205116</v>
      </c>
      <c r="B63" s="114" t="s">
        <v>73</v>
      </c>
      <c r="C63" s="35"/>
      <c r="D63" s="46">
        <v>28</v>
      </c>
      <c r="E63" s="61" t="s">
        <v>124</v>
      </c>
      <c r="F63" s="62" t="str">
        <f t="shared" si="28"/>
        <v>a</v>
      </c>
      <c r="G63" s="62" t="str">
        <f t="shared" si="28"/>
        <v>a</v>
      </c>
      <c r="H63" s="62" t="str">
        <f t="shared" si="28"/>
        <v>a</v>
      </c>
      <c r="I63" s="62" t="str">
        <f t="shared" si="28"/>
        <v>a</v>
      </c>
      <c r="J63" s="62" t="str">
        <f t="shared" si="28"/>
        <v>a</v>
      </c>
      <c r="K63" s="62" t="str">
        <f t="shared" si="28"/>
        <v>a</v>
      </c>
      <c r="L63" s="63" t="str">
        <f t="shared" si="28"/>
        <v>a</v>
      </c>
      <c r="M63" s="61" t="s">
        <v>124</v>
      </c>
      <c r="N63" s="62"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 t="s">
        <v>124</v>
      </c>
      <c r="AD63" s="62" t="str">
        <f t="shared" si="25"/>
        <v>a</v>
      </c>
      <c r="AE63" s="62" t="str">
        <f t="shared" si="25"/>
        <v>a</v>
      </c>
      <c r="AF63" s="62" t="str">
        <f t="shared" si="25"/>
        <v>a</v>
      </c>
      <c r="AG63" s="62" t="str">
        <f t="shared" si="25"/>
        <v>a</v>
      </c>
      <c r="AH63" s="62" t="str">
        <f t="shared" si="25"/>
        <v>a</v>
      </c>
      <c r="AI63" s="62" t="str">
        <f t="shared" si="25"/>
        <v>a</v>
      </c>
      <c r="AJ63" s="63" t="str">
        <f t="shared" si="25"/>
        <v>a</v>
      </c>
      <c r="AK63" s="61" t="s">
        <v>124</v>
      </c>
      <c r="AL63" s="62" t="str">
        <f t="shared" si="26"/>
        <v>a</v>
      </c>
      <c r="AM63" s="62" t="str">
        <f t="shared" si="26"/>
        <v>a</v>
      </c>
      <c r="AN63" s="62" t="str">
        <f t="shared" si="26"/>
        <v>a</v>
      </c>
      <c r="AO63" s="62" t="str">
        <f t="shared" si="26"/>
        <v>a</v>
      </c>
      <c r="AP63" s="62" t="str">
        <f t="shared" si="26"/>
        <v>a</v>
      </c>
      <c r="AQ63" s="62" t="str">
        <f t="shared" si="26"/>
        <v>a</v>
      </c>
      <c r="AR63" s="63" t="str">
        <f t="shared" si="26"/>
        <v>a</v>
      </c>
      <c r="AS63" s="61" t="s">
        <v>124</v>
      </c>
      <c r="AT63" s="62" t="str">
        <f t="shared" si="27"/>
        <v>a</v>
      </c>
      <c r="AU63" s="62" t="str">
        <f t="shared" si="27"/>
        <v>a</v>
      </c>
      <c r="AV63" s="62" t="str">
        <f t="shared" si="27"/>
        <v>a</v>
      </c>
      <c r="AW63" s="62" t="str">
        <f t="shared" si="27"/>
        <v>a</v>
      </c>
      <c r="AX63" s="62" t="str">
        <f t="shared" si="27"/>
        <v>a</v>
      </c>
      <c r="AY63" s="62" t="str">
        <f t="shared" si="27"/>
        <v>a</v>
      </c>
      <c r="AZ63" s="63" t="str">
        <f t="shared" si="27"/>
        <v>a</v>
      </c>
      <c r="BA63" s="42">
        <f t="shared" si="16"/>
        <v>15</v>
      </c>
      <c r="BB63" s="9">
        <f t="shared" si="7"/>
        <v>43</v>
      </c>
      <c r="BC63" s="10">
        <f t="shared" si="8"/>
        <v>42</v>
      </c>
    </row>
    <row r="64" spans="1:55" ht="15" customHeight="1" x14ac:dyDescent="0.35">
      <c r="A64" s="113">
        <v>820323205117</v>
      </c>
      <c r="B64" s="114" t="s">
        <v>74</v>
      </c>
      <c r="C64" s="35"/>
      <c r="D64" s="46">
        <v>36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>
        <v>1</v>
      </c>
      <c r="N64" s="62">
        <f t="shared" si="23"/>
        <v>1</v>
      </c>
      <c r="O64" s="62">
        <f t="shared" si="23"/>
        <v>1</v>
      </c>
      <c r="P64" s="62">
        <f t="shared" si="23"/>
        <v>1</v>
      </c>
      <c r="Q64" s="62">
        <f t="shared" si="23"/>
        <v>1</v>
      </c>
      <c r="R64" s="62">
        <f t="shared" si="23"/>
        <v>1</v>
      </c>
      <c r="S64" s="62">
        <f t="shared" si="23"/>
        <v>1</v>
      </c>
      <c r="T64" s="63">
        <f t="shared" si="23"/>
        <v>1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 t="s">
        <v>124</v>
      </c>
      <c r="AT64" s="62" t="str">
        <f t="shared" si="27"/>
        <v>a</v>
      </c>
      <c r="AU64" s="62" t="str">
        <f t="shared" si="27"/>
        <v>a</v>
      </c>
      <c r="AV64" s="62" t="str">
        <f t="shared" si="27"/>
        <v>a</v>
      </c>
      <c r="AW64" s="62" t="str">
        <f t="shared" si="27"/>
        <v>a</v>
      </c>
      <c r="AX64" s="62" t="str">
        <f t="shared" si="27"/>
        <v>a</v>
      </c>
      <c r="AY64" s="62" t="str">
        <f t="shared" si="27"/>
        <v>a</v>
      </c>
      <c r="AZ64" s="63" t="str">
        <f t="shared" si="27"/>
        <v>a</v>
      </c>
      <c r="BA64" s="42">
        <f t="shared" si="16"/>
        <v>40</v>
      </c>
      <c r="BB64" s="9">
        <f t="shared" si="7"/>
        <v>76</v>
      </c>
      <c r="BC64" s="10">
        <f t="shared" si="8"/>
        <v>75</v>
      </c>
    </row>
    <row r="65" spans="1:55" ht="15" customHeight="1" x14ac:dyDescent="0.35">
      <c r="A65" s="111">
        <v>820323205118</v>
      </c>
      <c r="B65" s="112" t="s">
        <v>75</v>
      </c>
      <c r="C65" s="14"/>
      <c r="D65" s="46">
        <v>32</v>
      </c>
      <c r="E65" s="61">
        <v>1</v>
      </c>
      <c r="F65" s="62">
        <f t="shared" si="28"/>
        <v>1</v>
      </c>
      <c r="G65" s="62">
        <f t="shared" si="28"/>
        <v>1</v>
      </c>
      <c r="H65" s="62">
        <f t="shared" si="28"/>
        <v>1</v>
      </c>
      <c r="I65" s="62">
        <f t="shared" si="28"/>
        <v>1</v>
      </c>
      <c r="J65" s="62">
        <f t="shared" si="28"/>
        <v>1</v>
      </c>
      <c r="K65" s="62">
        <f t="shared" si="28"/>
        <v>1</v>
      </c>
      <c r="L65" s="63">
        <f t="shared" si="28"/>
        <v>1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>
        <v>1</v>
      </c>
      <c r="AT65" s="62">
        <f t="shared" si="27"/>
        <v>1</v>
      </c>
      <c r="AU65" s="62">
        <f t="shared" si="27"/>
        <v>1</v>
      </c>
      <c r="AV65" s="62">
        <f t="shared" si="27"/>
        <v>1</v>
      </c>
      <c r="AW65" s="62">
        <f t="shared" si="27"/>
        <v>1</v>
      </c>
      <c r="AX65" s="62">
        <f t="shared" si="27"/>
        <v>1</v>
      </c>
      <c r="AY65" s="62">
        <f t="shared" si="27"/>
        <v>1</v>
      </c>
      <c r="AZ65" s="63">
        <f t="shared" si="27"/>
        <v>1</v>
      </c>
      <c r="BA65" s="37">
        <f t="shared" si="16"/>
        <v>48</v>
      </c>
      <c r="BB65" s="9">
        <f t="shared" si="7"/>
        <v>80</v>
      </c>
      <c r="BC65" s="10">
        <f t="shared" si="8"/>
        <v>78</v>
      </c>
    </row>
    <row r="66" spans="1:55" ht="15" customHeight="1" x14ac:dyDescent="0.35">
      <c r="A66" s="111">
        <v>820323205119</v>
      </c>
      <c r="B66" s="112" t="s">
        <v>76</v>
      </c>
      <c r="C66" s="14"/>
      <c r="D66" s="46">
        <v>54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 t="s">
        <v>124</v>
      </c>
      <c r="AT66" s="62" t="str">
        <f t="shared" si="27"/>
        <v>a</v>
      </c>
      <c r="AU66" s="62" t="str">
        <f t="shared" si="27"/>
        <v>a</v>
      </c>
      <c r="AV66" s="62" t="str">
        <f t="shared" si="27"/>
        <v>a</v>
      </c>
      <c r="AW66" s="62" t="str">
        <f t="shared" si="27"/>
        <v>a</v>
      </c>
      <c r="AX66" s="62" t="str">
        <f t="shared" si="27"/>
        <v>a</v>
      </c>
      <c r="AY66" s="62" t="str">
        <f t="shared" si="27"/>
        <v>a</v>
      </c>
      <c r="AZ66" s="63" t="str">
        <f t="shared" si="27"/>
        <v>a</v>
      </c>
      <c r="BA66" s="37">
        <f t="shared" si="16"/>
        <v>40</v>
      </c>
      <c r="BB66" s="9">
        <f t="shared" si="7"/>
        <v>94</v>
      </c>
      <c r="BC66" s="10">
        <f t="shared" si="8"/>
        <v>92</v>
      </c>
    </row>
    <row r="67" spans="1:55" ht="15" customHeight="1" x14ac:dyDescent="0.35">
      <c r="A67" s="113">
        <v>820323205120</v>
      </c>
      <c r="B67" s="114" t="s">
        <v>77</v>
      </c>
      <c r="C67" s="35"/>
      <c r="D67" s="46">
        <v>38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>
        <v>1</v>
      </c>
      <c r="V67" s="62">
        <f t="shared" si="24"/>
        <v>1</v>
      </c>
      <c r="W67" s="62">
        <f t="shared" si="24"/>
        <v>1</v>
      </c>
      <c r="X67" s="62">
        <f t="shared" si="24"/>
        <v>1</v>
      </c>
      <c r="Y67" s="62">
        <f t="shared" si="24"/>
        <v>1</v>
      </c>
      <c r="Z67" s="62">
        <f t="shared" si="24"/>
        <v>1</v>
      </c>
      <c r="AA67" s="62">
        <f t="shared" si="24"/>
        <v>1</v>
      </c>
      <c r="AB67" s="63">
        <f t="shared" si="24"/>
        <v>1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48</v>
      </c>
      <c r="BB67" s="9">
        <f t="shared" si="7"/>
        <v>86</v>
      </c>
      <c r="BC67" s="10">
        <f t="shared" si="8"/>
        <v>84</v>
      </c>
    </row>
    <row r="68" spans="1:55" ht="15" customHeight="1" x14ac:dyDescent="0.35">
      <c r="A68" s="113">
        <v>820323205301</v>
      </c>
      <c r="B68" s="112" t="s">
        <v>78</v>
      </c>
      <c r="C68" s="107"/>
      <c r="D68" s="46">
        <v>46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 t="s">
        <v>124</v>
      </c>
      <c r="V68" s="62" t="str">
        <f t="shared" si="24"/>
        <v>a</v>
      </c>
      <c r="W68" s="62" t="str">
        <f t="shared" si="24"/>
        <v>a</v>
      </c>
      <c r="X68" s="62" t="str">
        <f t="shared" si="24"/>
        <v>a</v>
      </c>
      <c r="Y68" s="62" t="str">
        <f t="shared" si="24"/>
        <v>a</v>
      </c>
      <c r="Z68" s="62" t="str">
        <f t="shared" si="24"/>
        <v>a</v>
      </c>
      <c r="AA68" s="62" t="str">
        <f t="shared" si="24"/>
        <v>a</v>
      </c>
      <c r="AB68" s="63" t="str">
        <f t="shared" si="24"/>
        <v>a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>
        <v>1</v>
      </c>
      <c r="AT68" s="62">
        <f t="shared" si="27"/>
        <v>1</v>
      </c>
      <c r="AU68" s="62">
        <f t="shared" si="27"/>
        <v>1</v>
      </c>
      <c r="AV68" s="62">
        <f t="shared" si="27"/>
        <v>1</v>
      </c>
      <c r="AW68" s="62">
        <f t="shared" si="27"/>
        <v>1</v>
      </c>
      <c r="AX68" s="62">
        <f t="shared" si="27"/>
        <v>1</v>
      </c>
      <c r="AY68" s="62">
        <f t="shared" si="27"/>
        <v>1</v>
      </c>
      <c r="AZ68" s="63">
        <f t="shared" si="27"/>
        <v>1</v>
      </c>
      <c r="BA68" s="37">
        <f t="shared" si="16"/>
        <v>40</v>
      </c>
      <c r="BB68" s="9">
        <f t="shared" si="7"/>
        <v>86</v>
      </c>
      <c r="BC68" s="10">
        <f t="shared" si="8"/>
        <v>84</v>
      </c>
    </row>
    <row r="69" spans="1:55" ht="15" customHeight="1" x14ac:dyDescent="0.35">
      <c r="A69" s="113">
        <v>820323205302</v>
      </c>
      <c r="B69" s="112" t="s">
        <v>79</v>
      </c>
      <c r="C69" s="107"/>
      <c r="D69" s="46">
        <v>52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 t="s">
        <v>124</v>
      </c>
      <c r="N69" s="62"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 t="s">
        <v>124</v>
      </c>
      <c r="AL69" s="62" t="str">
        <f t="shared" si="26"/>
        <v>a</v>
      </c>
      <c r="AM69" s="62" t="str">
        <f t="shared" si="26"/>
        <v>a</v>
      </c>
      <c r="AN69" s="62" t="str">
        <f t="shared" si="26"/>
        <v>a</v>
      </c>
      <c r="AO69" s="62" t="str">
        <f t="shared" si="26"/>
        <v>a</v>
      </c>
      <c r="AP69" s="62" t="str">
        <f t="shared" si="26"/>
        <v>a</v>
      </c>
      <c r="AQ69" s="62" t="str">
        <f t="shared" si="26"/>
        <v>a</v>
      </c>
      <c r="AR69" s="63" t="str">
        <f t="shared" si="26"/>
        <v>a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39</v>
      </c>
      <c r="BB69" s="9">
        <f t="shared" si="7"/>
        <v>91</v>
      </c>
      <c r="BC69" s="10">
        <f t="shared" si="8"/>
        <v>89</v>
      </c>
    </row>
    <row r="70" spans="1:55" ht="15" customHeight="1" x14ac:dyDescent="0.35">
      <c r="A70" s="113">
        <v>820323205303</v>
      </c>
      <c r="B70" s="112" t="s">
        <v>80</v>
      </c>
      <c r="C70" s="107"/>
      <c r="D70" s="46">
        <v>30</v>
      </c>
      <c r="E70" s="61" t="s">
        <v>124</v>
      </c>
      <c r="F70" s="62" t="str">
        <f t="shared" si="28"/>
        <v>a</v>
      </c>
      <c r="G70" s="62" t="str">
        <f t="shared" si="28"/>
        <v>a</v>
      </c>
      <c r="H70" s="62" t="str">
        <f t="shared" si="28"/>
        <v>a</v>
      </c>
      <c r="I70" s="62" t="str">
        <f t="shared" si="28"/>
        <v>a</v>
      </c>
      <c r="J70" s="62" t="str">
        <f t="shared" si="28"/>
        <v>a</v>
      </c>
      <c r="K70" s="62" t="str">
        <f t="shared" si="28"/>
        <v>a</v>
      </c>
      <c r="L70" s="63" t="str">
        <f t="shared" si="28"/>
        <v>a</v>
      </c>
      <c r="M70" s="61" t="s">
        <v>124</v>
      </c>
      <c r="N70" s="62" t="str">
        <f t="shared" si="23"/>
        <v>a</v>
      </c>
      <c r="O70" s="62" t="str">
        <f t="shared" si="23"/>
        <v>a</v>
      </c>
      <c r="P70" s="62" t="str">
        <f t="shared" si="23"/>
        <v>a</v>
      </c>
      <c r="Q70" s="62" t="str">
        <f t="shared" si="23"/>
        <v>a</v>
      </c>
      <c r="R70" s="62" t="str">
        <f t="shared" si="23"/>
        <v>a</v>
      </c>
      <c r="S70" s="62" t="str">
        <f t="shared" si="23"/>
        <v>a</v>
      </c>
      <c r="T70" s="63" t="str">
        <f t="shared" si="23"/>
        <v>a</v>
      </c>
      <c r="U70" s="61">
        <v>1</v>
      </c>
      <c r="V70" s="62">
        <f t="shared" si="24"/>
        <v>1</v>
      </c>
      <c r="W70" s="62">
        <f t="shared" si="24"/>
        <v>1</v>
      </c>
      <c r="X70" s="62">
        <f t="shared" si="24"/>
        <v>1</v>
      </c>
      <c r="Y70" s="62">
        <f t="shared" si="24"/>
        <v>1</v>
      </c>
      <c r="Z70" s="62">
        <f t="shared" si="24"/>
        <v>1</v>
      </c>
      <c r="AA70" s="62">
        <f t="shared" si="24"/>
        <v>1</v>
      </c>
      <c r="AB70" s="63">
        <f t="shared" si="24"/>
        <v>1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32</v>
      </c>
      <c r="BB70" s="9">
        <f t="shared" si="7"/>
        <v>62</v>
      </c>
      <c r="BC70" s="10">
        <f t="shared" si="8"/>
        <v>61</v>
      </c>
    </row>
    <row r="71" spans="1:55" ht="15" customHeight="1" x14ac:dyDescent="0.35">
      <c r="A71" s="113">
        <v>820323205305</v>
      </c>
      <c r="B71" s="112" t="s">
        <v>81</v>
      </c>
      <c r="C71" s="108"/>
      <c r="D71" s="46">
        <v>46</v>
      </c>
      <c r="E71" s="61">
        <v>1</v>
      </c>
      <c r="F71" s="62">
        <f t="shared" si="28"/>
        <v>1</v>
      </c>
      <c r="G71" s="62">
        <f t="shared" si="28"/>
        <v>1</v>
      </c>
      <c r="H71" s="62">
        <f t="shared" si="28"/>
        <v>1</v>
      </c>
      <c r="I71" s="62">
        <f t="shared" si="28"/>
        <v>1</v>
      </c>
      <c r="J71" s="62">
        <f t="shared" si="28"/>
        <v>1</v>
      </c>
      <c r="K71" s="62">
        <f t="shared" si="28"/>
        <v>1</v>
      </c>
      <c r="L71" s="63">
        <f t="shared" si="28"/>
        <v>1</v>
      </c>
      <c r="M71" s="61" t="s">
        <v>124</v>
      </c>
      <c r="N71" s="62" t="str">
        <f t="shared" si="23"/>
        <v>a</v>
      </c>
      <c r="O71" s="62" t="str">
        <f t="shared" si="23"/>
        <v>a</v>
      </c>
      <c r="P71" s="62" t="str">
        <f t="shared" si="23"/>
        <v>a</v>
      </c>
      <c r="Q71" s="62" t="str">
        <f t="shared" si="23"/>
        <v>a</v>
      </c>
      <c r="R71" s="62" t="str">
        <f t="shared" si="23"/>
        <v>a</v>
      </c>
      <c r="S71" s="62" t="str">
        <f t="shared" si="23"/>
        <v>a</v>
      </c>
      <c r="T71" s="63" t="str">
        <f t="shared" si="23"/>
        <v>a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 t="s">
        <v>124</v>
      </c>
      <c r="AL71" s="62" t="str">
        <f t="shared" si="26"/>
        <v>a</v>
      </c>
      <c r="AM71" s="62" t="str">
        <f t="shared" si="26"/>
        <v>a</v>
      </c>
      <c r="AN71" s="62" t="str">
        <f t="shared" si="26"/>
        <v>a</v>
      </c>
      <c r="AO71" s="62" t="str">
        <f t="shared" si="26"/>
        <v>a</v>
      </c>
      <c r="AP71" s="62" t="str">
        <f t="shared" si="26"/>
        <v>a</v>
      </c>
      <c r="AQ71" s="62" t="str">
        <f t="shared" si="26"/>
        <v>a</v>
      </c>
      <c r="AR71" s="63" t="str">
        <f t="shared" si="26"/>
        <v>a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32</v>
      </c>
      <c r="BB71" s="9">
        <f t="shared" si="7"/>
        <v>78</v>
      </c>
      <c r="BC71" s="10">
        <f t="shared" si="8"/>
        <v>76</v>
      </c>
    </row>
    <row r="72" spans="1:55" ht="15" customHeight="1" x14ac:dyDescent="0.35">
      <c r="A72" s="113">
        <v>820323205501</v>
      </c>
      <c r="B72" s="112" t="s">
        <v>82</v>
      </c>
      <c r="C72" s="107"/>
      <c r="D72" s="46">
        <v>40</v>
      </c>
      <c r="E72" s="61">
        <v>1</v>
      </c>
      <c r="F72" s="62">
        <f t="shared" si="28"/>
        <v>1</v>
      </c>
      <c r="G72" s="62">
        <f t="shared" si="28"/>
        <v>1</v>
      </c>
      <c r="H72" s="62">
        <f t="shared" si="28"/>
        <v>1</v>
      </c>
      <c r="I72" s="62">
        <f t="shared" si="28"/>
        <v>1</v>
      </c>
      <c r="J72" s="62">
        <f t="shared" si="28"/>
        <v>1</v>
      </c>
      <c r="K72" s="62">
        <f t="shared" si="28"/>
        <v>1</v>
      </c>
      <c r="L72" s="63">
        <f t="shared" si="28"/>
        <v>1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 t="s">
        <v>124</v>
      </c>
      <c r="AT72" s="62" t="str">
        <f t="shared" si="27"/>
        <v>a</v>
      </c>
      <c r="AU72" s="62" t="str">
        <f t="shared" si="27"/>
        <v>a</v>
      </c>
      <c r="AV72" s="62" t="str">
        <f t="shared" si="27"/>
        <v>a</v>
      </c>
      <c r="AW72" s="62" t="str">
        <f t="shared" si="27"/>
        <v>a</v>
      </c>
      <c r="AX72" s="62" t="str">
        <f t="shared" si="27"/>
        <v>a</v>
      </c>
      <c r="AY72" s="62" t="str">
        <f t="shared" si="27"/>
        <v>a</v>
      </c>
      <c r="AZ72" s="63" t="str">
        <f t="shared" si="27"/>
        <v>a</v>
      </c>
      <c r="BA72" s="37">
        <f t="shared" si="16"/>
        <v>40</v>
      </c>
      <c r="BB72" s="9">
        <f t="shared" si="7"/>
        <v>80</v>
      </c>
      <c r="BC72" s="10">
        <f t="shared" si="8"/>
        <v>78</v>
      </c>
    </row>
    <row r="73" spans="1:55" ht="15" customHeight="1" thickBot="1" x14ac:dyDescent="0.4">
      <c r="A73" s="113">
        <v>820323205701</v>
      </c>
      <c r="B73" s="112" t="s">
        <v>87</v>
      </c>
      <c r="C73" s="107"/>
      <c r="D73" s="46">
        <v>54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102</v>
      </c>
      <c r="BC73" s="10">
        <f t="shared" si="8"/>
        <v>100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11</v>
      </c>
      <c r="F74" s="50">
        <f t="shared" ref="F74:AZ74" si="29">COUNTIF(F10:F73,"a")</f>
        <v>11</v>
      </c>
      <c r="G74" s="50">
        <f t="shared" si="29"/>
        <v>11</v>
      </c>
      <c r="H74" s="50">
        <f t="shared" si="29"/>
        <v>11</v>
      </c>
      <c r="I74" s="50">
        <f t="shared" si="29"/>
        <v>16</v>
      </c>
      <c r="J74" s="50">
        <f t="shared" si="29"/>
        <v>16</v>
      </c>
      <c r="K74" s="50">
        <f t="shared" si="29"/>
        <v>16</v>
      </c>
      <c r="L74" s="50">
        <f t="shared" si="29"/>
        <v>16</v>
      </c>
      <c r="M74" s="50">
        <f t="shared" si="29"/>
        <v>10</v>
      </c>
      <c r="N74" s="50">
        <f t="shared" si="29"/>
        <v>4</v>
      </c>
      <c r="O74" s="50">
        <f t="shared" si="29"/>
        <v>7</v>
      </c>
      <c r="P74" s="50">
        <f t="shared" si="29"/>
        <v>4</v>
      </c>
      <c r="Q74" s="50">
        <f t="shared" si="29"/>
        <v>6</v>
      </c>
      <c r="R74" s="50">
        <f t="shared" si="29"/>
        <v>6</v>
      </c>
      <c r="S74" s="50">
        <f t="shared" si="29"/>
        <v>6</v>
      </c>
      <c r="T74" s="50">
        <f t="shared" si="29"/>
        <v>6</v>
      </c>
      <c r="U74" s="50">
        <f t="shared" si="29"/>
        <v>7</v>
      </c>
      <c r="V74" s="50">
        <f t="shared" si="29"/>
        <v>7</v>
      </c>
      <c r="W74" s="50">
        <f t="shared" si="29"/>
        <v>7</v>
      </c>
      <c r="X74" s="50">
        <f t="shared" si="29"/>
        <v>7</v>
      </c>
      <c r="Y74" s="50">
        <f t="shared" si="29"/>
        <v>7</v>
      </c>
      <c r="Z74" s="50">
        <f t="shared" si="29"/>
        <v>7</v>
      </c>
      <c r="AA74" s="50">
        <f t="shared" si="29"/>
        <v>7</v>
      </c>
      <c r="AB74" s="50">
        <f t="shared" si="29"/>
        <v>7</v>
      </c>
      <c r="AC74" s="50">
        <f t="shared" si="29"/>
        <v>2</v>
      </c>
      <c r="AD74" s="50">
        <f t="shared" si="29"/>
        <v>2</v>
      </c>
      <c r="AE74" s="50">
        <f t="shared" si="29"/>
        <v>2</v>
      </c>
      <c r="AF74" s="50">
        <f t="shared" si="29"/>
        <v>2</v>
      </c>
      <c r="AG74" s="50">
        <f t="shared" si="29"/>
        <v>2</v>
      </c>
      <c r="AH74" s="50">
        <f t="shared" si="29"/>
        <v>2</v>
      </c>
      <c r="AI74" s="50">
        <f t="shared" si="29"/>
        <v>2</v>
      </c>
      <c r="AJ74" s="50">
        <f t="shared" si="29"/>
        <v>2</v>
      </c>
      <c r="AK74" s="50">
        <f t="shared" si="29"/>
        <v>7</v>
      </c>
      <c r="AL74" s="50">
        <f t="shared" si="29"/>
        <v>7</v>
      </c>
      <c r="AM74" s="50">
        <f t="shared" si="29"/>
        <v>7</v>
      </c>
      <c r="AN74" s="50">
        <f t="shared" si="29"/>
        <v>7</v>
      </c>
      <c r="AO74" s="50">
        <f t="shared" si="29"/>
        <v>7</v>
      </c>
      <c r="AP74" s="50">
        <f t="shared" si="29"/>
        <v>7</v>
      </c>
      <c r="AQ74" s="50">
        <f t="shared" si="29"/>
        <v>7</v>
      </c>
      <c r="AR74" s="50">
        <f t="shared" si="29"/>
        <v>7</v>
      </c>
      <c r="AS74" s="50">
        <f t="shared" si="29"/>
        <v>24</v>
      </c>
      <c r="AT74" s="50">
        <f t="shared" si="29"/>
        <v>24</v>
      </c>
      <c r="AU74" s="50">
        <f t="shared" si="29"/>
        <v>24</v>
      </c>
      <c r="AV74" s="50">
        <f t="shared" si="29"/>
        <v>24</v>
      </c>
      <c r="AW74" s="50">
        <f t="shared" si="29"/>
        <v>24</v>
      </c>
      <c r="AX74" s="50">
        <f t="shared" si="29"/>
        <v>24</v>
      </c>
      <c r="AY74" s="50">
        <f t="shared" si="29"/>
        <v>24</v>
      </c>
      <c r="AZ74" s="50">
        <f t="shared" si="29"/>
        <v>24</v>
      </c>
      <c r="BA74" s="47"/>
      <c r="BB74" s="27"/>
      <c r="BC74" s="16"/>
    </row>
    <row r="75" spans="1:55" ht="40.75" customHeight="1" thickBot="1" x14ac:dyDescent="0.4">
      <c r="A75" s="88"/>
      <c r="B75" s="89"/>
      <c r="C75" s="89"/>
      <c r="D75" s="89"/>
      <c r="E75" s="77" t="s">
        <v>83</v>
      </c>
      <c r="F75" s="78" t="s">
        <v>93</v>
      </c>
      <c r="G75" s="78" t="s">
        <v>95</v>
      </c>
      <c r="H75" s="78" t="s">
        <v>85</v>
      </c>
      <c r="I75" s="204" t="s">
        <v>98</v>
      </c>
      <c r="J75" s="205"/>
      <c r="K75" s="205"/>
      <c r="L75" s="206"/>
      <c r="M75" s="57" t="s">
        <v>83</v>
      </c>
      <c r="N75" s="56" t="s">
        <v>100</v>
      </c>
      <c r="O75" s="56" t="s">
        <v>93</v>
      </c>
      <c r="P75" s="56" t="s">
        <v>85</v>
      </c>
      <c r="Q75" s="56" t="s">
        <v>92</v>
      </c>
      <c r="R75" s="160" t="s">
        <v>107</v>
      </c>
      <c r="S75" s="130"/>
      <c r="T75" s="161"/>
      <c r="U75" s="129" t="s">
        <v>108</v>
      </c>
      <c r="V75" s="130"/>
      <c r="W75" s="130"/>
      <c r="X75" s="131"/>
      <c r="Y75" s="56" t="s">
        <v>93</v>
      </c>
      <c r="Z75" s="56" t="s">
        <v>83</v>
      </c>
      <c r="AA75" s="56" t="s">
        <v>93</v>
      </c>
      <c r="AB75" s="79" t="s">
        <v>95</v>
      </c>
      <c r="AC75" s="57" t="s">
        <v>93</v>
      </c>
      <c r="AD75" s="56" t="s">
        <v>95</v>
      </c>
      <c r="AE75" s="56" t="s">
        <v>83</v>
      </c>
      <c r="AF75" s="56" t="s">
        <v>93</v>
      </c>
      <c r="AG75" s="56" t="s">
        <v>83</v>
      </c>
      <c r="AH75" s="56" t="s">
        <v>104</v>
      </c>
      <c r="AI75" s="56" t="s">
        <v>92</v>
      </c>
      <c r="AJ75" s="79" t="s">
        <v>95</v>
      </c>
      <c r="AK75" s="198" t="s">
        <v>83</v>
      </c>
      <c r="AL75" s="199"/>
      <c r="AM75" s="199"/>
      <c r="AN75" s="200"/>
      <c r="AO75" s="56" t="s">
        <v>85</v>
      </c>
      <c r="AP75" s="56" t="s">
        <v>100</v>
      </c>
      <c r="AQ75" s="56" t="s">
        <v>92</v>
      </c>
      <c r="AR75" s="56" t="s">
        <v>95</v>
      </c>
      <c r="AS75" s="129" t="s">
        <v>108</v>
      </c>
      <c r="AT75" s="130"/>
      <c r="AU75" s="130"/>
      <c r="AV75" s="131"/>
      <c r="AW75" s="56" t="s">
        <v>93</v>
      </c>
      <c r="AX75" s="56" t="s">
        <v>83</v>
      </c>
      <c r="AY75" s="56" t="s">
        <v>92</v>
      </c>
      <c r="AZ75" s="79" t="s">
        <v>92</v>
      </c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9">
    <mergeCell ref="BA7:BA9"/>
    <mergeCell ref="BB7:BB9"/>
    <mergeCell ref="BB5:BB6"/>
    <mergeCell ref="BA5:BA6"/>
    <mergeCell ref="AS6:AZ6"/>
    <mergeCell ref="A80:H80"/>
    <mergeCell ref="AR80:BC80"/>
    <mergeCell ref="AK8:AN8"/>
    <mergeCell ref="AK9:AN9"/>
    <mergeCell ref="AS8:AV8"/>
    <mergeCell ref="AS9:AV9"/>
    <mergeCell ref="I75:L75"/>
    <mergeCell ref="R75:T75"/>
    <mergeCell ref="U75:X75"/>
    <mergeCell ref="AK75:AN75"/>
    <mergeCell ref="R9:T9"/>
    <mergeCell ref="U9:X9"/>
    <mergeCell ref="A74:D74"/>
    <mergeCell ref="A76:D76"/>
    <mergeCell ref="A79:I79"/>
    <mergeCell ref="AS75:AV75"/>
    <mergeCell ref="A7:A9"/>
    <mergeCell ref="B7:B9"/>
    <mergeCell ref="C7:C9"/>
    <mergeCell ref="I8:L8"/>
    <mergeCell ref="R8:T8"/>
    <mergeCell ref="D7:D8"/>
    <mergeCell ref="U8:X8"/>
    <mergeCell ref="I9:L9"/>
    <mergeCell ref="AS5:AZ5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phoneticPr fontId="27" type="noConversion"/>
  <conditionalFormatting sqref="BC1:BC73">
    <cfRule type="cellIs" dxfId="44" priority="1" operator="lessThan">
      <formula>75</formula>
    </cfRule>
  </conditionalFormatting>
  <conditionalFormatting sqref="BC10:BC73">
    <cfRule type="cellIs" dxfId="43" priority="3" operator="lessThan">
      <formula>75</formula>
    </cfRule>
  </conditionalFormatting>
  <conditionalFormatting sqref="BC80">
    <cfRule type="cellIs" dxfId="42" priority="2" operator="lessThan">
      <formula>75</formula>
    </cfRule>
  </conditionalFormatting>
  <pageMargins left="0.11811023622047245" right="0.11811023622047245" top="0.35433070866141736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9730-94EE-4FD5-ABC7-2C48679172BD}">
  <dimension ref="A1:BC80"/>
  <sheetViews>
    <sheetView topLeftCell="A2" zoomScale="55" zoomScaleNormal="55" zoomScaleSheetLayoutView="85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149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86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150</v>
      </c>
      <c r="F5" s="177"/>
      <c r="G5" s="177"/>
      <c r="H5" s="177"/>
      <c r="I5" s="177"/>
      <c r="J5" s="177"/>
      <c r="K5" s="177"/>
      <c r="L5" s="177"/>
      <c r="M5" s="177" t="s">
        <v>151</v>
      </c>
      <c r="N5" s="177"/>
      <c r="O5" s="177"/>
      <c r="P5" s="177"/>
      <c r="Q5" s="177"/>
      <c r="R5" s="177"/>
      <c r="S5" s="177"/>
      <c r="T5" s="177"/>
      <c r="U5" s="177" t="s">
        <v>152</v>
      </c>
      <c r="V5" s="177"/>
      <c r="W5" s="177"/>
      <c r="X5" s="177"/>
      <c r="Y5" s="177"/>
      <c r="Z5" s="177"/>
      <c r="AA5" s="177"/>
      <c r="AB5" s="177"/>
      <c r="AC5" s="177" t="s">
        <v>153</v>
      </c>
      <c r="AD5" s="177"/>
      <c r="AE5" s="177"/>
      <c r="AF5" s="177"/>
      <c r="AG5" s="177"/>
      <c r="AH5" s="177"/>
      <c r="AI5" s="177"/>
      <c r="AJ5" s="177"/>
      <c r="AK5" s="177" t="s">
        <v>154</v>
      </c>
      <c r="AL5" s="177"/>
      <c r="AM5" s="177"/>
      <c r="AN5" s="177"/>
      <c r="AO5" s="177"/>
      <c r="AP5" s="177"/>
      <c r="AQ5" s="177"/>
      <c r="AR5" s="177"/>
      <c r="AS5" s="177" t="s">
        <v>155</v>
      </c>
      <c r="AT5" s="177"/>
      <c r="AU5" s="177"/>
      <c r="AV5" s="177"/>
      <c r="AW5" s="177"/>
      <c r="AX5" s="177"/>
      <c r="AY5" s="177"/>
      <c r="AZ5" s="178"/>
      <c r="BA5" s="179">
        <v>32</v>
      </c>
      <c r="BB5" s="179">
        <f>D7+BA5</f>
        <v>134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80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20">
        <v>102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81"/>
      <c r="BB7" s="181"/>
      <c r="BC7" s="182"/>
    </row>
    <row r="8" spans="1:55" ht="30" customHeight="1" thickBot="1" x14ac:dyDescent="0.4">
      <c r="A8" s="165"/>
      <c r="B8" s="168"/>
      <c r="C8" s="171"/>
      <c r="D8" s="221"/>
      <c r="E8" s="104"/>
      <c r="F8" s="94"/>
      <c r="G8" s="76"/>
      <c r="H8" s="76"/>
      <c r="I8" s="201"/>
      <c r="J8" s="202"/>
      <c r="K8" s="202"/>
      <c r="L8" s="203"/>
      <c r="M8" s="59" t="s">
        <v>96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21" t="s">
        <v>94</v>
      </c>
      <c r="V8" s="129" t="s">
        <v>103</v>
      </c>
      <c r="W8" s="130"/>
      <c r="X8" s="131"/>
      <c r="Y8" s="59" t="s">
        <v>92</v>
      </c>
      <c r="Z8" s="59" t="s">
        <v>91</v>
      </c>
      <c r="AA8" s="59" t="s">
        <v>96</v>
      </c>
      <c r="AB8" s="60" t="s">
        <v>101</v>
      </c>
      <c r="AC8" s="57" t="s">
        <v>91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96</v>
      </c>
      <c r="AJ8" s="60" t="s">
        <v>94</v>
      </c>
      <c r="AK8" s="57" t="s">
        <v>101</v>
      </c>
      <c r="AL8" s="195" t="s">
        <v>106</v>
      </c>
      <c r="AM8" s="196"/>
      <c r="AN8" s="197"/>
      <c r="AO8" s="58" t="s">
        <v>101</v>
      </c>
      <c r="AP8" s="59" t="s">
        <v>91</v>
      </c>
      <c r="AQ8" s="59" t="s">
        <v>105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/>
      <c r="F9" s="78"/>
      <c r="G9" s="78"/>
      <c r="H9" s="78"/>
      <c r="I9" s="204"/>
      <c r="J9" s="205"/>
      <c r="K9" s="205"/>
      <c r="L9" s="206"/>
      <c r="M9" s="57" t="s">
        <v>156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1" t="s">
        <v>156</v>
      </c>
      <c r="V9" s="129" t="s">
        <v>108</v>
      </c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156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85</v>
      </c>
      <c r="AJ9" s="79" t="s">
        <v>95</v>
      </c>
      <c r="AK9" s="57" t="s">
        <v>156</v>
      </c>
      <c r="AL9" s="198" t="s">
        <v>83</v>
      </c>
      <c r="AM9" s="199"/>
      <c r="AN9" s="237"/>
      <c r="AO9" s="56" t="s">
        <v>92</v>
      </c>
      <c r="AP9" s="56" t="s">
        <v>83</v>
      </c>
      <c r="AQ9" s="56" t="s">
        <v>100</v>
      </c>
      <c r="AR9" s="79" t="s">
        <v>95</v>
      </c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86</v>
      </c>
      <c r="E10" s="132" t="s">
        <v>157</v>
      </c>
      <c r="F10" s="133"/>
      <c r="G10" s="133"/>
      <c r="H10" s="133"/>
      <c r="I10" s="133"/>
      <c r="J10" s="133"/>
      <c r="K10" s="133"/>
      <c r="L10" s="134"/>
      <c r="M10" s="61">
        <v>1</v>
      </c>
      <c r="N10" s="62">
        <f t="shared" ref="N10:T25" si="0">M10</f>
        <v>1</v>
      </c>
      <c r="O10" s="62">
        <f t="shared" si="0"/>
        <v>1</v>
      </c>
      <c r="P10" s="62">
        <f t="shared" si="0"/>
        <v>1</v>
      </c>
      <c r="Q10" s="62">
        <f t="shared" si="0"/>
        <v>1</v>
      </c>
      <c r="R10" s="62">
        <f t="shared" si="0"/>
        <v>1</v>
      </c>
      <c r="S10" s="62">
        <f t="shared" si="0"/>
        <v>1</v>
      </c>
      <c r="T10" s="63">
        <f t="shared" si="0"/>
        <v>1</v>
      </c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>
        <v>1</v>
      </c>
      <c r="AD10" s="62">
        <f t="shared" ref="AD10:AJ25" si="2">AC10</f>
        <v>1</v>
      </c>
      <c r="AE10" s="62">
        <f t="shared" si="2"/>
        <v>1</v>
      </c>
      <c r="AF10" s="62">
        <f t="shared" si="2"/>
        <v>1</v>
      </c>
      <c r="AG10" s="62">
        <f t="shared" si="2"/>
        <v>1</v>
      </c>
      <c r="AH10" s="62">
        <f t="shared" si="2"/>
        <v>1</v>
      </c>
      <c r="AI10" s="62">
        <f t="shared" si="2"/>
        <v>1</v>
      </c>
      <c r="AJ10" s="63">
        <f t="shared" si="2"/>
        <v>1</v>
      </c>
      <c r="AK10" s="61">
        <v>1</v>
      </c>
      <c r="AL10" s="62">
        <f t="shared" ref="AL10:AR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>
        <f t="shared" si="3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4">SUM(E10:AZ10)</f>
        <v>32</v>
      </c>
      <c r="BB10" s="9">
        <f>BA10+D10+C10</f>
        <v>118</v>
      </c>
      <c r="BC10" s="10">
        <f>ROUND((BB10/BB$5)*100,0)</f>
        <v>88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56</v>
      </c>
      <c r="E11" s="135"/>
      <c r="F11" s="136"/>
      <c r="G11" s="136"/>
      <c r="H11" s="136"/>
      <c r="I11" s="136"/>
      <c r="J11" s="136"/>
      <c r="K11" s="136"/>
      <c r="L11" s="137"/>
      <c r="M11" s="61">
        <v>1</v>
      </c>
      <c r="N11" s="62">
        <f t="shared" si="0"/>
        <v>1</v>
      </c>
      <c r="O11" s="62">
        <f t="shared" si="0"/>
        <v>1</v>
      </c>
      <c r="P11" s="62">
        <f t="shared" si="0"/>
        <v>1</v>
      </c>
      <c r="Q11" s="62">
        <f t="shared" si="0"/>
        <v>1</v>
      </c>
      <c r="R11" s="62">
        <f t="shared" si="0"/>
        <v>1</v>
      </c>
      <c r="S11" s="62">
        <f t="shared" si="0"/>
        <v>1</v>
      </c>
      <c r="T11" s="63">
        <f t="shared" si="0"/>
        <v>1</v>
      </c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>
        <f t="shared" si="3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4"/>
        <v>32</v>
      </c>
      <c r="BB11" s="9">
        <f t="shared" ref="BB11:BB73" si="5">BA11+D11+C11</f>
        <v>88</v>
      </c>
      <c r="BC11" s="10">
        <f t="shared" ref="BC11:BC73" si="6">ROUND((BB11/BB$5)*100,0)</f>
        <v>66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102</v>
      </c>
      <c r="E12" s="135"/>
      <c r="F12" s="136"/>
      <c r="G12" s="136"/>
      <c r="H12" s="136"/>
      <c r="I12" s="136"/>
      <c r="J12" s="136"/>
      <c r="K12" s="136"/>
      <c r="L12" s="137"/>
      <c r="M12" s="61">
        <v>1</v>
      </c>
      <c r="N12" s="62">
        <f t="shared" si="0"/>
        <v>1</v>
      </c>
      <c r="O12" s="62">
        <f t="shared" si="0"/>
        <v>1</v>
      </c>
      <c r="P12" s="62">
        <f t="shared" si="0"/>
        <v>1</v>
      </c>
      <c r="Q12" s="62">
        <f t="shared" si="0"/>
        <v>1</v>
      </c>
      <c r="R12" s="62">
        <f t="shared" si="0"/>
        <v>1</v>
      </c>
      <c r="S12" s="62">
        <f t="shared" si="0"/>
        <v>1</v>
      </c>
      <c r="T12" s="63">
        <f t="shared" si="0"/>
        <v>1</v>
      </c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>
        <f t="shared" si="3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4"/>
        <v>32</v>
      </c>
      <c r="BB12" s="9">
        <f t="shared" si="5"/>
        <v>134</v>
      </c>
      <c r="BC12" s="10">
        <f t="shared" si="6"/>
        <v>100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78</v>
      </c>
      <c r="E13" s="135"/>
      <c r="F13" s="136"/>
      <c r="G13" s="136"/>
      <c r="H13" s="136"/>
      <c r="I13" s="136"/>
      <c r="J13" s="136"/>
      <c r="K13" s="136"/>
      <c r="L13" s="137"/>
      <c r="M13" s="61">
        <v>1</v>
      </c>
      <c r="N13" s="62">
        <f t="shared" si="0"/>
        <v>1</v>
      </c>
      <c r="O13" s="62">
        <f t="shared" si="0"/>
        <v>1</v>
      </c>
      <c r="P13" s="62">
        <f t="shared" si="0"/>
        <v>1</v>
      </c>
      <c r="Q13" s="62">
        <f t="shared" si="0"/>
        <v>1</v>
      </c>
      <c r="R13" s="62">
        <f t="shared" si="0"/>
        <v>1</v>
      </c>
      <c r="S13" s="62">
        <f t="shared" si="0"/>
        <v>1</v>
      </c>
      <c r="T13" s="63">
        <f t="shared" si="0"/>
        <v>1</v>
      </c>
      <c r="U13" s="61">
        <v>1</v>
      </c>
      <c r="V13" s="62">
        <f t="shared" si="1"/>
        <v>1</v>
      </c>
      <c r="W13" s="62">
        <f t="shared" si="1"/>
        <v>1</v>
      </c>
      <c r="X13" s="62">
        <f t="shared" si="1"/>
        <v>1</v>
      </c>
      <c r="Y13" s="62">
        <f t="shared" si="1"/>
        <v>1</v>
      </c>
      <c r="Z13" s="62">
        <f t="shared" si="1"/>
        <v>1</v>
      </c>
      <c r="AA13" s="62">
        <f t="shared" si="1"/>
        <v>1</v>
      </c>
      <c r="AB13" s="63">
        <f t="shared" si="1"/>
        <v>1</v>
      </c>
      <c r="AC13" s="61">
        <v>1</v>
      </c>
      <c r="AD13" s="62">
        <f t="shared" si="2"/>
        <v>1</v>
      </c>
      <c r="AE13" s="62">
        <f t="shared" si="2"/>
        <v>1</v>
      </c>
      <c r="AF13" s="62">
        <f t="shared" si="2"/>
        <v>1</v>
      </c>
      <c r="AG13" s="62">
        <f t="shared" si="2"/>
        <v>1</v>
      </c>
      <c r="AH13" s="62">
        <f t="shared" si="2"/>
        <v>1</v>
      </c>
      <c r="AI13" s="62">
        <f t="shared" si="2"/>
        <v>1</v>
      </c>
      <c r="AJ13" s="63">
        <f t="shared" si="2"/>
        <v>1</v>
      </c>
      <c r="AK13" s="61">
        <v>1</v>
      </c>
      <c r="AL13" s="62">
        <f t="shared" si="3"/>
        <v>1</v>
      </c>
      <c r="AM13" s="62">
        <f t="shared" si="3"/>
        <v>1</v>
      </c>
      <c r="AN13" s="62">
        <f t="shared" si="3"/>
        <v>1</v>
      </c>
      <c r="AO13" s="62">
        <f t="shared" si="3"/>
        <v>1</v>
      </c>
      <c r="AP13" s="62">
        <f t="shared" si="3"/>
        <v>1</v>
      </c>
      <c r="AQ13" s="62">
        <f t="shared" si="3"/>
        <v>1</v>
      </c>
      <c r="AR13" s="63">
        <f t="shared" si="3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4"/>
        <v>32</v>
      </c>
      <c r="BB13" s="9">
        <f t="shared" si="5"/>
        <v>110</v>
      </c>
      <c r="BC13" s="10">
        <f t="shared" si="6"/>
        <v>82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70</v>
      </c>
      <c r="E14" s="135"/>
      <c r="F14" s="136"/>
      <c r="G14" s="136"/>
      <c r="H14" s="136"/>
      <c r="I14" s="136"/>
      <c r="J14" s="136"/>
      <c r="K14" s="136"/>
      <c r="L14" s="137"/>
      <c r="M14" s="61">
        <v>1</v>
      </c>
      <c r="N14" s="62">
        <f t="shared" si="0"/>
        <v>1</v>
      </c>
      <c r="O14" s="62">
        <f t="shared" si="0"/>
        <v>1</v>
      </c>
      <c r="P14" s="62">
        <f t="shared" si="0"/>
        <v>1</v>
      </c>
      <c r="Q14" s="62">
        <f t="shared" si="0"/>
        <v>1</v>
      </c>
      <c r="R14" s="62">
        <f t="shared" si="0"/>
        <v>1</v>
      </c>
      <c r="S14" s="62">
        <f t="shared" si="0"/>
        <v>1</v>
      </c>
      <c r="T14" s="63">
        <f t="shared" si="0"/>
        <v>1</v>
      </c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>
        <f t="shared" si="3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4"/>
        <v>32</v>
      </c>
      <c r="BB14" s="9">
        <f t="shared" si="5"/>
        <v>102</v>
      </c>
      <c r="BC14" s="10">
        <f t="shared" si="6"/>
        <v>76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56</v>
      </c>
      <c r="E15" s="135"/>
      <c r="F15" s="136"/>
      <c r="G15" s="136"/>
      <c r="H15" s="136"/>
      <c r="I15" s="136"/>
      <c r="J15" s="136"/>
      <c r="K15" s="136"/>
      <c r="L15" s="137"/>
      <c r="M15" s="61">
        <v>1</v>
      </c>
      <c r="N15" s="62">
        <f t="shared" si="0"/>
        <v>1</v>
      </c>
      <c r="O15" s="62">
        <f t="shared" si="0"/>
        <v>1</v>
      </c>
      <c r="P15" s="62">
        <f t="shared" si="0"/>
        <v>1</v>
      </c>
      <c r="Q15" s="62">
        <f t="shared" si="0"/>
        <v>1</v>
      </c>
      <c r="R15" s="62">
        <f t="shared" si="0"/>
        <v>1</v>
      </c>
      <c r="S15" s="62">
        <f t="shared" si="0"/>
        <v>1</v>
      </c>
      <c r="T15" s="63">
        <f t="shared" si="0"/>
        <v>1</v>
      </c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>
        <v>1</v>
      </c>
      <c r="AD15" s="62">
        <f t="shared" si="2"/>
        <v>1</v>
      </c>
      <c r="AE15" s="62">
        <f t="shared" si="2"/>
        <v>1</v>
      </c>
      <c r="AF15" s="62">
        <f t="shared" si="2"/>
        <v>1</v>
      </c>
      <c r="AG15" s="62">
        <f t="shared" si="2"/>
        <v>1</v>
      </c>
      <c r="AH15" s="62">
        <f t="shared" si="2"/>
        <v>1</v>
      </c>
      <c r="AI15" s="62">
        <f t="shared" si="2"/>
        <v>1</v>
      </c>
      <c r="AJ15" s="63">
        <f t="shared" si="2"/>
        <v>1</v>
      </c>
      <c r="AK15" s="61">
        <v>1</v>
      </c>
      <c r="AL15" s="62">
        <f t="shared" si="3"/>
        <v>1</v>
      </c>
      <c r="AM15" s="62">
        <f t="shared" si="3"/>
        <v>1</v>
      </c>
      <c r="AN15" s="62">
        <f t="shared" si="3"/>
        <v>1</v>
      </c>
      <c r="AO15" s="62">
        <f t="shared" si="3"/>
        <v>1</v>
      </c>
      <c r="AP15" s="62">
        <f t="shared" si="3"/>
        <v>1</v>
      </c>
      <c r="AQ15" s="62">
        <f t="shared" si="3"/>
        <v>1</v>
      </c>
      <c r="AR15" s="63">
        <f t="shared" si="3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4"/>
        <v>32</v>
      </c>
      <c r="BB15" s="9">
        <f t="shared" si="5"/>
        <v>88</v>
      </c>
      <c r="BC15" s="10">
        <f t="shared" si="6"/>
        <v>66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51</v>
      </c>
      <c r="E16" s="135"/>
      <c r="F16" s="136"/>
      <c r="G16" s="136"/>
      <c r="H16" s="136"/>
      <c r="I16" s="136"/>
      <c r="J16" s="136"/>
      <c r="K16" s="136"/>
      <c r="L16" s="137"/>
      <c r="M16" s="61">
        <v>1</v>
      </c>
      <c r="N16" s="62">
        <f t="shared" si="0"/>
        <v>1</v>
      </c>
      <c r="O16" s="62">
        <f t="shared" si="0"/>
        <v>1</v>
      </c>
      <c r="P16" s="62">
        <f t="shared" si="0"/>
        <v>1</v>
      </c>
      <c r="Q16" s="62">
        <f t="shared" si="0"/>
        <v>1</v>
      </c>
      <c r="R16" s="62">
        <f t="shared" si="0"/>
        <v>1</v>
      </c>
      <c r="S16" s="62">
        <f t="shared" si="0"/>
        <v>1</v>
      </c>
      <c r="T16" s="63">
        <f t="shared" si="0"/>
        <v>1</v>
      </c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>
        <f t="shared" si="3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4"/>
        <v>32</v>
      </c>
      <c r="BB16" s="9">
        <f t="shared" si="5"/>
        <v>83</v>
      </c>
      <c r="BC16" s="10">
        <f t="shared" si="6"/>
        <v>62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96</v>
      </c>
      <c r="E17" s="135"/>
      <c r="F17" s="136"/>
      <c r="G17" s="136"/>
      <c r="H17" s="136"/>
      <c r="I17" s="136"/>
      <c r="J17" s="136"/>
      <c r="K17" s="136"/>
      <c r="L17" s="137"/>
      <c r="M17" s="61">
        <v>1</v>
      </c>
      <c r="N17" s="62">
        <f t="shared" si="0"/>
        <v>1</v>
      </c>
      <c r="O17" s="62">
        <f t="shared" si="0"/>
        <v>1</v>
      </c>
      <c r="P17" s="62">
        <f t="shared" si="0"/>
        <v>1</v>
      </c>
      <c r="Q17" s="62">
        <f t="shared" si="0"/>
        <v>1</v>
      </c>
      <c r="R17" s="62">
        <f t="shared" si="0"/>
        <v>1</v>
      </c>
      <c r="S17" s="62">
        <f t="shared" si="0"/>
        <v>1</v>
      </c>
      <c r="T17" s="63">
        <f t="shared" si="0"/>
        <v>1</v>
      </c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61">
        <v>1</v>
      </c>
      <c r="AL17" s="62">
        <f t="shared" si="3"/>
        <v>1</v>
      </c>
      <c r="AM17" s="62">
        <f t="shared" si="3"/>
        <v>1</v>
      </c>
      <c r="AN17" s="62">
        <f t="shared" si="3"/>
        <v>1</v>
      </c>
      <c r="AO17" s="62">
        <f t="shared" si="3"/>
        <v>1</v>
      </c>
      <c r="AP17" s="62">
        <f t="shared" si="3"/>
        <v>1</v>
      </c>
      <c r="AQ17" s="62">
        <f t="shared" si="3"/>
        <v>1</v>
      </c>
      <c r="AR17" s="63">
        <f t="shared" si="3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4"/>
        <v>32</v>
      </c>
      <c r="BB17" s="9">
        <f t="shared" si="5"/>
        <v>128</v>
      </c>
      <c r="BC17" s="10">
        <f t="shared" si="6"/>
        <v>96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76</v>
      </c>
      <c r="E18" s="135"/>
      <c r="F18" s="136"/>
      <c r="G18" s="136"/>
      <c r="H18" s="136"/>
      <c r="I18" s="136"/>
      <c r="J18" s="136"/>
      <c r="K18" s="136"/>
      <c r="L18" s="137"/>
      <c r="M18" s="61" t="s">
        <v>124</v>
      </c>
      <c r="N18" s="62" t="str">
        <f t="shared" si="0"/>
        <v>a</v>
      </c>
      <c r="O18" s="62" t="str">
        <f t="shared" si="0"/>
        <v>a</v>
      </c>
      <c r="P18" s="62" t="str">
        <f t="shared" si="0"/>
        <v>a</v>
      </c>
      <c r="Q18" s="62" t="str">
        <f t="shared" si="0"/>
        <v>a</v>
      </c>
      <c r="R18" s="62" t="str">
        <f t="shared" si="0"/>
        <v>a</v>
      </c>
      <c r="S18" s="62" t="str">
        <f t="shared" si="0"/>
        <v>a</v>
      </c>
      <c r="T18" s="63" t="str">
        <f t="shared" si="0"/>
        <v>a</v>
      </c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>
        <v>1</v>
      </c>
      <c r="AD18" s="62">
        <f t="shared" si="2"/>
        <v>1</v>
      </c>
      <c r="AE18" s="62">
        <f t="shared" si="2"/>
        <v>1</v>
      </c>
      <c r="AF18" s="62">
        <f t="shared" si="2"/>
        <v>1</v>
      </c>
      <c r="AG18" s="62">
        <f t="shared" si="2"/>
        <v>1</v>
      </c>
      <c r="AH18" s="62">
        <f t="shared" si="2"/>
        <v>1</v>
      </c>
      <c r="AI18" s="62">
        <f t="shared" si="2"/>
        <v>1</v>
      </c>
      <c r="AJ18" s="63">
        <f t="shared" si="2"/>
        <v>1</v>
      </c>
      <c r="AK18" s="61">
        <v>1</v>
      </c>
      <c r="AL18" s="62">
        <f t="shared" si="3"/>
        <v>1</v>
      </c>
      <c r="AM18" s="62">
        <f t="shared" si="3"/>
        <v>1</v>
      </c>
      <c r="AN18" s="62">
        <f t="shared" si="3"/>
        <v>1</v>
      </c>
      <c r="AO18" s="62">
        <f t="shared" si="3"/>
        <v>1</v>
      </c>
      <c r="AP18" s="62">
        <f t="shared" si="3"/>
        <v>1</v>
      </c>
      <c r="AQ18" s="62">
        <f t="shared" si="3"/>
        <v>1</v>
      </c>
      <c r="AR18" s="63">
        <f t="shared" si="3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4"/>
        <v>24</v>
      </c>
      <c r="BB18" s="9">
        <f t="shared" si="5"/>
        <v>100</v>
      </c>
      <c r="BC18" s="10">
        <f t="shared" si="6"/>
        <v>75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80</v>
      </c>
      <c r="E19" s="135"/>
      <c r="F19" s="136"/>
      <c r="G19" s="136"/>
      <c r="H19" s="136"/>
      <c r="I19" s="136"/>
      <c r="J19" s="136"/>
      <c r="K19" s="136"/>
      <c r="L19" s="137"/>
      <c r="M19" s="61">
        <v>1</v>
      </c>
      <c r="N19" s="62">
        <f t="shared" si="0"/>
        <v>1</v>
      </c>
      <c r="O19" s="62">
        <v>1</v>
      </c>
      <c r="P19" s="62">
        <f t="shared" si="0"/>
        <v>1</v>
      </c>
      <c r="Q19" s="62" t="s">
        <v>124</v>
      </c>
      <c r="R19" s="62" t="str">
        <f t="shared" si="0"/>
        <v>a</v>
      </c>
      <c r="S19" s="62" t="str">
        <f t="shared" si="0"/>
        <v>a</v>
      </c>
      <c r="T19" s="63" t="str">
        <f t="shared" si="0"/>
        <v>a</v>
      </c>
      <c r="U19" s="61" t="s">
        <v>124</v>
      </c>
      <c r="V19" s="62" t="str">
        <f t="shared" si="1"/>
        <v>a</v>
      </c>
      <c r="W19" s="62" t="str">
        <f t="shared" si="1"/>
        <v>a</v>
      </c>
      <c r="X19" s="62" t="str">
        <f t="shared" si="1"/>
        <v>a</v>
      </c>
      <c r="Y19" s="62" t="str">
        <f t="shared" si="1"/>
        <v>a</v>
      </c>
      <c r="Z19" s="62" t="str">
        <f t="shared" si="1"/>
        <v>a</v>
      </c>
      <c r="AA19" s="62" t="str">
        <f t="shared" si="1"/>
        <v>a</v>
      </c>
      <c r="AB19" s="63" t="str">
        <f t="shared" si="1"/>
        <v>a</v>
      </c>
      <c r="AC19" s="61">
        <v>1</v>
      </c>
      <c r="AD19" s="62">
        <f t="shared" si="2"/>
        <v>1</v>
      </c>
      <c r="AE19" s="62">
        <f t="shared" si="2"/>
        <v>1</v>
      </c>
      <c r="AF19" s="62">
        <f t="shared" si="2"/>
        <v>1</v>
      </c>
      <c r="AG19" s="62">
        <f t="shared" si="2"/>
        <v>1</v>
      </c>
      <c r="AH19" s="62">
        <f t="shared" si="2"/>
        <v>1</v>
      </c>
      <c r="AI19" s="62">
        <f t="shared" si="2"/>
        <v>1</v>
      </c>
      <c r="AJ19" s="63">
        <f t="shared" si="2"/>
        <v>1</v>
      </c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>
        <f t="shared" si="3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4"/>
        <v>20</v>
      </c>
      <c r="BB19" s="9">
        <f t="shared" si="5"/>
        <v>100</v>
      </c>
      <c r="BC19" s="10">
        <f t="shared" si="6"/>
        <v>75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102</v>
      </c>
      <c r="E20" s="135"/>
      <c r="F20" s="136"/>
      <c r="G20" s="136"/>
      <c r="H20" s="136"/>
      <c r="I20" s="136"/>
      <c r="J20" s="136"/>
      <c r="K20" s="136"/>
      <c r="L20" s="137"/>
      <c r="M20" s="61">
        <v>1</v>
      </c>
      <c r="N20" s="62">
        <f t="shared" si="0"/>
        <v>1</v>
      </c>
      <c r="O20" s="62">
        <f t="shared" si="0"/>
        <v>1</v>
      </c>
      <c r="P20" s="62">
        <f t="shared" si="0"/>
        <v>1</v>
      </c>
      <c r="Q20" s="62">
        <f t="shared" si="0"/>
        <v>1</v>
      </c>
      <c r="R20" s="62">
        <f t="shared" si="0"/>
        <v>1</v>
      </c>
      <c r="S20" s="62">
        <f t="shared" si="0"/>
        <v>1</v>
      </c>
      <c r="T20" s="63">
        <f t="shared" si="0"/>
        <v>1</v>
      </c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>
        <v>1</v>
      </c>
      <c r="AD20" s="62">
        <f t="shared" si="2"/>
        <v>1</v>
      </c>
      <c r="AE20" s="62">
        <f t="shared" si="2"/>
        <v>1</v>
      </c>
      <c r="AF20" s="62">
        <f t="shared" si="2"/>
        <v>1</v>
      </c>
      <c r="AG20" s="62">
        <f t="shared" si="2"/>
        <v>1</v>
      </c>
      <c r="AH20" s="62">
        <f t="shared" si="2"/>
        <v>1</v>
      </c>
      <c r="AI20" s="62">
        <f t="shared" si="2"/>
        <v>1</v>
      </c>
      <c r="AJ20" s="63">
        <f t="shared" si="2"/>
        <v>1</v>
      </c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>
        <f t="shared" si="3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4"/>
        <v>32</v>
      </c>
      <c r="BB20" s="9">
        <f t="shared" si="5"/>
        <v>134</v>
      </c>
      <c r="BC20" s="10">
        <f t="shared" si="6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90</v>
      </c>
      <c r="E21" s="135"/>
      <c r="F21" s="136"/>
      <c r="G21" s="136"/>
      <c r="H21" s="136"/>
      <c r="I21" s="136"/>
      <c r="J21" s="136"/>
      <c r="K21" s="136"/>
      <c r="L21" s="137"/>
      <c r="M21" s="61">
        <v>1</v>
      </c>
      <c r="N21" s="62">
        <f t="shared" si="0"/>
        <v>1</v>
      </c>
      <c r="O21" s="62">
        <f t="shared" si="0"/>
        <v>1</v>
      </c>
      <c r="P21" s="62">
        <f t="shared" si="0"/>
        <v>1</v>
      </c>
      <c r="Q21" s="62">
        <f t="shared" si="0"/>
        <v>1</v>
      </c>
      <c r="R21" s="62">
        <f t="shared" si="0"/>
        <v>1</v>
      </c>
      <c r="S21" s="62">
        <f t="shared" si="0"/>
        <v>1</v>
      </c>
      <c r="T21" s="63">
        <f t="shared" si="0"/>
        <v>1</v>
      </c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>
        <v>1</v>
      </c>
      <c r="AD21" s="62">
        <f t="shared" si="2"/>
        <v>1</v>
      </c>
      <c r="AE21" s="62">
        <f t="shared" si="2"/>
        <v>1</v>
      </c>
      <c r="AF21" s="62">
        <f t="shared" si="2"/>
        <v>1</v>
      </c>
      <c r="AG21" s="62">
        <f t="shared" si="2"/>
        <v>1</v>
      </c>
      <c r="AH21" s="62">
        <f t="shared" si="2"/>
        <v>1</v>
      </c>
      <c r="AI21" s="62">
        <f t="shared" si="2"/>
        <v>1</v>
      </c>
      <c r="AJ21" s="63">
        <f t="shared" si="2"/>
        <v>1</v>
      </c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>
        <f t="shared" si="3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4"/>
        <v>32</v>
      </c>
      <c r="BB21" s="9">
        <f t="shared" si="5"/>
        <v>122</v>
      </c>
      <c r="BC21" s="10">
        <f t="shared" si="6"/>
        <v>91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102</v>
      </c>
      <c r="E22" s="135"/>
      <c r="F22" s="136"/>
      <c r="G22" s="136"/>
      <c r="H22" s="136"/>
      <c r="I22" s="136"/>
      <c r="J22" s="136"/>
      <c r="K22" s="136"/>
      <c r="L22" s="137"/>
      <c r="M22" s="61">
        <v>1</v>
      </c>
      <c r="N22" s="62">
        <f t="shared" si="0"/>
        <v>1</v>
      </c>
      <c r="O22" s="62">
        <f t="shared" si="0"/>
        <v>1</v>
      </c>
      <c r="P22" s="62">
        <f t="shared" si="0"/>
        <v>1</v>
      </c>
      <c r="Q22" s="62">
        <f t="shared" si="0"/>
        <v>1</v>
      </c>
      <c r="R22" s="62">
        <f t="shared" si="0"/>
        <v>1</v>
      </c>
      <c r="S22" s="62">
        <f t="shared" si="0"/>
        <v>1</v>
      </c>
      <c r="T22" s="63">
        <f t="shared" si="0"/>
        <v>1</v>
      </c>
      <c r="U22" s="61">
        <v>1</v>
      </c>
      <c r="V22" s="62">
        <f t="shared" si="1"/>
        <v>1</v>
      </c>
      <c r="W22" s="62">
        <f t="shared" si="1"/>
        <v>1</v>
      </c>
      <c r="X22" s="62">
        <f t="shared" si="1"/>
        <v>1</v>
      </c>
      <c r="Y22" s="62">
        <f t="shared" si="1"/>
        <v>1</v>
      </c>
      <c r="Z22" s="62">
        <f t="shared" si="1"/>
        <v>1</v>
      </c>
      <c r="AA22" s="62">
        <f t="shared" si="1"/>
        <v>1</v>
      </c>
      <c r="AB22" s="63">
        <f t="shared" si="1"/>
        <v>1</v>
      </c>
      <c r="AC22" s="61">
        <v>1</v>
      </c>
      <c r="AD22" s="62">
        <f t="shared" si="2"/>
        <v>1</v>
      </c>
      <c r="AE22" s="62">
        <f t="shared" si="2"/>
        <v>1</v>
      </c>
      <c r="AF22" s="62">
        <f t="shared" si="2"/>
        <v>1</v>
      </c>
      <c r="AG22" s="62">
        <f t="shared" si="2"/>
        <v>1</v>
      </c>
      <c r="AH22" s="62">
        <f t="shared" si="2"/>
        <v>1</v>
      </c>
      <c r="AI22" s="62">
        <f t="shared" si="2"/>
        <v>1</v>
      </c>
      <c r="AJ22" s="63">
        <f t="shared" si="2"/>
        <v>1</v>
      </c>
      <c r="AK22" s="61">
        <v>1</v>
      </c>
      <c r="AL22" s="62">
        <f t="shared" si="3"/>
        <v>1</v>
      </c>
      <c r="AM22" s="62">
        <f t="shared" si="3"/>
        <v>1</v>
      </c>
      <c r="AN22" s="62">
        <f t="shared" si="3"/>
        <v>1</v>
      </c>
      <c r="AO22" s="62">
        <f t="shared" si="3"/>
        <v>1</v>
      </c>
      <c r="AP22" s="62">
        <f t="shared" si="3"/>
        <v>1</v>
      </c>
      <c r="AQ22" s="62">
        <f t="shared" si="3"/>
        <v>1</v>
      </c>
      <c r="AR22" s="63">
        <f t="shared" si="3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4"/>
        <v>32</v>
      </c>
      <c r="BB22" s="9">
        <f t="shared" si="5"/>
        <v>134</v>
      </c>
      <c r="BC22" s="10">
        <f t="shared" si="6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96</v>
      </c>
      <c r="E23" s="135"/>
      <c r="F23" s="136"/>
      <c r="G23" s="136"/>
      <c r="H23" s="136"/>
      <c r="I23" s="136"/>
      <c r="J23" s="136"/>
      <c r="K23" s="136"/>
      <c r="L23" s="137"/>
      <c r="M23" s="61">
        <v>1</v>
      </c>
      <c r="N23" s="62">
        <f t="shared" si="0"/>
        <v>1</v>
      </c>
      <c r="O23" s="62">
        <f t="shared" si="0"/>
        <v>1</v>
      </c>
      <c r="P23" s="62">
        <f t="shared" si="0"/>
        <v>1</v>
      </c>
      <c r="Q23" s="62">
        <f t="shared" si="0"/>
        <v>1</v>
      </c>
      <c r="R23" s="62">
        <f t="shared" si="0"/>
        <v>1</v>
      </c>
      <c r="S23" s="62">
        <f t="shared" si="0"/>
        <v>1</v>
      </c>
      <c r="T23" s="63">
        <f t="shared" si="0"/>
        <v>1</v>
      </c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>
        <v>1</v>
      </c>
      <c r="AD23" s="62">
        <f t="shared" si="2"/>
        <v>1</v>
      </c>
      <c r="AE23" s="62">
        <f t="shared" si="2"/>
        <v>1</v>
      </c>
      <c r="AF23" s="62">
        <f t="shared" si="2"/>
        <v>1</v>
      </c>
      <c r="AG23" s="62">
        <f t="shared" si="2"/>
        <v>1</v>
      </c>
      <c r="AH23" s="62">
        <f t="shared" si="2"/>
        <v>1</v>
      </c>
      <c r="AI23" s="62">
        <f t="shared" si="2"/>
        <v>1</v>
      </c>
      <c r="AJ23" s="63">
        <f t="shared" si="2"/>
        <v>1</v>
      </c>
      <c r="AK23" s="61">
        <v>1</v>
      </c>
      <c r="AL23" s="62">
        <f t="shared" si="3"/>
        <v>1</v>
      </c>
      <c r="AM23" s="62">
        <f t="shared" si="3"/>
        <v>1</v>
      </c>
      <c r="AN23" s="62">
        <f t="shared" si="3"/>
        <v>1</v>
      </c>
      <c r="AO23" s="62">
        <f t="shared" si="3"/>
        <v>1</v>
      </c>
      <c r="AP23" s="62">
        <f t="shared" si="3"/>
        <v>1</v>
      </c>
      <c r="AQ23" s="62">
        <f t="shared" si="3"/>
        <v>1</v>
      </c>
      <c r="AR23" s="63">
        <f t="shared" si="3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4"/>
        <v>32</v>
      </c>
      <c r="BB23" s="9">
        <f t="shared" si="5"/>
        <v>128</v>
      </c>
      <c r="BC23" s="10">
        <f t="shared" si="6"/>
        <v>96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72</v>
      </c>
      <c r="E24" s="135"/>
      <c r="F24" s="136"/>
      <c r="G24" s="136"/>
      <c r="H24" s="136"/>
      <c r="I24" s="136"/>
      <c r="J24" s="136"/>
      <c r="K24" s="136"/>
      <c r="L24" s="137"/>
      <c r="M24" s="61">
        <v>1</v>
      </c>
      <c r="N24" s="62">
        <f t="shared" si="0"/>
        <v>1</v>
      </c>
      <c r="O24" s="62">
        <f t="shared" si="0"/>
        <v>1</v>
      </c>
      <c r="P24" s="62">
        <f t="shared" si="0"/>
        <v>1</v>
      </c>
      <c r="Q24" s="62">
        <f t="shared" si="0"/>
        <v>1</v>
      </c>
      <c r="R24" s="62">
        <f t="shared" si="0"/>
        <v>1</v>
      </c>
      <c r="S24" s="62">
        <f t="shared" si="0"/>
        <v>1</v>
      </c>
      <c r="T24" s="63">
        <f t="shared" si="0"/>
        <v>1</v>
      </c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>
        <v>1</v>
      </c>
      <c r="AD24" s="62">
        <f t="shared" si="2"/>
        <v>1</v>
      </c>
      <c r="AE24" s="62">
        <f t="shared" si="2"/>
        <v>1</v>
      </c>
      <c r="AF24" s="62">
        <f t="shared" si="2"/>
        <v>1</v>
      </c>
      <c r="AG24" s="62">
        <f t="shared" si="2"/>
        <v>1</v>
      </c>
      <c r="AH24" s="62">
        <f t="shared" si="2"/>
        <v>1</v>
      </c>
      <c r="AI24" s="62">
        <f t="shared" si="2"/>
        <v>1</v>
      </c>
      <c r="AJ24" s="63">
        <f t="shared" si="2"/>
        <v>1</v>
      </c>
      <c r="AK24" s="61">
        <v>1</v>
      </c>
      <c r="AL24" s="62">
        <f t="shared" si="3"/>
        <v>1</v>
      </c>
      <c r="AM24" s="62">
        <f t="shared" si="3"/>
        <v>1</v>
      </c>
      <c r="AN24" s="62">
        <f t="shared" si="3"/>
        <v>1</v>
      </c>
      <c r="AO24" s="62">
        <f t="shared" si="3"/>
        <v>1</v>
      </c>
      <c r="AP24" s="62">
        <f t="shared" si="3"/>
        <v>1</v>
      </c>
      <c r="AQ24" s="62">
        <f t="shared" si="3"/>
        <v>1</v>
      </c>
      <c r="AR24" s="63">
        <f t="shared" si="3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4"/>
        <v>32</v>
      </c>
      <c r="BB24" s="9">
        <f t="shared" si="5"/>
        <v>104</v>
      </c>
      <c r="BC24" s="10">
        <f t="shared" si="6"/>
        <v>78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70</v>
      </c>
      <c r="E25" s="135"/>
      <c r="F25" s="136"/>
      <c r="G25" s="136"/>
      <c r="H25" s="136"/>
      <c r="I25" s="136"/>
      <c r="J25" s="136"/>
      <c r="K25" s="136"/>
      <c r="L25" s="137"/>
      <c r="M25" s="61">
        <v>1</v>
      </c>
      <c r="N25" s="62">
        <f t="shared" si="0"/>
        <v>1</v>
      </c>
      <c r="O25" s="62">
        <f t="shared" si="0"/>
        <v>1</v>
      </c>
      <c r="P25" s="62">
        <f t="shared" si="0"/>
        <v>1</v>
      </c>
      <c r="Q25" s="62">
        <f t="shared" si="0"/>
        <v>1</v>
      </c>
      <c r="R25" s="62">
        <f t="shared" si="0"/>
        <v>1</v>
      </c>
      <c r="S25" s="62">
        <f t="shared" si="0"/>
        <v>1</v>
      </c>
      <c r="T25" s="63">
        <f t="shared" si="0"/>
        <v>1</v>
      </c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 t="s">
        <v>124</v>
      </c>
      <c r="AD25" s="62" t="str">
        <f t="shared" si="2"/>
        <v>a</v>
      </c>
      <c r="AE25" s="62" t="str">
        <f t="shared" si="2"/>
        <v>a</v>
      </c>
      <c r="AF25" s="62" t="str">
        <f t="shared" si="2"/>
        <v>a</v>
      </c>
      <c r="AG25" s="62" t="str">
        <f t="shared" si="2"/>
        <v>a</v>
      </c>
      <c r="AH25" s="62" t="str">
        <f t="shared" si="2"/>
        <v>a</v>
      </c>
      <c r="AI25" s="62" t="str">
        <f t="shared" si="2"/>
        <v>a</v>
      </c>
      <c r="AJ25" s="63" t="str">
        <f t="shared" si="2"/>
        <v>a</v>
      </c>
      <c r="AK25" s="61">
        <v>1</v>
      </c>
      <c r="AL25" s="62">
        <f t="shared" si="3"/>
        <v>1</v>
      </c>
      <c r="AM25" s="62">
        <f t="shared" si="3"/>
        <v>1</v>
      </c>
      <c r="AN25" s="62">
        <f t="shared" si="3"/>
        <v>1</v>
      </c>
      <c r="AO25" s="62">
        <f t="shared" si="3"/>
        <v>1</v>
      </c>
      <c r="AP25" s="62">
        <f t="shared" si="3"/>
        <v>1</v>
      </c>
      <c r="AQ25" s="62">
        <f t="shared" si="3"/>
        <v>1</v>
      </c>
      <c r="AR25" s="63">
        <f t="shared" si="3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4"/>
        <v>24</v>
      </c>
      <c r="BB25" s="9">
        <f t="shared" si="5"/>
        <v>94</v>
      </c>
      <c r="BC25" s="10">
        <f t="shared" si="6"/>
        <v>70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79</v>
      </c>
      <c r="E26" s="135"/>
      <c r="F26" s="136"/>
      <c r="G26" s="136"/>
      <c r="H26" s="136"/>
      <c r="I26" s="136"/>
      <c r="J26" s="136"/>
      <c r="K26" s="136"/>
      <c r="L26" s="137"/>
      <c r="M26" s="61">
        <v>1</v>
      </c>
      <c r="N26" s="62">
        <f t="shared" ref="N26:T41" si="7">M26</f>
        <v>1</v>
      </c>
      <c r="O26" s="62">
        <f t="shared" si="7"/>
        <v>1</v>
      </c>
      <c r="P26" s="62">
        <f t="shared" si="7"/>
        <v>1</v>
      </c>
      <c r="Q26" s="62" t="s">
        <v>124</v>
      </c>
      <c r="R26" s="62" t="str">
        <f t="shared" si="7"/>
        <v>a</v>
      </c>
      <c r="S26" s="62" t="str">
        <f t="shared" si="7"/>
        <v>a</v>
      </c>
      <c r="T26" s="63" t="str">
        <f t="shared" si="7"/>
        <v>a</v>
      </c>
      <c r="U26" s="61" t="s">
        <v>124</v>
      </c>
      <c r="V26" s="62" t="str">
        <f t="shared" ref="V26:AB41" si="8">U26</f>
        <v>a</v>
      </c>
      <c r="W26" s="62" t="str">
        <f t="shared" si="8"/>
        <v>a</v>
      </c>
      <c r="X26" s="62" t="str">
        <f t="shared" si="8"/>
        <v>a</v>
      </c>
      <c r="Y26" s="62" t="str">
        <f t="shared" si="8"/>
        <v>a</v>
      </c>
      <c r="Z26" s="62" t="str">
        <f t="shared" si="8"/>
        <v>a</v>
      </c>
      <c r="AA26" s="62" t="str">
        <f t="shared" si="8"/>
        <v>a</v>
      </c>
      <c r="AB26" s="63" t="str">
        <f t="shared" si="8"/>
        <v>a</v>
      </c>
      <c r="AC26" s="61">
        <v>1</v>
      </c>
      <c r="AD26" s="62">
        <f t="shared" ref="AD26:AJ41" si="9">AC26</f>
        <v>1</v>
      </c>
      <c r="AE26" s="62">
        <f t="shared" si="9"/>
        <v>1</v>
      </c>
      <c r="AF26" s="62">
        <f t="shared" si="9"/>
        <v>1</v>
      </c>
      <c r="AG26" s="62">
        <f t="shared" si="9"/>
        <v>1</v>
      </c>
      <c r="AH26" s="62">
        <f t="shared" si="9"/>
        <v>1</v>
      </c>
      <c r="AI26" s="62">
        <f t="shared" si="9"/>
        <v>1</v>
      </c>
      <c r="AJ26" s="63">
        <f t="shared" si="9"/>
        <v>1</v>
      </c>
      <c r="AK26" s="61">
        <v>1</v>
      </c>
      <c r="AL26" s="62">
        <f t="shared" ref="AL26:AR41" si="10">AK26</f>
        <v>1</v>
      </c>
      <c r="AM26" s="62">
        <f t="shared" si="10"/>
        <v>1</v>
      </c>
      <c r="AN26" s="62">
        <f t="shared" si="10"/>
        <v>1</v>
      </c>
      <c r="AO26" s="62">
        <f t="shared" si="10"/>
        <v>1</v>
      </c>
      <c r="AP26" s="62">
        <f t="shared" si="10"/>
        <v>1</v>
      </c>
      <c r="AQ26" s="62">
        <f t="shared" si="10"/>
        <v>1</v>
      </c>
      <c r="AR26" s="63">
        <f t="shared" si="10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4"/>
        <v>20</v>
      </c>
      <c r="BB26" s="9">
        <f t="shared" si="5"/>
        <v>99</v>
      </c>
      <c r="BC26" s="10">
        <f t="shared" si="6"/>
        <v>74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94</v>
      </c>
      <c r="E27" s="135"/>
      <c r="F27" s="136"/>
      <c r="G27" s="136"/>
      <c r="H27" s="136"/>
      <c r="I27" s="136"/>
      <c r="J27" s="136"/>
      <c r="K27" s="136"/>
      <c r="L27" s="137"/>
      <c r="M27" s="61">
        <v>1</v>
      </c>
      <c r="N27" s="62">
        <f t="shared" si="7"/>
        <v>1</v>
      </c>
      <c r="O27" s="62">
        <f t="shared" si="7"/>
        <v>1</v>
      </c>
      <c r="P27" s="62">
        <f t="shared" si="7"/>
        <v>1</v>
      </c>
      <c r="Q27" s="62">
        <f t="shared" si="7"/>
        <v>1</v>
      </c>
      <c r="R27" s="62">
        <f t="shared" si="7"/>
        <v>1</v>
      </c>
      <c r="S27" s="62">
        <f t="shared" si="7"/>
        <v>1</v>
      </c>
      <c r="T27" s="63">
        <f t="shared" si="7"/>
        <v>1</v>
      </c>
      <c r="U27" s="61">
        <v>1</v>
      </c>
      <c r="V27" s="62">
        <f t="shared" si="8"/>
        <v>1</v>
      </c>
      <c r="W27" s="62">
        <f t="shared" si="8"/>
        <v>1</v>
      </c>
      <c r="X27" s="62">
        <f t="shared" si="8"/>
        <v>1</v>
      </c>
      <c r="Y27" s="62">
        <f t="shared" si="8"/>
        <v>1</v>
      </c>
      <c r="Z27" s="62">
        <f t="shared" si="8"/>
        <v>1</v>
      </c>
      <c r="AA27" s="62">
        <f t="shared" si="8"/>
        <v>1</v>
      </c>
      <c r="AB27" s="63">
        <f t="shared" si="8"/>
        <v>1</v>
      </c>
      <c r="AC27" s="61">
        <v>1</v>
      </c>
      <c r="AD27" s="62">
        <f t="shared" si="9"/>
        <v>1</v>
      </c>
      <c r="AE27" s="62">
        <f t="shared" si="9"/>
        <v>1</v>
      </c>
      <c r="AF27" s="62">
        <f t="shared" si="9"/>
        <v>1</v>
      </c>
      <c r="AG27" s="62">
        <f t="shared" si="9"/>
        <v>1</v>
      </c>
      <c r="AH27" s="62">
        <f t="shared" si="9"/>
        <v>1</v>
      </c>
      <c r="AI27" s="62">
        <f t="shared" si="9"/>
        <v>1</v>
      </c>
      <c r="AJ27" s="63">
        <f t="shared" si="9"/>
        <v>1</v>
      </c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>
        <f t="shared" si="10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4"/>
        <v>32</v>
      </c>
      <c r="BB27" s="9">
        <f t="shared" si="5"/>
        <v>126</v>
      </c>
      <c r="BC27" s="10">
        <f t="shared" si="6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86</v>
      </c>
      <c r="E28" s="135"/>
      <c r="F28" s="136"/>
      <c r="G28" s="136"/>
      <c r="H28" s="136"/>
      <c r="I28" s="136"/>
      <c r="J28" s="136"/>
      <c r="K28" s="136"/>
      <c r="L28" s="137"/>
      <c r="M28" s="61">
        <v>1</v>
      </c>
      <c r="N28" s="62">
        <f t="shared" si="7"/>
        <v>1</v>
      </c>
      <c r="O28" s="62">
        <f t="shared" si="7"/>
        <v>1</v>
      </c>
      <c r="P28" s="62">
        <f t="shared" si="7"/>
        <v>1</v>
      </c>
      <c r="Q28" s="62">
        <f t="shared" si="7"/>
        <v>1</v>
      </c>
      <c r="R28" s="62">
        <f t="shared" si="7"/>
        <v>1</v>
      </c>
      <c r="S28" s="62">
        <f t="shared" si="7"/>
        <v>1</v>
      </c>
      <c r="T28" s="63">
        <f t="shared" si="7"/>
        <v>1</v>
      </c>
      <c r="U28" s="61">
        <v>1</v>
      </c>
      <c r="V28" s="62">
        <f t="shared" si="8"/>
        <v>1</v>
      </c>
      <c r="W28" s="62">
        <f t="shared" si="8"/>
        <v>1</v>
      </c>
      <c r="X28" s="62">
        <f t="shared" si="8"/>
        <v>1</v>
      </c>
      <c r="Y28" s="62">
        <f t="shared" si="8"/>
        <v>1</v>
      </c>
      <c r="Z28" s="62">
        <f t="shared" si="8"/>
        <v>1</v>
      </c>
      <c r="AA28" s="62">
        <f t="shared" si="8"/>
        <v>1</v>
      </c>
      <c r="AB28" s="63">
        <f t="shared" si="8"/>
        <v>1</v>
      </c>
      <c r="AC28" s="61">
        <v>1</v>
      </c>
      <c r="AD28" s="62">
        <f t="shared" si="9"/>
        <v>1</v>
      </c>
      <c r="AE28" s="62">
        <f t="shared" si="9"/>
        <v>1</v>
      </c>
      <c r="AF28" s="62">
        <f t="shared" si="9"/>
        <v>1</v>
      </c>
      <c r="AG28" s="62">
        <f t="shared" si="9"/>
        <v>1</v>
      </c>
      <c r="AH28" s="62">
        <f t="shared" si="9"/>
        <v>1</v>
      </c>
      <c r="AI28" s="62">
        <f t="shared" si="9"/>
        <v>1</v>
      </c>
      <c r="AJ28" s="63">
        <f t="shared" si="9"/>
        <v>1</v>
      </c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>
        <f t="shared" si="10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4"/>
        <v>32</v>
      </c>
      <c r="BB28" s="9">
        <f t="shared" si="5"/>
        <v>118</v>
      </c>
      <c r="BC28" s="10">
        <f t="shared" si="6"/>
        <v>88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72</v>
      </c>
      <c r="E29" s="135"/>
      <c r="F29" s="136"/>
      <c r="G29" s="136"/>
      <c r="H29" s="136"/>
      <c r="I29" s="136"/>
      <c r="J29" s="136"/>
      <c r="K29" s="136"/>
      <c r="L29" s="137"/>
      <c r="M29" s="61">
        <v>1</v>
      </c>
      <c r="N29" s="62">
        <f t="shared" si="7"/>
        <v>1</v>
      </c>
      <c r="O29" s="62">
        <f t="shared" si="7"/>
        <v>1</v>
      </c>
      <c r="P29" s="62">
        <f t="shared" si="7"/>
        <v>1</v>
      </c>
      <c r="Q29" s="62">
        <f t="shared" si="7"/>
        <v>1</v>
      </c>
      <c r="R29" s="62">
        <f t="shared" si="7"/>
        <v>1</v>
      </c>
      <c r="S29" s="62">
        <f t="shared" si="7"/>
        <v>1</v>
      </c>
      <c r="T29" s="63">
        <f t="shared" si="7"/>
        <v>1</v>
      </c>
      <c r="U29" s="61">
        <v>1</v>
      </c>
      <c r="V29" s="62">
        <f t="shared" si="8"/>
        <v>1</v>
      </c>
      <c r="W29" s="62">
        <f t="shared" si="8"/>
        <v>1</v>
      </c>
      <c r="X29" s="62">
        <f t="shared" si="8"/>
        <v>1</v>
      </c>
      <c r="Y29" s="62">
        <f t="shared" si="8"/>
        <v>1</v>
      </c>
      <c r="Z29" s="62">
        <f t="shared" si="8"/>
        <v>1</v>
      </c>
      <c r="AA29" s="62">
        <f t="shared" si="8"/>
        <v>1</v>
      </c>
      <c r="AB29" s="63">
        <f t="shared" si="8"/>
        <v>1</v>
      </c>
      <c r="AC29" s="61">
        <v>1</v>
      </c>
      <c r="AD29" s="62">
        <f t="shared" si="9"/>
        <v>1</v>
      </c>
      <c r="AE29" s="62">
        <f t="shared" si="9"/>
        <v>1</v>
      </c>
      <c r="AF29" s="62">
        <f t="shared" si="9"/>
        <v>1</v>
      </c>
      <c r="AG29" s="62">
        <f t="shared" si="9"/>
        <v>1</v>
      </c>
      <c r="AH29" s="62">
        <f t="shared" si="9"/>
        <v>1</v>
      </c>
      <c r="AI29" s="62">
        <f t="shared" si="9"/>
        <v>1</v>
      </c>
      <c r="AJ29" s="63">
        <f t="shared" si="9"/>
        <v>1</v>
      </c>
      <c r="AK29" s="61">
        <v>1</v>
      </c>
      <c r="AL29" s="62">
        <f t="shared" si="10"/>
        <v>1</v>
      </c>
      <c r="AM29" s="62">
        <f t="shared" si="10"/>
        <v>1</v>
      </c>
      <c r="AN29" s="62">
        <f t="shared" si="10"/>
        <v>1</v>
      </c>
      <c r="AO29" s="62">
        <f t="shared" si="10"/>
        <v>1</v>
      </c>
      <c r="AP29" s="62">
        <f t="shared" si="10"/>
        <v>1</v>
      </c>
      <c r="AQ29" s="62">
        <f t="shared" si="10"/>
        <v>1</v>
      </c>
      <c r="AR29" s="63">
        <f t="shared" si="10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4"/>
        <v>32</v>
      </c>
      <c r="BB29" s="9">
        <f t="shared" si="5"/>
        <v>104</v>
      </c>
      <c r="BC29" s="10">
        <f t="shared" si="6"/>
        <v>78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88</v>
      </c>
      <c r="E30" s="135"/>
      <c r="F30" s="136"/>
      <c r="G30" s="136"/>
      <c r="H30" s="136"/>
      <c r="I30" s="136"/>
      <c r="J30" s="136"/>
      <c r="K30" s="136"/>
      <c r="L30" s="137"/>
      <c r="M30" s="61">
        <v>1</v>
      </c>
      <c r="N30" s="62">
        <f t="shared" si="7"/>
        <v>1</v>
      </c>
      <c r="O30" s="62">
        <f t="shared" si="7"/>
        <v>1</v>
      </c>
      <c r="P30" s="62">
        <f t="shared" si="7"/>
        <v>1</v>
      </c>
      <c r="Q30" s="62">
        <f t="shared" si="7"/>
        <v>1</v>
      </c>
      <c r="R30" s="62">
        <f t="shared" si="7"/>
        <v>1</v>
      </c>
      <c r="S30" s="62">
        <f t="shared" si="7"/>
        <v>1</v>
      </c>
      <c r="T30" s="63">
        <f t="shared" si="7"/>
        <v>1</v>
      </c>
      <c r="U30" s="61">
        <v>1</v>
      </c>
      <c r="V30" s="62">
        <f t="shared" si="8"/>
        <v>1</v>
      </c>
      <c r="W30" s="62">
        <f t="shared" si="8"/>
        <v>1</v>
      </c>
      <c r="X30" s="62">
        <f t="shared" si="8"/>
        <v>1</v>
      </c>
      <c r="Y30" s="62">
        <f t="shared" si="8"/>
        <v>1</v>
      </c>
      <c r="Z30" s="62">
        <f t="shared" si="8"/>
        <v>1</v>
      </c>
      <c r="AA30" s="62">
        <f t="shared" si="8"/>
        <v>1</v>
      </c>
      <c r="AB30" s="63">
        <f t="shared" si="8"/>
        <v>1</v>
      </c>
      <c r="AC30" s="61">
        <v>1</v>
      </c>
      <c r="AD30" s="62">
        <f t="shared" si="9"/>
        <v>1</v>
      </c>
      <c r="AE30" s="62">
        <f t="shared" si="9"/>
        <v>1</v>
      </c>
      <c r="AF30" s="62">
        <f t="shared" si="9"/>
        <v>1</v>
      </c>
      <c r="AG30" s="62">
        <f t="shared" si="9"/>
        <v>1</v>
      </c>
      <c r="AH30" s="62">
        <f t="shared" si="9"/>
        <v>1</v>
      </c>
      <c r="AI30" s="62">
        <f t="shared" si="9"/>
        <v>1</v>
      </c>
      <c r="AJ30" s="63">
        <f t="shared" si="9"/>
        <v>1</v>
      </c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>
        <f t="shared" si="10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4"/>
        <v>32</v>
      </c>
      <c r="BB30" s="9">
        <f t="shared" si="5"/>
        <v>120</v>
      </c>
      <c r="BC30" s="10">
        <f t="shared" si="6"/>
        <v>90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86</v>
      </c>
      <c r="E31" s="135"/>
      <c r="F31" s="136"/>
      <c r="G31" s="136"/>
      <c r="H31" s="136"/>
      <c r="I31" s="136"/>
      <c r="J31" s="136"/>
      <c r="K31" s="136"/>
      <c r="L31" s="137"/>
      <c r="M31" s="61">
        <v>1</v>
      </c>
      <c r="N31" s="62">
        <f t="shared" si="7"/>
        <v>1</v>
      </c>
      <c r="O31" s="62">
        <f t="shared" si="7"/>
        <v>1</v>
      </c>
      <c r="P31" s="62">
        <f t="shared" si="7"/>
        <v>1</v>
      </c>
      <c r="Q31" s="62">
        <f t="shared" si="7"/>
        <v>1</v>
      </c>
      <c r="R31" s="62">
        <f t="shared" si="7"/>
        <v>1</v>
      </c>
      <c r="S31" s="62">
        <f t="shared" si="7"/>
        <v>1</v>
      </c>
      <c r="T31" s="63">
        <f t="shared" si="7"/>
        <v>1</v>
      </c>
      <c r="U31" s="61">
        <v>1</v>
      </c>
      <c r="V31" s="62">
        <f t="shared" si="8"/>
        <v>1</v>
      </c>
      <c r="W31" s="62">
        <f t="shared" si="8"/>
        <v>1</v>
      </c>
      <c r="X31" s="62">
        <f t="shared" si="8"/>
        <v>1</v>
      </c>
      <c r="Y31" s="62">
        <f t="shared" si="8"/>
        <v>1</v>
      </c>
      <c r="Z31" s="62">
        <f t="shared" si="8"/>
        <v>1</v>
      </c>
      <c r="AA31" s="62">
        <f t="shared" si="8"/>
        <v>1</v>
      </c>
      <c r="AB31" s="63">
        <f t="shared" si="8"/>
        <v>1</v>
      </c>
      <c r="AC31" s="61">
        <v>1</v>
      </c>
      <c r="AD31" s="62">
        <f t="shared" si="9"/>
        <v>1</v>
      </c>
      <c r="AE31" s="62">
        <f t="shared" si="9"/>
        <v>1</v>
      </c>
      <c r="AF31" s="62">
        <f t="shared" si="9"/>
        <v>1</v>
      </c>
      <c r="AG31" s="62">
        <f t="shared" si="9"/>
        <v>1</v>
      </c>
      <c r="AH31" s="62">
        <f t="shared" si="9"/>
        <v>1</v>
      </c>
      <c r="AI31" s="62">
        <f t="shared" si="9"/>
        <v>1</v>
      </c>
      <c r="AJ31" s="63">
        <f t="shared" si="9"/>
        <v>1</v>
      </c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>
        <f t="shared" si="10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4"/>
        <v>32</v>
      </c>
      <c r="BB31" s="9">
        <f t="shared" si="5"/>
        <v>118</v>
      </c>
      <c r="BC31" s="10">
        <f t="shared" si="6"/>
        <v>88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69</v>
      </c>
      <c r="E32" s="135"/>
      <c r="F32" s="136"/>
      <c r="G32" s="136"/>
      <c r="H32" s="136"/>
      <c r="I32" s="136"/>
      <c r="J32" s="136"/>
      <c r="K32" s="136"/>
      <c r="L32" s="137"/>
      <c r="M32" s="61">
        <v>1</v>
      </c>
      <c r="N32" s="62">
        <f t="shared" si="7"/>
        <v>1</v>
      </c>
      <c r="O32" s="62">
        <f t="shared" si="7"/>
        <v>1</v>
      </c>
      <c r="P32" s="62">
        <f t="shared" si="7"/>
        <v>1</v>
      </c>
      <c r="Q32" s="62">
        <f t="shared" si="7"/>
        <v>1</v>
      </c>
      <c r="R32" s="62">
        <f t="shared" si="7"/>
        <v>1</v>
      </c>
      <c r="S32" s="62">
        <f t="shared" si="7"/>
        <v>1</v>
      </c>
      <c r="T32" s="63">
        <f t="shared" si="7"/>
        <v>1</v>
      </c>
      <c r="U32" s="61">
        <v>1</v>
      </c>
      <c r="V32" s="62">
        <f t="shared" si="8"/>
        <v>1</v>
      </c>
      <c r="W32" s="62">
        <f t="shared" si="8"/>
        <v>1</v>
      </c>
      <c r="X32" s="62">
        <f t="shared" si="8"/>
        <v>1</v>
      </c>
      <c r="Y32" s="62">
        <f t="shared" si="8"/>
        <v>1</v>
      </c>
      <c r="Z32" s="62">
        <f t="shared" si="8"/>
        <v>1</v>
      </c>
      <c r="AA32" s="62">
        <f t="shared" si="8"/>
        <v>1</v>
      </c>
      <c r="AB32" s="63">
        <f t="shared" si="8"/>
        <v>1</v>
      </c>
      <c r="AC32" s="61">
        <v>1</v>
      </c>
      <c r="AD32" s="62">
        <f t="shared" si="9"/>
        <v>1</v>
      </c>
      <c r="AE32" s="62">
        <f t="shared" si="9"/>
        <v>1</v>
      </c>
      <c r="AF32" s="62">
        <f t="shared" si="9"/>
        <v>1</v>
      </c>
      <c r="AG32" s="62">
        <f t="shared" si="9"/>
        <v>1</v>
      </c>
      <c r="AH32" s="62">
        <f t="shared" si="9"/>
        <v>1</v>
      </c>
      <c r="AI32" s="62">
        <f t="shared" si="9"/>
        <v>1</v>
      </c>
      <c r="AJ32" s="63">
        <f t="shared" si="9"/>
        <v>1</v>
      </c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>
        <f t="shared" si="10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4"/>
        <v>32</v>
      </c>
      <c r="BB32" s="9">
        <f t="shared" si="5"/>
        <v>101</v>
      </c>
      <c r="BC32" s="10">
        <f t="shared" si="6"/>
        <v>75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80</v>
      </c>
      <c r="E33" s="135"/>
      <c r="F33" s="136"/>
      <c r="G33" s="136"/>
      <c r="H33" s="136"/>
      <c r="I33" s="136"/>
      <c r="J33" s="136"/>
      <c r="K33" s="136"/>
      <c r="L33" s="137"/>
      <c r="M33" s="61">
        <v>1</v>
      </c>
      <c r="N33" s="62">
        <f t="shared" si="7"/>
        <v>1</v>
      </c>
      <c r="O33" s="62">
        <f t="shared" si="7"/>
        <v>1</v>
      </c>
      <c r="P33" s="62">
        <f t="shared" si="7"/>
        <v>1</v>
      </c>
      <c r="Q33" s="62">
        <f t="shared" si="7"/>
        <v>1</v>
      </c>
      <c r="R33" s="62">
        <f t="shared" si="7"/>
        <v>1</v>
      </c>
      <c r="S33" s="62">
        <f t="shared" si="7"/>
        <v>1</v>
      </c>
      <c r="T33" s="63">
        <f t="shared" si="7"/>
        <v>1</v>
      </c>
      <c r="U33" s="61">
        <v>1</v>
      </c>
      <c r="V33" s="62">
        <f t="shared" si="8"/>
        <v>1</v>
      </c>
      <c r="W33" s="62">
        <f t="shared" si="8"/>
        <v>1</v>
      </c>
      <c r="X33" s="62">
        <f t="shared" si="8"/>
        <v>1</v>
      </c>
      <c r="Y33" s="62">
        <f t="shared" si="8"/>
        <v>1</v>
      </c>
      <c r="Z33" s="62">
        <f t="shared" si="8"/>
        <v>1</v>
      </c>
      <c r="AA33" s="62">
        <f t="shared" si="8"/>
        <v>1</v>
      </c>
      <c r="AB33" s="63">
        <f t="shared" si="8"/>
        <v>1</v>
      </c>
      <c r="AC33" s="61">
        <v>1</v>
      </c>
      <c r="AD33" s="62">
        <f t="shared" si="9"/>
        <v>1</v>
      </c>
      <c r="AE33" s="62">
        <f t="shared" si="9"/>
        <v>1</v>
      </c>
      <c r="AF33" s="62">
        <f t="shared" si="9"/>
        <v>1</v>
      </c>
      <c r="AG33" s="62">
        <f t="shared" si="9"/>
        <v>1</v>
      </c>
      <c r="AH33" s="62">
        <f t="shared" si="9"/>
        <v>1</v>
      </c>
      <c r="AI33" s="62">
        <f t="shared" si="9"/>
        <v>1</v>
      </c>
      <c r="AJ33" s="63">
        <f t="shared" si="9"/>
        <v>1</v>
      </c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>
        <f t="shared" si="10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4"/>
        <v>32</v>
      </c>
      <c r="BB33" s="9">
        <f t="shared" si="5"/>
        <v>112</v>
      </c>
      <c r="BC33" s="10">
        <f t="shared" si="6"/>
        <v>84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71</v>
      </c>
      <c r="E34" s="135"/>
      <c r="F34" s="136"/>
      <c r="G34" s="136"/>
      <c r="H34" s="136"/>
      <c r="I34" s="136"/>
      <c r="J34" s="136"/>
      <c r="K34" s="136"/>
      <c r="L34" s="137"/>
      <c r="M34" s="61">
        <v>1</v>
      </c>
      <c r="N34" s="62">
        <f t="shared" si="7"/>
        <v>1</v>
      </c>
      <c r="O34" s="62">
        <f t="shared" si="7"/>
        <v>1</v>
      </c>
      <c r="P34" s="62">
        <f t="shared" si="7"/>
        <v>1</v>
      </c>
      <c r="Q34" s="62">
        <f t="shared" si="7"/>
        <v>1</v>
      </c>
      <c r="R34" s="62">
        <f t="shared" si="7"/>
        <v>1</v>
      </c>
      <c r="S34" s="62">
        <f t="shared" si="7"/>
        <v>1</v>
      </c>
      <c r="T34" s="63">
        <f t="shared" si="7"/>
        <v>1</v>
      </c>
      <c r="U34" s="61">
        <v>1</v>
      </c>
      <c r="V34" s="62">
        <f t="shared" si="8"/>
        <v>1</v>
      </c>
      <c r="W34" s="62">
        <f t="shared" si="8"/>
        <v>1</v>
      </c>
      <c r="X34" s="62">
        <f t="shared" si="8"/>
        <v>1</v>
      </c>
      <c r="Y34" s="62">
        <f t="shared" si="8"/>
        <v>1</v>
      </c>
      <c r="Z34" s="62">
        <f t="shared" si="8"/>
        <v>1</v>
      </c>
      <c r="AA34" s="62">
        <f t="shared" si="8"/>
        <v>1</v>
      </c>
      <c r="AB34" s="63">
        <f t="shared" si="8"/>
        <v>1</v>
      </c>
      <c r="AC34" s="61">
        <v>1</v>
      </c>
      <c r="AD34" s="62">
        <f t="shared" si="9"/>
        <v>1</v>
      </c>
      <c r="AE34" s="62">
        <f t="shared" si="9"/>
        <v>1</v>
      </c>
      <c r="AF34" s="62">
        <f t="shared" si="9"/>
        <v>1</v>
      </c>
      <c r="AG34" s="62">
        <f t="shared" si="9"/>
        <v>1</v>
      </c>
      <c r="AH34" s="62">
        <f t="shared" si="9"/>
        <v>1</v>
      </c>
      <c r="AI34" s="62">
        <f t="shared" si="9"/>
        <v>1</v>
      </c>
      <c r="AJ34" s="63">
        <f t="shared" si="9"/>
        <v>1</v>
      </c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>
        <f t="shared" si="10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4"/>
        <v>32</v>
      </c>
      <c r="BB34" s="9">
        <f t="shared" si="5"/>
        <v>103</v>
      </c>
      <c r="BC34" s="10">
        <f t="shared" si="6"/>
        <v>77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102</v>
      </c>
      <c r="E35" s="135"/>
      <c r="F35" s="136"/>
      <c r="G35" s="136"/>
      <c r="H35" s="136"/>
      <c r="I35" s="136"/>
      <c r="J35" s="136"/>
      <c r="K35" s="136"/>
      <c r="L35" s="137"/>
      <c r="M35" s="61">
        <v>1</v>
      </c>
      <c r="N35" s="62">
        <f t="shared" si="7"/>
        <v>1</v>
      </c>
      <c r="O35" s="62">
        <f t="shared" si="7"/>
        <v>1</v>
      </c>
      <c r="P35" s="62">
        <f t="shared" si="7"/>
        <v>1</v>
      </c>
      <c r="Q35" s="62">
        <f t="shared" si="7"/>
        <v>1</v>
      </c>
      <c r="R35" s="62">
        <f t="shared" si="7"/>
        <v>1</v>
      </c>
      <c r="S35" s="62">
        <f t="shared" si="7"/>
        <v>1</v>
      </c>
      <c r="T35" s="63">
        <f t="shared" si="7"/>
        <v>1</v>
      </c>
      <c r="U35" s="61">
        <v>1</v>
      </c>
      <c r="V35" s="62">
        <f t="shared" si="8"/>
        <v>1</v>
      </c>
      <c r="W35" s="62">
        <f t="shared" si="8"/>
        <v>1</v>
      </c>
      <c r="X35" s="62">
        <f t="shared" si="8"/>
        <v>1</v>
      </c>
      <c r="Y35" s="62">
        <f t="shared" si="8"/>
        <v>1</v>
      </c>
      <c r="Z35" s="62">
        <f t="shared" si="8"/>
        <v>1</v>
      </c>
      <c r="AA35" s="62">
        <f t="shared" si="8"/>
        <v>1</v>
      </c>
      <c r="AB35" s="63">
        <f t="shared" si="8"/>
        <v>1</v>
      </c>
      <c r="AC35" s="61">
        <v>1</v>
      </c>
      <c r="AD35" s="62">
        <f t="shared" si="9"/>
        <v>1</v>
      </c>
      <c r="AE35" s="62">
        <f t="shared" si="9"/>
        <v>1</v>
      </c>
      <c r="AF35" s="62">
        <f t="shared" si="9"/>
        <v>1</v>
      </c>
      <c r="AG35" s="62">
        <f t="shared" si="9"/>
        <v>1</v>
      </c>
      <c r="AH35" s="62">
        <f t="shared" si="9"/>
        <v>1</v>
      </c>
      <c r="AI35" s="62">
        <f t="shared" si="9"/>
        <v>1</v>
      </c>
      <c r="AJ35" s="63">
        <f t="shared" si="9"/>
        <v>1</v>
      </c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>
        <f t="shared" si="10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4"/>
        <v>32</v>
      </c>
      <c r="BB35" s="9">
        <f t="shared" si="5"/>
        <v>134</v>
      </c>
      <c r="BC35" s="10">
        <f t="shared" si="6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69</v>
      </c>
      <c r="E36" s="135"/>
      <c r="F36" s="136"/>
      <c r="G36" s="136"/>
      <c r="H36" s="136"/>
      <c r="I36" s="136"/>
      <c r="J36" s="136"/>
      <c r="K36" s="136"/>
      <c r="L36" s="137"/>
      <c r="M36" s="61">
        <v>1</v>
      </c>
      <c r="N36" s="62">
        <f t="shared" si="7"/>
        <v>1</v>
      </c>
      <c r="O36" s="62">
        <v>1</v>
      </c>
      <c r="P36" s="62">
        <f t="shared" si="7"/>
        <v>1</v>
      </c>
      <c r="Q36" s="62" t="s">
        <v>124</v>
      </c>
      <c r="R36" s="62" t="str">
        <f t="shared" si="7"/>
        <v>a</v>
      </c>
      <c r="S36" s="62" t="str">
        <f t="shared" si="7"/>
        <v>a</v>
      </c>
      <c r="T36" s="63" t="str">
        <f t="shared" si="7"/>
        <v>a</v>
      </c>
      <c r="U36" s="61">
        <v>1</v>
      </c>
      <c r="V36" s="62">
        <f t="shared" si="8"/>
        <v>1</v>
      </c>
      <c r="W36" s="62">
        <f t="shared" si="8"/>
        <v>1</v>
      </c>
      <c r="X36" s="62">
        <f t="shared" si="8"/>
        <v>1</v>
      </c>
      <c r="Y36" s="62">
        <f t="shared" si="8"/>
        <v>1</v>
      </c>
      <c r="Z36" s="62">
        <f t="shared" si="8"/>
        <v>1</v>
      </c>
      <c r="AA36" s="62">
        <f t="shared" si="8"/>
        <v>1</v>
      </c>
      <c r="AB36" s="63">
        <f t="shared" si="8"/>
        <v>1</v>
      </c>
      <c r="AC36" s="61">
        <v>1</v>
      </c>
      <c r="AD36" s="62">
        <f t="shared" si="9"/>
        <v>1</v>
      </c>
      <c r="AE36" s="62">
        <f t="shared" si="9"/>
        <v>1</v>
      </c>
      <c r="AF36" s="62">
        <f t="shared" si="9"/>
        <v>1</v>
      </c>
      <c r="AG36" s="62">
        <f t="shared" si="9"/>
        <v>1</v>
      </c>
      <c r="AH36" s="62">
        <f t="shared" si="9"/>
        <v>1</v>
      </c>
      <c r="AI36" s="62">
        <f t="shared" si="9"/>
        <v>1</v>
      </c>
      <c r="AJ36" s="63">
        <f t="shared" si="9"/>
        <v>1</v>
      </c>
      <c r="AK36" s="61">
        <v>1</v>
      </c>
      <c r="AL36" s="62">
        <f t="shared" si="10"/>
        <v>1</v>
      </c>
      <c r="AM36" s="62">
        <f t="shared" si="10"/>
        <v>1</v>
      </c>
      <c r="AN36" s="62">
        <f t="shared" si="10"/>
        <v>1</v>
      </c>
      <c r="AO36" s="62">
        <f t="shared" si="10"/>
        <v>1</v>
      </c>
      <c r="AP36" s="62">
        <f t="shared" si="10"/>
        <v>1</v>
      </c>
      <c r="AQ36" s="62">
        <f t="shared" si="10"/>
        <v>1</v>
      </c>
      <c r="AR36" s="63">
        <f t="shared" si="10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4"/>
        <v>28</v>
      </c>
      <c r="BB36" s="9">
        <f t="shared" si="5"/>
        <v>97</v>
      </c>
      <c r="BC36" s="10">
        <f t="shared" si="6"/>
        <v>72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102</v>
      </c>
      <c r="E37" s="135"/>
      <c r="F37" s="136"/>
      <c r="G37" s="136"/>
      <c r="H37" s="136"/>
      <c r="I37" s="136"/>
      <c r="J37" s="136"/>
      <c r="K37" s="136"/>
      <c r="L37" s="137"/>
      <c r="M37" s="61">
        <v>1</v>
      </c>
      <c r="N37" s="62">
        <f t="shared" si="7"/>
        <v>1</v>
      </c>
      <c r="O37" s="62">
        <f t="shared" si="7"/>
        <v>1</v>
      </c>
      <c r="P37" s="62">
        <f t="shared" si="7"/>
        <v>1</v>
      </c>
      <c r="Q37" s="62">
        <f t="shared" si="7"/>
        <v>1</v>
      </c>
      <c r="R37" s="62">
        <f t="shared" si="7"/>
        <v>1</v>
      </c>
      <c r="S37" s="62">
        <f t="shared" si="7"/>
        <v>1</v>
      </c>
      <c r="T37" s="63">
        <f t="shared" si="7"/>
        <v>1</v>
      </c>
      <c r="U37" s="61">
        <v>1</v>
      </c>
      <c r="V37" s="62">
        <f t="shared" si="8"/>
        <v>1</v>
      </c>
      <c r="W37" s="62">
        <f t="shared" si="8"/>
        <v>1</v>
      </c>
      <c r="X37" s="62">
        <f t="shared" si="8"/>
        <v>1</v>
      </c>
      <c r="Y37" s="62">
        <f t="shared" si="8"/>
        <v>1</v>
      </c>
      <c r="Z37" s="62">
        <f t="shared" si="8"/>
        <v>1</v>
      </c>
      <c r="AA37" s="62">
        <f t="shared" si="8"/>
        <v>1</v>
      </c>
      <c r="AB37" s="63">
        <f t="shared" si="8"/>
        <v>1</v>
      </c>
      <c r="AC37" s="61">
        <v>1</v>
      </c>
      <c r="AD37" s="62">
        <f t="shared" si="9"/>
        <v>1</v>
      </c>
      <c r="AE37" s="62">
        <f t="shared" si="9"/>
        <v>1</v>
      </c>
      <c r="AF37" s="62">
        <f t="shared" si="9"/>
        <v>1</v>
      </c>
      <c r="AG37" s="62">
        <f t="shared" si="9"/>
        <v>1</v>
      </c>
      <c r="AH37" s="62">
        <f t="shared" si="9"/>
        <v>1</v>
      </c>
      <c r="AI37" s="62">
        <f t="shared" si="9"/>
        <v>1</v>
      </c>
      <c r="AJ37" s="63">
        <f t="shared" si="9"/>
        <v>1</v>
      </c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>
        <f t="shared" si="10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4"/>
        <v>32</v>
      </c>
      <c r="BB37" s="9">
        <f t="shared" si="5"/>
        <v>134</v>
      </c>
      <c r="BC37" s="10">
        <f t="shared" si="6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62</v>
      </c>
      <c r="E38" s="135"/>
      <c r="F38" s="136"/>
      <c r="G38" s="136"/>
      <c r="H38" s="136"/>
      <c r="I38" s="136"/>
      <c r="J38" s="136"/>
      <c r="K38" s="136"/>
      <c r="L38" s="137"/>
      <c r="M38" s="61">
        <v>1</v>
      </c>
      <c r="N38" s="62">
        <f t="shared" si="7"/>
        <v>1</v>
      </c>
      <c r="O38" s="62">
        <f t="shared" si="7"/>
        <v>1</v>
      </c>
      <c r="P38" s="62">
        <f t="shared" si="7"/>
        <v>1</v>
      </c>
      <c r="Q38" s="62">
        <f t="shared" si="7"/>
        <v>1</v>
      </c>
      <c r="R38" s="62">
        <f t="shared" si="7"/>
        <v>1</v>
      </c>
      <c r="S38" s="62">
        <f t="shared" si="7"/>
        <v>1</v>
      </c>
      <c r="T38" s="63">
        <f t="shared" si="7"/>
        <v>1</v>
      </c>
      <c r="U38" s="61">
        <v>1</v>
      </c>
      <c r="V38" s="62">
        <f t="shared" si="8"/>
        <v>1</v>
      </c>
      <c r="W38" s="62">
        <f t="shared" si="8"/>
        <v>1</v>
      </c>
      <c r="X38" s="62">
        <f t="shared" si="8"/>
        <v>1</v>
      </c>
      <c r="Y38" s="62">
        <f t="shared" si="8"/>
        <v>1</v>
      </c>
      <c r="Z38" s="62">
        <f t="shared" si="8"/>
        <v>1</v>
      </c>
      <c r="AA38" s="62">
        <f t="shared" si="8"/>
        <v>1</v>
      </c>
      <c r="AB38" s="63">
        <f t="shared" si="8"/>
        <v>1</v>
      </c>
      <c r="AC38" s="61">
        <v>1</v>
      </c>
      <c r="AD38" s="62">
        <f t="shared" si="9"/>
        <v>1</v>
      </c>
      <c r="AE38" s="62">
        <f t="shared" si="9"/>
        <v>1</v>
      </c>
      <c r="AF38" s="62">
        <f t="shared" si="9"/>
        <v>1</v>
      </c>
      <c r="AG38" s="62">
        <f t="shared" si="9"/>
        <v>1</v>
      </c>
      <c r="AH38" s="62">
        <f t="shared" si="9"/>
        <v>1</v>
      </c>
      <c r="AI38" s="62">
        <f t="shared" si="9"/>
        <v>1</v>
      </c>
      <c r="AJ38" s="63">
        <f t="shared" si="9"/>
        <v>1</v>
      </c>
      <c r="AK38" s="61">
        <v>1</v>
      </c>
      <c r="AL38" s="62">
        <f t="shared" si="10"/>
        <v>1</v>
      </c>
      <c r="AM38" s="62">
        <f t="shared" si="10"/>
        <v>1</v>
      </c>
      <c r="AN38" s="62">
        <f t="shared" si="10"/>
        <v>1</v>
      </c>
      <c r="AO38" s="62">
        <f t="shared" si="10"/>
        <v>1</v>
      </c>
      <c r="AP38" s="62">
        <f t="shared" si="10"/>
        <v>1</v>
      </c>
      <c r="AQ38" s="62">
        <f t="shared" si="10"/>
        <v>1</v>
      </c>
      <c r="AR38" s="63">
        <f t="shared" si="10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32</v>
      </c>
      <c r="BB38" s="9">
        <f t="shared" si="5"/>
        <v>94</v>
      </c>
      <c r="BC38" s="10">
        <f t="shared" si="6"/>
        <v>70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78</v>
      </c>
      <c r="E39" s="135"/>
      <c r="F39" s="136"/>
      <c r="G39" s="136"/>
      <c r="H39" s="136"/>
      <c r="I39" s="136"/>
      <c r="J39" s="136"/>
      <c r="K39" s="136"/>
      <c r="L39" s="137"/>
      <c r="M39" s="61">
        <v>1</v>
      </c>
      <c r="N39" s="62">
        <f t="shared" si="7"/>
        <v>1</v>
      </c>
      <c r="O39" s="62">
        <f t="shared" si="7"/>
        <v>1</v>
      </c>
      <c r="P39" s="62">
        <f t="shared" si="7"/>
        <v>1</v>
      </c>
      <c r="Q39" s="62">
        <f t="shared" si="7"/>
        <v>1</v>
      </c>
      <c r="R39" s="62">
        <f t="shared" si="7"/>
        <v>1</v>
      </c>
      <c r="S39" s="62">
        <f t="shared" si="7"/>
        <v>1</v>
      </c>
      <c r="T39" s="63">
        <f t="shared" si="7"/>
        <v>1</v>
      </c>
      <c r="U39" s="61">
        <v>1</v>
      </c>
      <c r="V39" s="62">
        <f t="shared" si="8"/>
        <v>1</v>
      </c>
      <c r="W39" s="62">
        <f t="shared" si="8"/>
        <v>1</v>
      </c>
      <c r="X39" s="62">
        <f t="shared" si="8"/>
        <v>1</v>
      </c>
      <c r="Y39" s="62">
        <f t="shared" si="8"/>
        <v>1</v>
      </c>
      <c r="Z39" s="62">
        <f t="shared" si="8"/>
        <v>1</v>
      </c>
      <c r="AA39" s="62">
        <f t="shared" si="8"/>
        <v>1</v>
      </c>
      <c r="AB39" s="63">
        <f t="shared" si="8"/>
        <v>1</v>
      </c>
      <c r="AC39" s="61">
        <v>1</v>
      </c>
      <c r="AD39" s="62">
        <f t="shared" si="9"/>
        <v>1</v>
      </c>
      <c r="AE39" s="62">
        <f t="shared" si="9"/>
        <v>1</v>
      </c>
      <c r="AF39" s="62">
        <f t="shared" si="9"/>
        <v>1</v>
      </c>
      <c r="AG39" s="62">
        <f t="shared" si="9"/>
        <v>1</v>
      </c>
      <c r="AH39" s="62">
        <f t="shared" si="9"/>
        <v>1</v>
      </c>
      <c r="AI39" s="62">
        <f t="shared" si="9"/>
        <v>1</v>
      </c>
      <c r="AJ39" s="63">
        <f t="shared" si="9"/>
        <v>1</v>
      </c>
      <c r="AK39" s="61">
        <v>1</v>
      </c>
      <c r="AL39" s="62">
        <f t="shared" si="10"/>
        <v>1</v>
      </c>
      <c r="AM39" s="62">
        <f t="shared" si="10"/>
        <v>1</v>
      </c>
      <c r="AN39" s="62">
        <f t="shared" si="10"/>
        <v>1</v>
      </c>
      <c r="AO39" s="62">
        <f t="shared" si="10"/>
        <v>1</v>
      </c>
      <c r="AP39" s="62">
        <f t="shared" si="10"/>
        <v>1</v>
      </c>
      <c r="AQ39" s="62">
        <f t="shared" si="10"/>
        <v>1</v>
      </c>
      <c r="AR39" s="63">
        <f t="shared" si="10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1">SUM(E39:AZ39)</f>
        <v>32</v>
      </c>
      <c r="BB39" s="9">
        <f t="shared" si="5"/>
        <v>110</v>
      </c>
      <c r="BC39" s="10">
        <f t="shared" si="6"/>
        <v>82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88</v>
      </c>
      <c r="E40" s="135"/>
      <c r="F40" s="136"/>
      <c r="G40" s="136"/>
      <c r="H40" s="136"/>
      <c r="I40" s="136"/>
      <c r="J40" s="136"/>
      <c r="K40" s="136"/>
      <c r="L40" s="137"/>
      <c r="M40" s="61">
        <v>1</v>
      </c>
      <c r="N40" s="62">
        <f t="shared" si="7"/>
        <v>1</v>
      </c>
      <c r="O40" s="62">
        <f t="shared" si="7"/>
        <v>1</v>
      </c>
      <c r="P40" s="62">
        <f t="shared" si="7"/>
        <v>1</v>
      </c>
      <c r="Q40" s="62">
        <f t="shared" si="7"/>
        <v>1</v>
      </c>
      <c r="R40" s="62">
        <f t="shared" si="7"/>
        <v>1</v>
      </c>
      <c r="S40" s="62">
        <f t="shared" si="7"/>
        <v>1</v>
      </c>
      <c r="T40" s="63">
        <f t="shared" si="7"/>
        <v>1</v>
      </c>
      <c r="U40" s="61">
        <v>1</v>
      </c>
      <c r="V40" s="62">
        <f t="shared" si="8"/>
        <v>1</v>
      </c>
      <c r="W40" s="62">
        <f t="shared" si="8"/>
        <v>1</v>
      </c>
      <c r="X40" s="62">
        <f t="shared" si="8"/>
        <v>1</v>
      </c>
      <c r="Y40" s="62">
        <f t="shared" si="8"/>
        <v>1</v>
      </c>
      <c r="Z40" s="62">
        <f t="shared" si="8"/>
        <v>1</v>
      </c>
      <c r="AA40" s="62">
        <f t="shared" si="8"/>
        <v>1</v>
      </c>
      <c r="AB40" s="63">
        <f t="shared" si="8"/>
        <v>1</v>
      </c>
      <c r="AC40" s="61" t="s">
        <v>124</v>
      </c>
      <c r="AD40" s="62" t="str">
        <f t="shared" si="9"/>
        <v>a</v>
      </c>
      <c r="AE40" s="62" t="str">
        <f t="shared" si="9"/>
        <v>a</v>
      </c>
      <c r="AF40" s="62" t="str">
        <f t="shared" si="9"/>
        <v>a</v>
      </c>
      <c r="AG40" s="62" t="str">
        <f t="shared" si="9"/>
        <v>a</v>
      </c>
      <c r="AH40" s="62" t="str">
        <f t="shared" si="9"/>
        <v>a</v>
      </c>
      <c r="AI40" s="62" t="str">
        <f t="shared" si="9"/>
        <v>a</v>
      </c>
      <c r="AJ40" s="63" t="str">
        <f t="shared" si="9"/>
        <v>a</v>
      </c>
      <c r="AK40" s="61">
        <v>1</v>
      </c>
      <c r="AL40" s="62">
        <f t="shared" si="10"/>
        <v>1</v>
      </c>
      <c r="AM40" s="62">
        <f t="shared" si="10"/>
        <v>1</v>
      </c>
      <c r="AN40" s="62">
        <f t="shared" si="10"/>
        <v>1</v>
      </c>
      <c r="AO40" s="62">
        <f t="shared" si="10"/>
        <v>1</v>
      </c>
      <c r="AP40" s="62">
        <f t="shared" si="10"/>
        <v>1</v>
      </c>
      <c r="AQ40" s="62">
        <f t="shared" si="10"/>
        <v>1</v>
      </c>
      <c r="AR40" s="63">
        <f t="shared" si="10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1"/>
        <v>24</v>
      </c>
      <c r="BB40" s="9">
        <f t="shared" si="5"/>
        <v>112</v>
      </c>
      <c r="BC40" s="10">
        <f t="shared" si="6"/>
        <v>84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94</v>
      </c>
      <c r="E41" s="135"/>
      <c r="F41" s="136"/>
      <c r="G41" s="136"/>
      <c r="H41" s="136"/>
      <c r="I41" s="136"/>
      <c r="J41" s="136"/>
      <c r="K41" s="136"/>
      <c r="L41" s="137"/>
      <c r="M41" s="61">
        <v>1</v>
      </c>
      <c r="N41" s="62">
        <f t="shared" si="7"/>
        <v>1</v>
      </c>
      <c r="O41" s="62">
        <f t="shared" si="7"/>
        <v>1</v>
      </c>
      <c r="P41" s="62">
        <f t="shared" si="7"/>
        <v>1</v>
      </c>
      <c r="Q41" s="62">
        <f t="shared" si="7"/>
        <v>1</v>
      </c>
      <c r="R41" s="62">
        <f t="shared" si="7"/>
        <v>1</v>
      </c>
      <c r="S41" s="62">
        <f t="shared" si="7"/>
        <v>1</v>
      </c>
      <c r="T41" s="63">
        <f t="shared" si="7"/>
        <v>1</v>
      </c>
      <c r="U41" s="61">
        <v>1</v>
      </c>
      <c r="V41" s="62">
        <f t="shared" si="8"/>
        <v>1</v>
      </c>
      <c r="W41" s="62">
        <f t="shared" si="8"/>
        <v>1</v>
      </c>
      <c r="X41" s="62">
        <f t="shared" si="8"/>
        <v>1</v>
      </c>
      <c r="Y41" s="62">
        <f t="shared" si="8"/>
        <v>1</v>
      </c>
      <c r="Z41" s="62">
        <f t="shared" si="8"/>
        <v>1</v>
      </c>
      <c r="AA41" s="62">
        <f t="shared" si="8"/>
        <v>1</v>
      </c>
      <c r="AB41" s="63">
        <f t="shared" si="8"/>
        <v>1</v>
      </c>
      <c r="AC41" s="61">
        <v>1</v>
      </c>
      <c r="AD41" s="62">
        <f t="shared" si="9"/>
        <v>1</v>
      </c>
      <c r="AE41" s="62">
        <f t="shared" si="9"/>
        <v>1</v>
      </c>
      <c r="AF41" s="62">
        <f t="shared" si="9"/>
        <v>1</v>
      </c>
      <c r="AG41" s="62">
        <f t="shared" si="9"/>
        <v>1</v>
      </c>
      <c r="AH41" s="62">
        <f t="shared" si="9"/>
        <v>1</v>
      </c>
      <c r="AI41" s="62">
        <f t="shared" si="9"/>
        <v>1</v>
      </c>
      <c r="AJ41" s="63">
        <f t="shared" si="9"/>
        <v>1</v>
      </c>
      <c r="AK41" s="61">
        <v>1</v>
      </c>
      <c r="AL41" s="62">
        <f t="shared" si="10"/>
        <v>1</v>
      </c>
      <c r="AM41" s="62">
        <f t="shared" si="10"/>
        <v>1</v>
      </c>
      <c r="AN41" s="62">
        <f t="shared" si="10"/>
        <v>1</v>
      </c>
      <c r="AO41" s="62">
        <f t="shared" si="10"/>
        <v>1</v>
      </c>
      <c r="AP41" s="62">
        <f t="shared" si="10"/>
        <v>1</v>
      </c>
      <c r="AQ41" s="62">
        <f t="shared" si="10"/>
        <v>1</v>
      </c>
      <c r="AR41" s="63">
        <f t="shared" si="10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1"/>
        <v>32</v>
      </c>
      <c r="BB41" s="9">
        <f t="shared" si="5"/>
        <v>126</v>
      </c>
      <c r="BC41" s="10">
        <f t="shared" si="6"/>
        <v>94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93</v>
      </c>
      <c r="E42" s="138"/>
      <c r="F42" s="139"/>
      <c r="G42" s="139"/>
      <c r="H42" s="139"/>
      <c r="I42" s="139"/>
      <c r="J42" s="139"/>
      <c r="K42" s="139"/>
      <c r="L42" s="140"/>
      <c r="M42" s="61">
        <v>1</v>
      </c>
      <c r="N42" s="62">
        <f t="shared" ref="N42:T57" si="12">M42</f>
        <v>1</v>
      </c>
      <c r="O42" s="62">
        <f t="shared" si="12"/>
        <v>1</v>
      </c>
      <c r="P42" s="62">
        <f t="shared" si="12"/>
        <v>1</v>
      </c>
      <c r="Q42" s="62">
        <f t="shared" si="12"/>
        <v>1</v>
      </c>
      <c r="R42" s="62">
        <f t="shared" si="12"/>
        <v>1</v>
      </c>
      <c r="S42" s="62">
        <f t="shared" si="12"/>
        <v>1</v>
      </c>
      <c r="T42" s="63">
        <f t="shared" si="12"/>
        <v>1</v>
      </c>
      <c r="U42" s="61">
        <v>1</v>
      </c>
      <c r="V42" s="62">
        <f t="shared" ref="V42:AB57" si="13">U42</f>
        <v>1</v>
      </c>
      <c r="W42" s="62">
        <f t="shared" si="13"/>
        <v>1</v>
      </c>
      <c r="X42" s="62">
        <f t="shared" si="13"/>
        <v>1</v>
      </c>
      <c r="Y42" s="62">
        <f t="shared" si="13"/>
        <v>1</v>
      </c>
      <c r="Z42" s="62">
        <f t="shared" si="13"/>
        <v>1</v>
      </c>
      <c r="AA42" s="62">
        <f t="shared" si="13"/>
        <v>1</v>
      </c>
      <c r="AB42" s="63">
        <f t="shared" si="13"/>
        <v>1</v>
      </c>
      <c r="AC42" s="61">
        <v>1</v>
      </c>
      <c r="AD42" s="62">
        <f t="shared" ref="AD42:AJ57" si="14">AC42</f>
        <v>1</v>
      </c>
      <c r="AE42" s="62">
        <f t="shared" si="14"/>
        <v>1</v>
      </c>
      <c r="AF42" s="62">
        <f t="shared" si="14"/>
        <v>1</v>
      </c>
      <c r="AG42" s="62">
        <f t="shared" si="14"/>
        <v>1</v>
      </c>
      <c r="AH42" s="62">
        <f t="shared" si="14"/>
        <v>1</v>
      </c>
      <c r="AI42" s="62">
        <f t="shared" si="14"/>
        <v>1</v>
      </c>
      <c r="AJ42" s="63">
        <f t="shared" si="14"/>
        <v>1</v>
      </c>
      <c r="AK42" s="61">
        <v>1</v>
      </c>
      <c r="AL42" s="62">
        <f t="shared" ref="AL42:AR57" si="15">AK42</f>
        <v>1</v>
      </c>
      <c r="AM42" s="62">
        <f t="shared" si="15"/>
        <v>1</v>
      </c>
      <c r="AN42" s="62">
        <f t="shared" si="15"/>
        <v>1</v>
      </c>
      <c r="AO42" s="62">
        <f t="shared" si="15"/>
        <v>1</v>
      </c>
      <c r="AP42" s="62">
        <f t="shared" si="15"/>
        <v>1</v>
      </c>
      <c r="AQ42" s="62">
        <f t="shared" si="15"/>
        <v>1</v>
      </c>
      <c r="AR42" s="63">
        <f t="shared" si="15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1"/>
        <v>32</v>
      </c>
      <c r="BB42" s="9">
        <f t="shared" si="5"/>
        <v>125</v>
      </c>
      <c r="BC42" s="10">
        <f t="shared" si="6"/>
        <v>93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77</v>
      </c>
      <c r="E43" s="141" t="s">
        <v>157</v>
      </c>
      <c r="F43" s="142"/>
      <c r="G43" s="142"/>
      <c r="H43" s="142"/>
      <c r="I43" s="142"/>
      <c r="J43" s="142"/>
      <c r="K43" s="142"/>
      <c r="L43" s="143"/>
      <c r="M43" s="61">
        <v>1</v>
      </c>
      <c r="N43" s="62">
        <f t="shared" si="12"/>
        <v>1</v>
      </c>
      <c r="O43" s="62">
        <f t="shared" si="12"/>
        <v>1</v>
      </c>
      <c r="P43" s="62">
        <f t="shared" si="12"/>
        <v>1</v>
      </c>
      <c r="Q43" s="62">
        <f t="shared" si="12"/>
        <v>1</v>
      </c>
      <c r="R43" s="62">
        <f t="shared" si="12"/>
        <v>1</v>
      </c>
      <c r="S43" s="62">
        <f t="shared" si="12"/>
        <v>1</v>
      </c>
      <c r="T43" s="63">
        <f t="shared" si="12"/>
        <v>1</v>
      </c>
      <c r="U43" s="61">
        <v>1</v>
      </c>
      <c r="V43" s="62">
        <f t="shared" si="13"/>
        <v>1</v>
      </c>
      <c r="W43" s="62">
        <f t="shared" si="13"/>
        <v>1</v>
      </c>
      <c r="X43" s="62">
        <f t="shared" si="13"/>
        <v>1</v>
      </c>
      <c r="Y43" s="62">
        <f t="shared" si="13"/>
        <v>1</v>
      </c>
      <c r="Z43" s="62">
        <f t="shared" si="13"/>
        <v>1</v>
      </c>
      <c r="AA43" s="62">
        <f t="shared" si="13"/>
        <v>1</v>
      </c>
      <c r="AB43" s="63">
        <f t="shared" si="13"/>
        <v>1</v>
      </c>
      <c r="AC43" s="61">
        <v>1</v>
      </c>
      <c r="AD43" s="62">
        <f t="shared" si="14"/>
        <v>1</v>
      </c>
      <c r="AE43" s="62">
        <f t="shared" si="14"/>
        <v>1</v>
      </c>
      <c r="AF43" s="62">
        <f t="shared" si="14"/>
        <v>1</v>
      </c>
      <c r="AG43" s="62">
        <f t="shared" si="14"/>
        <v>1</v>
      </c>
      <c r="AH43" s="62">
        <f t="shared" si="14"/>
        <v>1</v>
      </c>
      <c r="AI43" s="62">
        <f t="shared" si="14"/>
        <v>1</v>
      </c>
      <c r="AJ43" s="63">
        <f t="shared" si="14"/>
        <v>1</v>
      </c>
      <c r="AK43" s="61">
        <v>1</v>
      </c>
      <c r="AL43" s="62">
        <f t="shared" si="15"/>
        <v>1</v>
      </c>
      <c r="AM43" s="62">
        <f t="shared" si="15"/>
        <v>1</v>
      </c>
      <c r="AN43" s="62">
        <f t="shared" si="15"/>
        <v>1</v>
      </c>
      <c r="AO43" s="62">
        <f t="shared" si="15"/>
        <v>1</v>
      </c>
      <c r="AP43" s="62">
        <f t="shared" si="15"/>
        <v>1</v>
      </c>
      <c r="AQ43" s="62">
        <f t="shared" si="15"/>
        <v>1</v>
      </c>
      <c r="AR43" s="63">
        <f t="shared" si="15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1"/>
        <v>32</v>
      </c>
      <c r="BB43" s="9">
        <f t="shared" si="5"/>
        <v>109</v>
      </c>
      <c r="BC43" s="10">
        <f t="shared" si="6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48</v>
      </c>
      <c r="E44" s="135"/>
      <c r="F44" s="136"/>
      <c r="G44" s="136"/>
      <c r="H44" s="136"/>
      <c r="I44" s="136"/>
      <c r="J44" s="136"/>
      <c r="K44" s="136"/>
      <c r="L44" s="137"/>
      <c r="M44" s="61">
        <v>1</v>
      </c>
      <c r="N44" s="62">
        <f t="shared" si="12"/>
        <v>1</v>
      </c>
      <c r="O44" s="62">
        <f t="shared" si="12"/>
        <v>1</v>
      </c>
      <c r="P44" s="62">
        <f t="shared" si="12"/>
        <v>1</v>
      </c>
      <c r="Q44" s="62">
        <f t="shared" si="12"/>
        <v>1</v>
      </c>
      <c r="R44" s="62">
        <f t="shared" si="12"/>
        <v>1</v>
      </c>
      <c r="S44" s="62">
        <f t="shared" si="12"/>
        <v>1</v>
      </c>
      <c r="T44" s="63">
        <f t="shared" si="12"/>
        <v>1</v>
      </c>
      <c r="U44" s="61">
        <v>1</v>
      </c>
      <c r="V44" s="62">
        <f t="shared" si="13"/>
        <v>1</v>
      </c>
      <c r="W44" s="62">
        <f t="shared" si="13"/>
        <v>1</v>
      </c>
      <c r="X44" s="62">
        <f t="shared" si="13"/>
        <v>1</v>
      </c>
      <c r="Y44" s="62">
        <f t="shared" si="13"/>
        <v>1</v>
      </c>
      <c r="Z44" s="62">
        <f t="shared" si="13"/>
        <v>1</v>
      </c>
      <c r="AA44" s="62">
        <f t="shared" si="13"/>
        <v>1</v>
      </c>
      <c r="AB44" s="63">
        <f t="shared" si="13"/>
        <v>1</v>
      </c>
      <c r="AC44" s="61" t="s">
        <v>124</v>
      </c>
      <c r="AD44" s="62" t="str">
        <f t="shared" si="14"/>
        <v>a</v>
      </c>
      <c r="AE44" s="62" t="str">
        <f t="shared" si="14"/>
        <v>a</v>
      </c>
      <c r="AF44" s="62" t="str">
        <f t="shared" si="14"/>
        <v>a</v>
      </c>
      <c r="AG44" s="62" t="str">
        <f t="shared" si="14"/>
        <v>a</v>
      </c>
      <c r="AH44" s="62" t="str">
        <f t="shared" si="14"/>
        <v>a</v>
      </c>
      <c r="AI44" s="62" t="str">
        <f t="shared" si="14"/>
        <v>a</v>
      </c>
      <c r="AJ44" s="63" t="str">
        <f t="shared" si="14"/>
        <v>a</v>
      </c>
      <c r="AK44" s="61">
        <v>1</v>
      </c>
      <c r="AL44" s="62">
        <f t="shared" si="15"/>
        <v>1</v>
      </c>
      <c r="AM44" s="62">
        <f t="shared" si="15"/>
        <v>1</v>
      </c>
      <c r="AN44" s="62">
        <f t="shared" si="15"/>
        <v>1</v>
      </c>
      <c r="AO44" s="62">
        <f t="shared" si="15"/>
        <v>1</v>
      </c>
      <c r="AP44" s="62">
        <f t="shared" si="15"/>
        <v>1</v>
      </c>
      <c r="AQ44" s="62">
        <f t="shared" si="15"/>
        <v>1</v>
      </c>
      <c r="AR44" s="63">
        <f t="shared" si="15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1"/>
        <v>24</v>
      </c>
      <c r="BB44" s="9">
        <f t="shared" si="5"/>
        <v>72</v>
      </c>
      <c r="BC44" s="10">
        <f t="shared" si="6"/>
        <v>54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78</v>
      </c>
      <c r="E45" s="135"/>
      <c r="F45" s="136"/>
      <c r="G45" s="136"/>
      <c r="H45" s="136"/>
      <c r="I45" s="136"/>
      <c r="J45" s="136"/>
      <c r="K45" s="136"/>
      <c r="L45" s="137"/>
      <c r="M45" s="61">
        <v>1</v>
      </c>
      <c r="N45" s="62">
        <f t="shared" si="12"/>
        <v>1</v>
      </c>
      <c r="O45" s="62">
        <f t="shared" si="12"/>
        <v>1</v>
      </c>
      <c r="P45" s="62">
        <f t="shared" si="12"/>
        <v>1</v>
      </c>
      <c r="Q45" s="62">
        <f t="shared" si="12"/>
        <v>1</v>
      </c>
      <c r="R45" s="62">
        <f t="shared" si="12"/>
        <v>1</v>
      </c>
      <c r="S45" s="62">
        <f t="shared" si="12"/>
        <v>1</v>
      </c>
      <c r="T45" s="63">
        <f t="shared" si="12"/>
        <v>1</v>
      </c>
      <c r="U45" s="61">
        <v>1</v>
      </c>
      <c r="V45" s="62">
        <f t="shared" si="13"/>
        <v>1</v>
      </c>
      <c r="W45" s="62">
        <f t="shared" si="13"/>
        <v>1</v>
      </c>
      <c r="X45" s="62">
        <f t="shared" si="13"/>
        <v>1</v>
      </c>
      <c r="Y45" s="62">
        <f t="shared" si="13"/>
        <v>1</v>
      </c>
      <c r="Z45" s="62">
        <f t="shared" si="13"/>
        <v>1</v>
      </c>
      <c r="AA45" s="62">
        <f t="shared" si="13"/>
        <v>1</v>
      </c>
      <c r="AB45" s="63">
        <f t="shared" si="13"/>
        <v>1</v>
      </c>
      <c r="AC45" s="61">
        <v>1</v>
      </c>
      <c r="AD45" s="62">
        <f t="shared" si="14"/>
        <v>1</v>
      </c>
      <c r="AE45" s="62">
        <f t="shared" si="14"/>
        <v>1</v>
      </c>
      <c r="AF45" s="62">
        <f t="shared" si="14"/>
        <v>1</v>
      </c>
      <c r="AG45" s="62">
        <f t="shared" si="14"/>
        <v>1</v>
      </c>
      <c r="AH45" s="62">
        <f t="shared" si="14"/>
        <v>1</v>
      </c>
      <c r="AI45" s="62">
        <f t="shared" si="14"/>
        <v>1</v>
      </c>
      <c r="AJ45" s="63">
        <f t="shared" si="14"/>
        <v>1</v>
      </c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>
        <f t="shared" si="15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1"/>
        <v>32</v>
      </c>
      <c r="BB45" s="9">
        <f t="shared" si="5"/>
        <v>110</v>
      </c>
      <c r="BC45" s="10">
        <f t="shared" si="6"/>
        <v>82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88</v>
      </c>
      <c r="E46" s="135"/>
      <c r="F46" s="136"/>
      <c r="G46" s="136"/>
      <c r="H46" s="136"/>
      <c r="I46" s="136"/>
      <c r="J46" s="136"/>
      <c r="K46" s="136"/>
      <c r="L46" s="137"/>
      <c r="M46" s="61">
        <v>1</v>
      </c>
      <c r="N46" s="62">
        <f t="shared" si="12"/>
        <v>1</v>
      </c>
      <c r="O46" s="62">
        <f t="shared" si="12"/>
        <v>1</v>
      </c>
      <c r="P46" s="62">
        <f t="shared" si="12"/>
        <v>1</v>
      </c>
      <c r="Q46" s="62">
        <f t="shared" si="12"/>
        <v>1</v>
      </c>
      <c r="R46" s="62">
        <f t="shared" si="12"/>
        <v>1</v>
      </c>
      <c r="S46" s="62">
        <f t="shared" si="12"/>
        <v>1</v>
      </c>
      <c r="T46" s="63">
        <f t="shared" si="12"/>
        <v>1</v>
      </c>
      <c r="U46" s="61">
        <v>1</v>
      </c>
      <c r="V46" s="62">
        <f t="shared" si="13"/>
        <v>1</v>
      </c>
      <c r="W46" s="62">
        <f t="shared" si="13"/>
        <v>1</v>
      </c>
      <c r="X46" s="62">
        <f t="shared" si="13"/>
        <v>1</v>
      </c>
      <c r="Y46" s="62">
        <f t="shared" si="13"/>
        <v>1</v>
      </c>
      <c r="Z46" s="62">
        <f t="shared" si="13"/>
        <v>1</v>
      </c>
      <c r="AA46" s="62">
        <f t="shared" si="13"/>
        <v>1</v>
      </c>
      <c r="AB46" s="63">
        <f t="shared" si="13"/>
        <v>1</v>
      </c>
      <c r="AC46" s="61" t="s">
        <v>124</v>
      </c>
      <c r="AD46" s="62" t="str">
        <f t="shared" si="14"/>
        <v>a</v>
      </c>
      <c r="AE46" s="62" t="str">
        <f t="shared" si="14"/>
        <v>a</v>
      </c>
      <c r="AF46" s="62" t="str">
        <f t="shared" si="14"/>
        <v>a</v>
      </c>
      <c r="AG46" s="62" t="str">
        <f t="shared" si="14"/>
        <v>a</v>
      </c>
      <c r="AH46" s="62" t="str">
        <f t="shared" si="14"/>
        <v>a</v>
      </c>
      <c r="AI46" s="62" t="str">
        <f t="shared" si="14"/>
        <v>a</v>
      </c>
      <c r="AJ46" s="63" t="str">
        <f t="shared" si="14"/>
        <v>a</v>
      </c>
      <c r="AK46" s="61">
        <v>1</v>
      </c>
      <c r="AL46" s="62">
        <f t="shared" si="15"/>
        <v>1</v>
      </c>
      <c r="AM46" s="62">
        <f t="shared" si="15"/>
        <v>1</v>
      </c>
      <c r="AN46" s="62">
        <f t="shared" si="15"/>
        <v>1</v>
      </c>
      <c r="AO46" s="62">
        <f t="shared" si="15"/>
        <v>1</v>
      </c>
      <c r="AP46" s="62">
        <f t="shared" si="15"/>
        <v>1</v>
      </c>
      <c r="AQ46" s="62">
        <f t="shared" si="15"/>
        <v>1</v>
      </c>
      <c r="AR46" s="63">
        <f t="shared" si="15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1"/>
        <v>24</v>
      </c>
      <c r="BB46" s="9">
        <f t="shared" si="5"/>
        <v>112</v>
      </c>
      <c r="BC46" s="10">
        <f t="shared" si="6"/>
        <v>84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72</v>
      </c>
      <c r="E47" s="135"/>
      <c r="F47" s="136"/>
      <c r="G47" s="136"/>
      <c r="H47" s="136"/>
      <c r="I47" s="136"/>
      <c r="J47" s="136"/>
      <c r="K47" s="136"/>
      <c r="L47" s="137"/>
      <c r="M47" s="61">
        <v>1</v>
      </c>
      <c r="N47" s="62">
        <f t="shared" si="12"/>
        <v>1</v>
      </c>
      <c r="O47" s="62">
        <f t="shared" si="12"/>
        <v>1</v>
      </c>
      <c r="P47" s="62">
        <f t="shared" si="12"/>
        <v>1</v>
      </c>
      <c r="Q47" s="62">
        <f t="shared" si="12"/>
        <v>1</v>
      </c>
      <c r="R47" s="62">
        <f t="shared" si="12"/>
        <v>1</v>
      </c>
      <c r="S47" s="62">
        <f t="shared" si="12"/>
        <v>1</v>
      </c>
      <c r="T47" s="63">
        <f t="shared" si="12"/>
        <v>1</v>
      </c>
      <c r="U47" s="61">
        <v>1</v>
      </c>
      <c r="V47" s="62">
        <f t="shared" si="13"/>
        <v>1</v>
      </c>
      <c r="W47" s="62">
        <f t="shared" si="13"/>
        <v>1</v>
      </c>
      <c r="X47" s="62">
        <f t="shared" si="13"/>
        <v>1</v>
      </c>
      <c r="Y47" s="62">
        <f t="shared" si="13"/>
        <v>1</v>
      </c>
      <c r="Z47" s="62">
        <f t="shared" si="13"/>
        <v>1</v>
      </c>
      <c r="AA47" s="62">
        <f t="shared" si="13"/>
        <v>1</v>
      </c>
      <c r="AB47" s="63">
        <f t="shared" si="13"/>
        <v>1</v>
      </c>
      <c r="AC47" s="61">
        <v>1</v>
      </c>
      <c r="AD47" s="62">
        <f t="shared" si="14"/>
        <v>1</v>
      </c>
      <c r="AE47" s="62">
        <f t="shared" si="14"/>
        <v>1</v>
      </c>
      <c r="AF47" s="62">
        <f t="shared" si="14"/>
        <v>1</v>
      </c>
      <c r="AG47" s="62">
        <f t="shared" si="14"/>
        <v>1</v>
      </c>
      <c r="AH47" s="62">
        <f t="shared" si="14"/>
        <v>1</v>
      </c>
      <c r="AI47" s="62">
        <f t="shared" si="14"/>
        <v>1</v>
      </c>
      <c r="AJ47" s="63">
        <f t="shared" si="14"/>
        <v>1</v>
      </c>
      <c r="AK47" s="61">
        <v>1</v>
      </c>
      <c r="AL47" s="62">
        <f t="shared" si="15"/>
        <v>1</v>
      </c>
      <c r="AM47" s="62">
        <f t="shared" si="15"/>
        <v>1</v>
      </c>
      <c r="AN47" s="62">
        <f t="shared" si="15"/>
        <v>1</v>
      </c>
      <c r="AO47" s="62">
        <f t="shared" si="15"/>
        <v>1</v>
      </c>
      <c r="AP47" s="62">
        <f t="shared" si="15"/>
        <v>1</v>
      </c>
      <c r="AQ47" s="62">
        <f t="shared" si="15"/>
        <v>1</v>
      </c>
      <c r="AR47" s="63">
        <f t="shared" si="15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1"/>
        <v>32</v>
      </c>
      <c r="BB47" s="9">
        <f t="shared" si="5"/>
        <v>104</v>
      </c>
      <c r="BC47" s="10">
        <f t="shared" si="6"/>
        <v>78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74</v>
      </c>
      <c r="E48" s="135"/>
      <c r="F48" s="136"/>
      <c r="G48" s="136"/>
      <c r="H48" s="136"/>
      <c r="I48" s="136"/>
      <c r="J48" s="136"/>
      <c r="K48" s="136"/>
      <c r="L48" s="137"/>
      <c r="M48" s="61">
        <v>1</v>
      </c>
      <c r="N48" s="62">
        <f t="shared" si="12"/>
        <v>1</v>
      </c>
      <c r="O48" s="62">
        <f t="shared" si="12"/>
        <v>1</v>
      </c>
      <c r="P48" s="62">
        <f t="shared" si="12"/>
        <v>1</v>
      </c>
      <c r="Q48" s="62">
        <f t="shared" si="12"/>
        <v>1</v>
      </c>
      <c r="R48" s="62">
        <f t="shared" si="12"/>
        <v>1</v>
      </c>
      <c r="S48" s="62">
        <f t="shared" si="12"/>
        <v>1</v>
      </c>
      <c r="T48" s="63">
        <f t="shared" si="12"/>
        <v>1</v>
      </c>
      <c r="U48" s="61">
        <v>1</v>
      </c>
      <c r="V48" s="62">
        <f t="shared" si="13"/>
        <v>1</v>
      </c>
      <c r="W48" s="62">
        <f t="shared" si="13"/>
        <v>1</v>
      </c>
      <c r="X48" s="62">
        <f t="shared" si="13"/>
        <v>1</v>
      </c>
      <c r="Y48" s="62">
        <f t="shared" si="13"/>
        <v>1</v>
      </c>
      <c r="Z48" s="62">
        <f t="shared" si="13"/>
        <v>1</v>
      </c>
      <c r="AA48" s="62">
        <f t="shared" si="13"/>
        <v>1</v>
      </c>
      <c r="AB48" s="63">
        <f t="shared" si="13"/>
        <v>1</v>
      </c>
      <c r="AC48" s="61">
        <v>1</v>
      </c>
      <c r="AD48" s="62">
        <f t="shared" si="14"/>
        <v>1</v>
      </c>
      <c r="AE48" s="62">
        <f t="shared" si="14"/>
        <v>1</v>
      </c>
      <c r="AF48" s="62">
        <f t="shared" si="14"/>
        <v>1</v>
      </c>
      <c r="AG48" s="62">
        <f t="shared" si="14"/>
        <v>1</v>
      </c>
      <c r="AH48" s="62">
        <f t="shared" si="14"/>
        <v>1</v>
      </c>
      <c r="AI48" s="62">
        <f t="shared" si="14"/>
        <v>1</v>
      </c>
      <c r="AJ48" s="63">
        <f t="shared" si="14"/>
        <v>1</v>
      </c>
      <c r="AK48" s="61">
        <v>1</v>
      </c>
      <c r="AL48" s="62">
        <f t="shared" si="15"/>
        <v>1</v>
      </c>
      <c r="AM48" s="62">
        <f t="shared" si="15"/>
        <v>1</v>
      </c>
      <c r="AN48" s="62">
        <f t="shared" si="15"/>
        <v>1</v>
      </c>
      <c r="AO48" s="62">
        <f t="shared" si="15"/>
        <v>1</v>
      </c>
      <c r="AP48" s="62">
        <f t="shared" si="15"/>
        <v>1</v>
      </c>
      <c r="AQ48" s="62">
        <f t="shared" si="15"/>
        <v>1</v>
      </c>
      <c r="AR48" s="63">
        <f t="shared" si="15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1"/>
        <v>32</v>
      </c>
      <c r="BB48" s="9">
        <f t="shared" si="5"/>
        <v>106</v>
      </c>
      <c r="BC48" s="10">
        <f t="shared" si="6"/>
        <v>79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94</v>
      </c>
      <c r="E49" s="135"/>
      <c r="F49" s="136"/>
      <c r="G49" s="136"/>
      <c r="H49" s="136"/>
      <c r="I49" s="136"/>
      <c r="J49" s="136"/>
      <c r="K49" s="136"/>
      <c r="L49" s="137"/>
      <c r="M49" s="61">
        <v>1</v>
      </c>
      <c r="N49" s="62">
        <f t="shared" si="12"/>
        <v>1</v>
      </c>
      <c r="O49" s="62">
        <f t="shared" si="12"/>
        <v>1</v>
      </c>
      <c r="P49" s="62">
        <f t="shared" si="12"/>
        <v>1</v>
      </c>
      <c r="Q49" s="62">
        <f t="shared" si="12"/>
        <v>1</v>
      </c>
      <c r="R49" s="62">
        <f t="shared" si="12"/>
        <v>1</v>
      </c>
      <c r="S49" s="62">
        <f t="shared" si="12"/>
        <v>1</v>
      </c>
      <c r="T49" s="63">
        <f t="shared" si="12"/>
        <v>1</v>
      </c>
      <c r="U49" s="61">
        <v>1</v>
      </c>
      <c r="V49" s="62">
        <f t="shared" si="13"/>
        <v>1</v>
      </c>
      <c r="W49" s="62">
        <f t="shared" si="13"/>
        <v>1</v>
      </c>
      <c r="X49" s="62">
        <f t="shared" si="13"/>
        <v>1</v>
      </c>
      <c r="Y49" s="62">
        <f t="shared" si="13"/>
        <v>1</v>
      </c>
      <c r="Z49" s="62">
        <f t="shared" si="13"/>
        <v>1</v>
      </c>
      <c r="AA49" s="62">
        <f t="shared" si="13"/>
        <v>1</v>
      </c>
      <c r="AB49" s="63">
        <f t="shared" si="13"/>
        <v>1</v>
      </c>
      <c r="AC49" s="61" t="s">
        <v>124</v>
      </c>
      <c r="AD49" s="62" t="str">
        <f t="shared" si="14"/>
        <v>a</v>
      </c>
      <c r="AE49" s="62" t="str">
        <f t="shared" si="14"/>
        <v>a</v>
      </c>
      <c r="AF49" s="62" t="str">
        <f t="shared" si="14"/>
        <v>a</v>
      </c>
      <c r="AG49" s="62" t="str">
        <f t="shared" si="14"/>
        <v>a</v>
      </c>
      <c r="AH49" s="62" t="str">
        <f t="shared" si="14"/>
        <v>a</v>
      </c>
      <c r="AI49" s="62" t="str">
        <f t="shared" si="14"/>
        <v>a</v>
      </c>
      <c r="AJ49" s="63" t="str">
        <f t="shared" si="14"/>
        <v>a</v>
      </c>
      <c r="AK49" s="61">
        <v>1</v>
      </c>
      <c r="AL49" s="62">
        <f t="shared" si="15"/>
        <v>1</v>
      </c>
      <c r="AM49" s="62">
        <f t="shared" si="15"/>
        <v>1</v>
      </c>
      <c r="AN49" s="62">
        <f t="shared" si="15"/>
        <v>1</v>
      </c>
      <c r="AO49" s="62">
        <f t="shared" si="15"/>
        <v>1</v>
      </c>
      <c r="AP49" s="62">
        <f t="shared" si="15"/>
        <v>1</v>
      </c>
      <c r="AQ49" s="62">
        <f t="shared" si="15"/>
        <v>1</v>
      </c>
      <c r="AR49" s="63">
        <f t="shared" si="15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1"/>
        <v>24</v>
      </c>
      <c r="BB49" s="9">
        <f t="shared" si="5"/>
        <v>118</v>
      </c>
      <c r="BC49" s="10">
        <f t="shared" si="6"/>
        <v>88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88</v>
      </c>
      <c r="E50" s="135"/>
      <c r="F50" s="136"/>
      <c r="G50" s="136"/>
      <c r="H50" s="136"/>
      <c r="I50" s="136"/>
      <c r="J50" s="136"/>
      <c r="K50" s="136"/>
      <c r="L50" s="137"/>
      <c r="M50" s="61">
        <v>1</v>
      </c>
      <c r="N50" s="62">
        <f t="shared" si="12"/>
        <v>1</v>
      </c>
      <c r="O50" s="62">
        <f t="shared" si="12"/>
        <v>1</v>
      </c>
      <c r="P50" s="62">
        <f t="shared" si="12"/>
        <v>1</v>
      </c>
      <c r="Q50" s="62">
        <f t="shared" si="12"/>
        <v>1</v>
      </c>
      <c r="R50" s="62">
        <f t="shared" si="12"/>
        <v>1</v>
      </c>
      <c r="S50" s="62">
        <f t="shared" si="12"/>
        <v>1</v>
      </c>
      <c r="T50" s="63">
        <f t="shared" si="12"/>
        <v>1</v>
      </c>
      <c r="U50" s="61">
        <v>1</v>
      </c>
      <c r="V50" s="62">
        <f t="shared" si="13"/>
        <v>1</v>
      </c>
      <c r="W50" s="62">
        <f t="shared" si="13"/>
        <v>1</v>
      </c>
      <c r="X50" s="62">
        <f t="shared" si="13"/>
        <v>1</v>
      </c>
      <c r="Y50" s="62">
        <f t="shared" si="13"/>
        <v>1</v>
      </c>
      <c r="Z50" s="62">
        <f t="shared" si="13"/>
        <v>1</v>
      </c>
      <c r="AA50" s="62">
        <f t="shared" si="13"/>
        <v>1</v>
      </c>
      <c r="AB50" s="63">
        <f t="shared" si="13"/>
        <v>1</v>
      </c>
      <c r="AC50" s="61">
        <v>1</v>
      </c>
      <c r="AD50" s="62">
        <f t="shared" si="14"/>
        <v>1</v>
      </c>
      <c r="AE50" s="62">
        <f t="shared" si="14"/>
        <v>1</v>
      </c>
      <c r="AF50" s="62">
        <f t="shared" si="14"/>
        <v>1</v>
      </c>
      <c r="AG50" s="62">
        <f t="shared" si="14"/>
        <v>1</v>
      </c>
      <c r="AH50" s="62">
        <f t="shared" si="14"/>
        <v>1</v>
      </c>
      <c r="AI50" s="62">
        <f t="shared" si="14"/>
        <v>1</v>
      </c>
      <c r="AJ50" s="63">
        <f t="shared" si="14"/>
        <v>1</v>
      </c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>
        <f t="shared" si="15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1"/>
        <v>32</v>
      </c>
      <c r="BB50" s="9">
        <f t="shared" si="5"/>
        <v>120</v>
      </c>
      <c r="BC50" s="10">
        <f t="shared" si="6"/>
        <v>90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80</v>
      </c>
      <c r="E51" s="135"/>
      <c r="F51" s="136"/>
      <c r="G51" s="136"/>
      <c r="H51" s="136"/>
      <c r="I51" s="136"/>
      <c r="J51" s="136"/>
      <c r="K51" s="136"/>
      <c r="L51" s="137"/>
      <c r="M51" s="61">
        <v>1</v>
      </c>
      <c r="N51" s="62">
        <f t="shared" si="12"/>
        <v>1</v>
      </c>
      <c r="O51" s="62">
        <f t="shared" si="12"/>
        <v>1</v>
      </c>
      <c r="P51" s="62">
        <f t="shared" si="12"/>
        <v>1</v>
      </c>
      <c r="Q51" s="62">
        <f t="shared" si="12"/>
        <v>1</v>
      </c>
      <c r="R51" s="62">
        <f t="shared" si="12"/>
        <v>1</v>
      </c>
      <c r="S51" s="62">
        <f t="shared" si="12"/>
        <v>1</v>
      </c>
      <c r="T51" s="63">
        <f t="shared" si="12"/>
        <v>1</v>
      </c>
      <c r="U51" s="61">
        <v>1</v>
      </c>
      <c r="V51" s="62">
        <f t="shared" si="13"/>
        <v>1</v>
      </c>
      <c r="W51" s="62">
        <f t="shared" si="13"/>
        <v>1</v>
      </c>
      <c r="X51" s="62">
        <f t="shared" si="13"/>
        <v>1</v>
      </c>
      <c r="Y51" s="62">
        <f t="shared" si="13"/>
        <v>1</v>
      </c>
      <c r="Z51" s="62">
        <f t="shared" si="13"/>
        <v>1</v>
      </c>
      <c r="AA51" s="62">
        <f t="shared" si="13"/>
        <v>1</v>
      </c>
      <c r="AB51" s="63">
        <f t="shared" si="13"/>
        <v>1</v>
      </c>
      <c r="AC51" s="61">
        <v>1</v>
      </c>
      <c r="AD51" s="62">
        <f t="shared" si="14"/>
        <v>1</v>
      </c>
      <c r="AE51" s="62">
        <f t="shared" si="14"/>
        <v>1</v>
      </c>
      <c r="AF51" s="62">
        <f t="shared" si="14"/>
        <v>1</v>
      </c>
      <c r="AG51" s="62">
        <f t="shared" si="14"/>
        <v>1</v>
      </c>
      <c r="AH51" s="62">
        <f t="shared" si="14"/>
        <v>1</v>
      </c>
      <c r="AI51" s="62">
        <f t="shared" si="14"/>
        <v>1</v>
      </c>
      <c r="AJ51" s="63">
        <f t="shared" si="14"/>
        <v>1</v>
      </c>
      <c r="AK51" s="61" t="s">
        <v>124</v>
      </c>
      <c r="AL51" s="62" t="str">
        <f t="shared" si="15"/>
        <v>a</v>
      </c>
      <c r="AM51" s="62" t="str">
        <f t="shared" si="15"/>
        <v>a</v>
      </c>
      <c r="AN51" s="62" t="str">
        <f t="shared" si="15"/>
        <v>a</v>
      </c>
      <c r="AO51" s="62" t="str">
        <f t="shared" si="15"/>
        <v>a</v>
      </c>
      <c r="AP51" s="62" t="str">
        <f t="shared" si="15"/>
        <v>a</v>
      </c>
      <c r="AQ51" s="62" t="str">
        <f t="shared" si="15"/>
        <v>a</v>
      </c>
      <c r="AR51" s="63" t="str">
        <f t="shared" si="15"/>
        <v>a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1"/>
        <v>24</v>
      </c>
      <c r="BB51" s="9">
        <f t="shared" si="5"/>
        <v>104</v>
      </c>
      <c r="BC51" s="10">
        <f t="shared" si="6"/>
        <v>78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92</v>
      </c>
      <c r="E52" s="135"/>
      <c r="F52" s="136"/>
      <c r="G52" s="136"/>
      <c r="H52" s="136"/>
      <c r="I52" s="136"/>
      <c r="J52" s="136"/>
      <c r="K52" s="136"/>
      <c r="L52" s="137"/>
      <c r="M52" s="61">
        <v>1</v>
      </c>
      <c r="N52" s="62">
        <f t="shared" si="12"/>
        <v>1</v>
      </c>
      <c r="O52" s="62">
        <f t="shared" si="12"/>
        <v>1</v>
      </c>
      <c r="P52" s="62">
        <f t="shared" si="12"/>
        <v>1</v>
      </c>
      <c r="Q52" s="62">
        <f t="shared" si="12"/>
        <v>1</v>
      </c>
      <c r="R52" s="62">
        <f t="shared" si="12"/>
        <v>1</v>
      </c>
      <c r="S52" s="62">
        <f t="shared" si="12"/>
        <v>1</v>
      </c>
      <c r="T52" s="63">
        <f t="shared" si="12"/>
        <v>1</v>
      </c>
      <c r="U52" s="61">
        <v>1</v>
      </c>
      <c r="V52" s="62">
        <f t="shared" si="13"/>
        <v>1</v>
      </c>
      <c r="W52" s="62">
        <f t="shared" si="13"/>
        <v>1</v>
      </c>
      <c r="X52" s="62">
        <f t="shared" si="13"/>
        <v>1</v>
      </c>
      <c r="Y52" s="62">
        <f t="shared" si="13"/>
        <v>1</v>
      </c>
      <c r="Z52" s="62">
        <f t="shared" si="13"/>
        <v>1</v>
      </c>
      <c r="AA52" s="62">
        <f t="shared" si="13"/>
        <v>1</v>
      </c>
      <c r="AB52" s="63">
        <f t="shared" si="13"/>
        <v>1</v>
      </c>
      <c r="AC52" s="61">
        <v>1</v>
      </c>
      <c r="AD52" s="62">
        <f t="shared" si="14"/>
        <v>1</v>
      </c>
      <c r="AE52" s="62">
        <f t="shared" si="14"/>
        <v>1</v>
      </c>
      <c r="AF52" s="62">
        <f t="shared" si="14"/>
        <v>1</v>
      </c>
      <c r="AG52" s="62">
        <f t="shared" si="14"/>
        <v>1</v>
      </c>
      <c r="AH52" s="62">
        <f t="shared" si="14"/>
        <v>1</v>
      </c>
      <c r="AI52" s="62">
        <f t="shared" si="14"/>
        <v>1</v>
      </c>
      <c r="AJ52" s="63">
        <f t="shared" si="14"/>
        <v>1</v>
      </c>
      <c r="AK52" s="61" t="s">
        <v>124</v>
      </c>
      <c r="AL52" s="62" t="str">
        <f t="shared" si="15"/>
        <v>a</v>
      </c>
      <c r="AM52" s="62" t="str">
        <f t="shared" si="15"/>
        <v>a</v>
      </c>
      <c r="AN52" s="62" t="str">
        <f t="shared" si="15"/>
        <v>a</v>
      </c>
      <c r="AO52" s="62" t="str">
        <f t="shared" si="15"/>
        <v>a</v>
      </c>
      <c r="AP52" s="62" t="str">
        <f t="shared" si="15"/>
        <v>a</v>
      </c>
      <c r="AQ52" s="62" t="str">
        <f t="shared" si="15"/>
        <v>a</v>
      </c>
      <c r="AR52" s="63" t="str">
        <f t="shared" si="15"/>
        <v>a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1"/>
        <v>24</v>
      </c>
      <c r="BB52" s="9">
        <f t="shared" si="5"/>
        <v>116</v>
      </c>
      <c r="BC52" s="10">
        <f t="shared" si="6"/>
        <v>87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86</v>
      </c>
      <c r="E53" s="135"/>
      <c r="F53" s="136"/>
      <c r="G53" s="136"/>
      <c r="H53" s="136"/>
      <c r="I53" s="136"/>
      <c r="J53" s="136"/>
      <c r="K53" s="136"/>
      <c r="L53" s="137"/>
      <c r="M53" s="61">
        <v>1</v>
      </c>
      <c r="N53" s="62">
        <f t="shared" si="12"/>
        <v>1</v>
      </c>
      <c r="O53" s="62">
        <f t="shared" si="12"/>
        <v>1</v>
      </c>
      <c r="P53" s="62">
        <f t="shared" si="12"/>
        <v>1</v>
      </c>
      <c r="Q53" s="62">
        <f t="shared" si="12"/>
        <v>1</v>
      </c>
      <c r="R53" s="62">
        <f t="shared" si="12"/>
        <v>1</v>
      </c>
      <c r="S53" s="62">
        <f t="shared" si="12"/>
        <v>1</v>
      </c>
      <c r="T53" s="63">
        <f t="shared" si="12"/>
        <v>1</v>
      </c>
      <c r="U53" s="61">
        <v>1</v>
      </c>
      <c r="V53" s="62">
        <f t="shared" si="13"/>
        <v>1</v>
      </c>
      <c r="W53" s="62">
        <f t="shared" si="13"/>
        <v>1</v>
      </c>
      <c r="X53" s="62">
        <f t="shared" si="13"/>
        <v>1</v>
      </c>
      <c r="Y53" s="62">
        <f t="shared" si="13"/>
        <v>1</v>
      </c>
      <c r="Z53" s="62">
        <f t="shared" si="13"/>
        <v>1</v>
      </c>
      <c r="AA53" s="62">
        <f t="shared" si="13"/>
        <v>1</v>
      </c>
      <c r="AB53" s="63">
        <f t="shared" si="13"/>
        <v>1</v>
      </c>
      <c r="AC53" s="61">
        <v>1</v>
      </c>
      <c r="AD53" s="62">
        <f t="shared" si="14"/>
        <v>1</v>
      </c>
      <c r="AE53" s="62">
        <f t="shared" si="14"/>
        <v>1</v>
      </c>
      <c r="AF53" s="62">
        <f t="shared" si="14"/>
        <v>1</v>
      </c>
      <c r="AG53" s="62">
        <f t="shared" si="14"/>
        <v>1</v>
      </c>
      <c r="AH53" s="62">
        <f t="shared" si="14"/>
        <v>1</v>
      </c>
      <c r="AI53" s="62">
        <f t="shared" si="14"/>
        <v>1</v>
      </c>
      <c r="AJ53" s="63">
        <f t="shared" si="14"/>
        <v>1</v>
      </c>
      <c r="AK53" s="61">
        <v>1</v>
      </c>
      <c r="AL53" s="62">
        <f t="shared" si="15"/>
        <v>1</v>
      </c>
      <c r="AM53" s="62">
        <f t="shared" si="15"/>
        <v>1</v>
      </c>
      <c r="AN53" s="62">
        <f t="shared" si="15"/>
        <v>1</v>
      </c>
      <c r="AO53" s="62">
        <f t="shared" si="15"/>
        <v>1</v>
      </c>
      <c r="AP53" s="62">
        <f t="shared" si="15"/>
        <v>1</v>
      </c>
      <c r="AQ53" s="62">
        <f t="shared" si="15"/>
        <v>1</v>
      </c>
      <c r="AR53" s="63">
        <f t="shared" si="15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1"/>
        <v>32</v>
      </c>
      <c r="BB53" s="9">
        <f t="shared" si="5"/>
        <v>118</v>
      </c>
      <c r="BC53" s="10">
        <f t="shared" si="6"/>
        <v>88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72</v>
      </c>
      <c r="E54" s="135"/>
      <c r="F54" s="136"/>
      <c r="G54" s="136"/>
      <c r="H54" s="136"/>
      <c r="I54" s="136"/>
      <c r="J54" s="136"/>
      <c r="K54" s="136"/>
      <c r="L54" s="137"/>
      <c r="M54" s="61">
        <v>1</v>
      </c>
      <c r="N54" s="62">
        <f t="shared" si="12"/>
        <v>1</v>
      </c>
      <c r="O54" s="62">
        <f t="shared" si="12"/>
        <v>1</v>
      </c>
      <c r="P54" s="62">
        <f t="shared" si="12"/>
        <v>1</v>
      </c>
      <c r="Q54" s="62">
        <f t="shared" si="12"/>
        <v>1</v>
      </c>
      <c r="R54" s="62">
        <f t="shared" si="12"/>
        <v>1</v>
      </c>
      <c r="S54" s="62">
        <f t="shared" si="12"/>
        <v>1</v>
      </c>
      <c r="T54" s="63">
        <f t="shared" si="12"/>
        <v>1</v>
      </c>
      <c r="U54" s="61">
        <v>1</v>
      </c>
      <c r="V54" s="62">
        <f t="shared" si="13"/>
        <v>1</v>
      </c>
      <c r="W54" s="62">
        <f t="shared" si="13"/>
        <v>1</v>
      </c>
      <c r="X54" s="62">
        <f t="shared" si="13"/>
        <v>1</v>
      </c>
      <c r="Y54" s="62">
        <f t="shared" si="13"/>
        <v>1</v>
      </c>
      <c r="Z54" s="62">
        <f t="shared" si="13"/>
        <v>1</v>
      </c>
      <c r="AA54" s="62">
        <f t="shared" si="13"/>
        <v>1</v>
      </c>
      <c r="AB54" s="63">
        <f t="shared" si="13"/>
        <v>1</v>
      </c>
      <c r="AC54" s="61">
        <v>1</v>
      </c>
      <c r="AD54" s="62">
        <f t="shared" si="14"/>
        <v>1</v>
      </c>
      <c r="AE54" s="62">
        <f t="shared" si="14"/>
        <v>1</v>
      </c>
      <c r="AF54" s="62">
        <f t="shared" si="14"/>
        <v>1</v>
      </c>
      <c r="AG54" s="62">
        <f t="shared" si="14"/>
        <v>1</v>
      </c>
      <c r="AH54" s="62">
        <f t="shared" si="14"/>
        <v>1</v>
      </c>
      <c r="AI54" s="62">
        <f t="shared" si="14"/>
        <v>1</v>
      </c>
      <c r="AJ54" s="63">
        <f t="shared" si="14"/>
        <v>1</v>
      </c>
      <c r="AK54" s="61">
        <v>1</v>
      </c>
      <c r="AL54" s="62">
        <f t="shared" si="15"/>
        <v>1</v>
      </c>
      <c r="AM54" s="62">
        <f t="shared" si="15"/>
        <v>1</v>
      </c>
      <c r="AN54" s="62">
        <f t="shared" si="15"/>
        <v>1</v>
      </c>
      <c r="AO54" s="62">
        <f t="shared" si="15"/>
        <v>1</v>
      </c>
      <c r="AP54" s="62">
        <f t="shared" si="15"/>
        <v>1</v>
      </c>
      <c r="AQ54" s="62">
        <f t="shared" si="15"/>
        <v>1</v>
      </c>
      <c r="AR54" s="63">
        <f t="shared" si="15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1"/>
        <v>32</v>
      </c>
      <c r="BB54" s="9">
        <f t="shared" si="5"/>
        <v>104</v>
      </c>
      <c r="BC54" s="10">
        <f t="shared" si="6"/>
        <v>78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102</v>
      </c>
      <c r="E55" s="135"/>
      <c r="F55" s="136"/>
      <c r="G55" s="136"/>
      <c r="H55" s="136"/>
      <c r="I55" s="136"/>
      <c r="J55" s="136"/>
      <c r="K55" s="136"/>
      <c r="L55" s="137"/>
      <c r="M55" s="61">
        <v>1</v>
      </c>
      <c r="N55" s="62">
        <f t="shared" si="12"/>
        <v>1</v>
      </c>
      <c r="O55" s="62">
        <f t="shared" si="12"/>
        <v>1</v>
      </c>
      <c r="P55" s="62">
        <f t="shared" si="12"/>
        <v>1</v>
      </c>
      <c r="Q55" s="62">
        <f t="shared" si="12"/>
        <v>1</v>
      </c>
      <c r="R55" s="62">
        <f t="shared" si="12"/>
        <v>1</v>
      </c>
      <c r="S55" s="62">
        <f t="shared" si="12"/>
        <v>1</v>
      </c>
      <c r="T55" s="63">
        <f t="shared" si="12"/>
        <v>1</v>
      </c>
      <c r="U55" s="61">
        <v>1</v>
      </c>
      <c r="V55" s="62">
        <f t="shared" si="13"/>
        <v>1</v>
      </c>
      <c r="W55" s="62">
        <f t="shared" si="13"/>
        <v>1</v>
      </c>
      <c r="X55" s="62">
        <f t="shared" si="13"/>
        <v>1</v>
      </c>
      <c r="Y55" s="62">
        <f t="shared" si="13"/>
        <v>1</v>
      </c>
      <c r="Z55" s="62">
        <f t="shared" si="13"/>
        <v>1</v>
      </c>
      <c r="AA55" s="62">
        <f t="shared" si="13"/>
        <v>1</v>
      </c>
      <c r="AB55" s="63">
        <f t="shared" si="13"/>
        <v>1</v>
      </c>
      <c r="AC55" s="61" t="s">
        <v>124</v>
      </c>
      <c r="AD55" s="62" t="str">
        <f t="shared" si="14"/>
        <v>a</v>
      </c>
      <c r="AE55" s="62" t="str">
        <f t="shared" si="14"/>
        <v>a</v>
      </c>
      <c r="AF55" s="62" t="str">
        <f t="shared" si="14"/>
        <v>a</v>
      </c>
      <c r="AG55" s="62" t="str">
        <f t="shared" si="14"/>
        <v>a</v>
      </c>
      <c r="AH55" s="62" t="str">
        <f t="shared" si="14"/>
        <v>a</v>
      </c>
      <c r="AI55" s="62" t="str">
        <f t="shared" si="14"/>
        <v>a</v>
      </c>
      <c r="AJ55" s="63" t="str">
        <f t="shared" si="14"/>
        <v>a</v>
      </c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>
        <f t="shared" si="15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1"/>
        <v>24</v>
      </c>
      <c r="BB55" s="9">
        <f t="shared" si="5"/>
        <v>126</v>
      </c>
      <c r="BC55" s="10">
        <f t="shared" si="6"/>
        <v>94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94</v>
      </c>
      <c r="E56" s="135"/>
      <c r="F56" s="136"/>
      <c r="G56" s="136"/>
      <c r="H56" s="136"/>
      <c r="I56" s="136"/>
      <c r="J56" s="136"/>
      <c r="K56" s="136"/>
      <c r="L56" s="137"/>
      <c r="M56" s="61">
        <v>1</v>
      </c>
      <c r="N56" s="62">
        <f t="shared" si="12"/>
        <v>1</v>
      </c>
      <c r="O56" s="62">
        <f t="shared" si="12"/>
        <v>1</v>
      </c>
      <c r="P56" s="62">
        <f t="shared" si="12"/>
        <v>1</v>
      </c>
      <c r="Q56" s="62">
        <f t="shared" si="12"/>
        <v>1</v>
      </c>
      <c r="R56" s="62">
        <f t="shared" si="12"/>
        <v>1</v>
      </c>
      <c r="S56" s="62">
        <f t="shared" si="12"/>
        <v>1</v>
      </c>
      <c r="T56" s="63">
        <f t="shared" si="12"/>
        <v>1</v>
      </c>
      <c r="U56" s="61">
        <v>1</v>
      </c>
      <c r="V56" s="62">
        <f t="shared" si="13"/>
        <v>1</v>
      </c>
      <c r="W56" s="62">
        <f t="shared" si="13"/>
        <v>1</v>
      </c>
      <c r="X56" s="62">
        <f t="shared" si="13"/>
        <v>1</v>
      </c>
      <c r="Y56" s="62">
        <f t="shared" si="13"/>
        <v>1</v>
      </c>
      <c r="Z56" s="62">
        <f t="shared" si="13"/>
        <v>1</v>
      </c>
      <c r="AA56" s="62">
        <f t="shared" si="13"/>
        <v>1</v>
      </c>
      <c r="AB56" s="63">
        <f t="shared" si="13"/>
        <v>1</v>
      </c>
      <c r="AC56" s="61">
        <v>1</v>
      </c>
      <c r="AD56" s="62">
        <f t="shared" si="14"/>
        <v>1</v>
      </c>
      <c r="AE56" s="62">
        <f t="shared" si="14"/>
        <v>1</v>
      </c>
      <c r="AF56" s="62">
        <f t="shared" si="14"/>
        <v>1</v>
      </c>
      <c r="AG56" s="62">
        <f t="shared" si="14"/>
        <v>1</v>
      </c>
      <c r="AH56" s="62">
        <f t="shared" si="14"/>
        <v>1</v>
      </c>
      <c r="AI56" s="62">
        <f t="shared" si="14"/>
        <v>1</v>
      </c>
      <c r="AJ56" s="63">
        <f t="shared" si="14"/>
        <v>1</v>
      </c>
      <c r="AK56" s="61">
        <v>1</v>
      </c>
      <c r="AL56" s="62">
        <f t="shared" si="15"/>
        <v>1</v>
      </c>
      <c r="AM56" s="62">
        <f t="shared" si="15"/>
        <v>1</v>
      </c>
      <c r="AN56" s="62">
        <f t="shared" si="15"/>
        <v>1</v>
      </c>
      <c r="AO56" s="62">
        <f t="shared" si="15"/>
        <v>1</v>
      </c>
      <c r="AP56" s="62">
        <f t="shared" si="15"/>
        <v>1</v>
      </c>
      <c r="AQ56" s="62">
        <f t="shared" si="15"/>
        <v>1</v>
      </c>
      <c r="AR56" s="63">
        <f t="shared" si="15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1"/>
        <v>32</v>
      </c>
      <c r="BB56" s="9">
        <f t="shared" si="5"/>
        <v>126</v>
      </c>
      <c r="BC56" s="10">
        <f t="shared" si="6"/>
        <v>94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94</v>
      </c>
      <c r="E57" s="135"/>
      <c r="F57" s="136"/>
      <c r="G57" s="136"/>
      <c r="H57" s="136"/>
      <c r="I57" s="136"/>
      <c r="J57" s="136"/>
      <c r="K57" s="136"/>
      <c r="L57" s="137"/>
      <c r="M57" s="61">
        <v>1</v>
      </c>
      <c r="N57" s="62">
        <f t="shared" si="12"/>
        <v>1</v>
      </c>
      <c r="O57" s="62">
        <f t="shared" si="12"/>
        <v>1</v>
      </c>
      <c r="P57" s="62">
        <f t="shared" si="12"/>
        <v>1</v>
      </c>
      <c r="Q57" s="62">
        <f t="shared" si="12"/>
        <v>1</v>
      </c>
      <c r="R57" s="62">
        <f t="shared" si="12"/>
        <v>1</v>
      </c>
      <c r="S57" s="62">
        <f t="shared" si="12"/>
        <v>1</v>
      </c>
      <c r="T57" s="63">
        <f t="shared" si="12"/>
        <v>1</v>
      </c>
      <c r="U57" s="61">
        <v>1</v>
      </c>
      <c r="V57" s="62">
        <f t="shared" si="13"/>
        <v>1</v>
      </c>
      <c r="W57" s="62">
        <f t="shared" si="13"/>
        <v>1</v>
      </c>
      <c r="X57" s="62">
        <f t="shared" si="13"/>
        <v>1</v>
      </c>
      <c r="Y57" s="62">
        <f t="shared" si="13"/>
        <v>1</v>
      </c>
      <c r="Z57" s="62">
        <f t="shared" si="13"/>
        <v>1</v>
      </c>
      <c r="AA57" s="62">
        <f t="shared" si="13"/>
        <v>1</v>
      </c>
      <c r="AB57" s="63">
        <f t="shared" si="13"/>
        <v>1</v>
      </c>
      <c r="AC57" s="61">
        <v>1</v>
      </c>
      <c r="AD57" s="62">
        <f t="shared" si="14"/>
        <v>1</v>
      </c>
      <c r="AE57" s="62">
        <f t="shared" si="14"/>
        <v>1</v>
      </c>
      <c r="AF57" s="62">
        <f t="shared" si="14"/>
        <v>1</v>
      </c>
      <c r="AG57" s="62">
        <f t="shared" si="14"/>
        <v>1</v>
      </c>
      <c r="AH57" s="62">
        <f t="shared" si="14"/>
        <v>1</v>
      </c>
      <c r="AI57" s="62">
        <f t="shared" si="14"/>
        <v>1</v>
      </c>
      <c r="AJ57" s="63">
        <f t="shared" si="14"/>
        <v>1</v>
      </c>
      <c r="AK57" s="61" t="s">
        <v>124</v>
      </c>
      <c r="AL57" s="62" t="str">
        <f t="shared" si="15"/>
        <v>a</v>
      </c>
      <c r="AM57" s="62" t="str">
        <f t="shared" si="15"/>
        <v>a</v>
      </c>
      <c r="AN57" s="62" t="str">
        <f t="shared" si="15"/>
        <v>a</v>
      </c>
      <c r="AO57" s="62" t="str">
        <f t="shared" si="15"/>
        <v>a</v>
      </c>
      <c r="AP57" s="62" t="str">
        <f t="shared" si="15"/>
        <v>a</v>
      </c>
      <c r="AQ57" s="62" t="str">
        <f t="shared" si="15"/>
        <v>a</v>
      </c>
      <c r="AR57" s="63" t="str">
        <f t="shared" si="15"/>
        <v>a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1"/>
        <v>24</v>
      </c>
      <c r="BB57" s="9">
        <f t="shared" si="5"/>
        <v>118</v>
      </c>
      <c r="BC57" s="10">
        <f t="shared" si="6"/>
        <v>88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94</v>
      </c>
      <c r="E58" s="135"/>
      <c r="F58" s="136"/>
      <c r="G58" s="136"/>
      <c r="H58" s="136"/>
      <c r="I58" s="136"/>
      <c r="J58" s="136"/>
      <c r="K58" s="136"/>
      <c r="L58" s="137"/>
      <c r="M58" s="61">
        <v>1</v>
      </c>
      <c r="N58" s="62">
        <f t="shared" ref="N58:T73" si="16">M58</f>
        <v>1</v>
      </c>
      <c r="O58" s="62">
        <f t="shared" si="16"/>
        <v>1</v>
      </c>
      <c r="P58" s="62">
        <f t="shared" si="16"/>
        <v>1</v>
      </c>
      <c r="Q58" s="62">
        <f t="shared" si="16"/>
        <v>1</v>
      </c>
      <c r="R58" s="62">
        <f t="shared" si="16"/>
        <v>1</v>
      </c>
      <c r="S58" s="62">
        <f t="shared" si="16"/>
        <v>1</v>
      </c>
      <c r="T58" s="63">
        <f t="shared" si="16"/>
        <v>1</v>
      </c>
      <c r="U58" s="61">
        <v>1</v>
      </c>
      <c r="V58" s="62">
        <f t="shared" ref="V58:AB73" si="17">U58</f>
        <v>1</v>
      </c>
      <c r="W58" s="62">
        <f t="shared" si="17"/>
        <v>1</v>
      </c>
      <c r="X58" s="62">
        <f t="shared" si="17"/>
        <v>1</v>
      </c>
      <c r="Y58" s="62">
        <f t="shared" si="17"/>
        <v>1</v>
      </c>
      <c r="Z58" s="62">
        <f t="shared" si="17"/>
        <v>1</v>
      </c>
      <c r="AA58" s="62">
        <f t="shared" si="17"/>
        <v>1</v>
      </c>
      <c r="AB58" s="63">
        <f t="shared" si="17"/>
        <v>1</v>
      </c>
      <c r="AC58" s="61">
        <v>1</v>
      </c>
      <c r="AD58" s="62">
        <f t="shared" ref="AD58:AJ73" si="18">AC58</f>
        <v>1</v>
      </c>
      <c r="AE58" s="62">
        <f t="shared" si="18"/>
        <v>1</v>
      </c>
      <c r="AF58" s="62">
        <f t="shared" si="18"/>
        <v>1</v>
      </c>
      <c r="AG58" s="62">
        <f t="shared" si="18"/>
        <v>1</v>
      </c>
      <c r="AH58" s="62">
        <f t="shared" si="18"/>
        <v>1</v>
      </c>
      <c r="AI58" s="62">
        <f t="shared" si="18"/>
        <v>1</v>
      </c>
      <c r="AJ58" s="63">
        <f t="shared" si="18"/>
        <v>1</v>
      </c>
      <c r="AK58" s="61">
        <v>1</v>
      </c>
      <c r="AL58" s="62">
        <f t="shared" ref="AL58:AR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>
        <f t="shared" si="19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1"/>
        <v>32</v>
      </c>
      <c r="BB58" s="9">
        <f t="shared" si="5"/>
        <v>126</v>
      </c>
      <c r="BC58" s="10">
        <f t="shared" si="6"/>
        <v>94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94</v>
      </c>
      <c r="E59" s="135"/>
      <c r="F59" s="136"/>
      <c r="G59" s="136"/>
      <c r="H59" s="136"/>
      <c r="I59" s="136"/>
      <c r="J59" s="136"/>
      <c r="K59" s="136"/>
      <c r="L59" s="137"/>
      <c r="M59" s="61">
        <v>1</v>
      </c>
      <c r="N59" s="62">
        <f t="shared" si="16"/>
        <v>1</v>
      </c>
      <c r="O59" s="62">
        <f t="shared" si="16"/>
        <v>1</v>
      </c>
      <c r="P59" s="62">
        <f t="shared" si="16"/>
        <v>1</v>
      </c>
      <c r="Q59" s="62">
        <f t="shared" si="16"/>
        <v>1</v>
      </c>
      <c r="R59" s="62">
        <f t="shared" si="16"/>
        <v>1</v>
      </c>
      <c r="S59" s="62">
        <f t="shared" si="16"/>
        <v>1</v>
      </c>
      <c r="T59" s="63">
        <f t="shared" si="16"/>
        <v>1</v>
      </c>
      <c r="U59" s="61">
        <v>1</v>
      </c>
      <c r="V59" s="62">
        <f t="shared" si="17"/>
        <v>1</v>
      </c>
      <c r="W59" s="62">
        <f t="shared" si="17"/>
        <v>1</v>
      </c>
      <c r="X59" s="62">
        <f t="shared" si="17"/>
        <v>1</v>
      </c>
      <c r="Y59" s="62">
        <f t="shared" si="17"/>
        <v>1</v>
      </c>
      <c r="Z59" s="62">
        <f t="shared" si="17"/>
        <v>1</v>
      </c>
      <c r="AA59" s="62">
        <f t="shared" si="17"/>
        <v>1</v>
      </c>
      <c r="AB59" s="63">
        <f t="shared" si="17"/>
        <v>1</v>
      </c>
      <c r="AC59" s="61">
        <v>1</v>
      </c>
      <c r="AD59" s="62">
        <f t="shared" si="18"/>
        <v>1</v>
      </c>
      <c r="AE59" s="62">
        <f t="shared" si="18"/>
        <v>1</v>
      </c>
      <c r="AF59" s="62">
        <f t="shared" si="18"/>
        <v>1</v>
      </c>
      <c r="AG59" s="62">
        <f t="shared" si="18"/>
        <v>1</v>
      </c>
      <c r="AH59" s="62">
        <f t="shared" si="18"/>
        <v>1</v>
      </c>
      <c r="AI59" s="62">
        <f t="shared" si="18"/>
        <v>1</v>
      </c>
      <c r="AJ59" s="63">
        <f t="shared" si="18"/>
        <v>1</v>
      </c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>
        <f t="shared" si="19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1"/>
        <v>32</v>
      </c>
      <c r="BB59" s="9">
        <f t="shared" si="5"/>
        <v>126</v>
      </c>
      <c r="BC59" s="10">
        <f t="shared" si="6"/>
        <v>94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74</v>
      </c>
      <c r="E60" s="135"/>
      <c r="F60" s="136"/>
      <c r="G60" s="136"/>
      <c r="H60" s="136"/>
      <c r="I60" s="136"/>
      <c r="J60" s="136"/>
      <c r="K60" s="136"/>
      <c r="L60" s="137"/>
      <c r="M60" s="61" t="s">
        <v>124</v>
      </c>
      <c r="N60" s="62" t="str">
        <f t="shared" si="16"/>
        <v>a</v>
      </c>
      <c r="O60" s="62" t="str">
        <f t="shared" si="16"/>
        <v>a</v>
      </c>
      <c r="P60" s="62" t="str">
        <f t="shared" si="16"/>
        <v>a</v>
      </c>
      <c r="Q60" s="62" t="s">
        <v>124</v>
      </c>
      <c r="R60" s="62" t="str">
        <f t="shared" si="16"/>
        <v>a</v>
      </c>
      <c r="S60" s="62" t="str">
        <f t="shared" si="16"/>
        <v>a</v>
      </c>
      <c r="T60" s="63" t="str">
        <f t="shared" si="16"/>
        <v>a</v>
      </c>
      <c r="U60" s="61" t="s">
        <v>124</v>
      </c>
      <c r="V60" s="62" t="str">
        <f t="shared" si="17"/>
        <v>a</v>
      </c>
      <c r="W60" s="62" t="str">
        <f t="shared" si="17"/>
        <v>a</v>
      </c>
      <c r="X60" s="62" t="str">
        <f t="shared" si="17"/>
        <v>a</v>
      </c>
      <c r="Y60" s="62" t="str">
        <f t="shared" si="17"/>
        <v>a</v>
      </c>
      <c r="Z60" s="62" t="str">
        <f t="shared" si="17"/>
        <v>a</v>
      </c>
      <c r="AA60" s="62" t="str">
        <f t="shared" si="17"/>
        <v>a</v>
      </c>
      <c r="AB60" s="63" t="str">
        <f t="shared" si="17"/>
        <v>a</v>
      </c>
      <c r="AC60" s="61" t="s">
        <v>124</v>
      </c>
      <c r="AD60" s="62" t="str">
        <f t="shared" si="18"/>
        <v>a</v>
      </c>
      <c r="AE60" s="62" t="str">
        <f t="shared" si="18"/>
        <v>a</v>
      </c>
      <c r="AF60" s="62" t="str">
        <f t="shared" si="18"/>
        <v>a</v>
      </c>
      <c r="AG60" s="62" t="str">
        <f t="shared" si="18"/>
        <v>a</v>
      </c>
      <c r="AH60" s="62" t="str">
        <f t="shared" si="18"/>
        <v>a</v>
      </c>
      <c r="AI60" s="62" t="str">
        <f t="shared" si="18"/>
        <v>a</v>
      </c>
      <c r="AJ60" s="63" t="str">
        <f t="shared" si="18"/>
        <v>a</v>
      </c>
      <c r="AK60" s="61">
        <v>1</v>
      </c>
      <c r="AL60" s="62">
        <f t="shared" si="19"/>
        <v>1</v>
      </c>
      <c r="AM60" s="62">
        <f t="shared" si="19"/>
        <v>1</v>
      </c>
      <c r="AN60" s="62">
        <f t="shared" si="19"/>
        <v>1</v>
      </c>
      <c r="AO60" s="62">
        <f t="shared" si="19"/>
        <v>1</v>
      </c>
      <c r="AP60" s="62">
        <f t="shared" si="19"/>
        <v>1</v>
      </c>
      <c r="AQ60" s="62">
        <f t="shared" si="19"/>
        <v>1</v>
      </c>
      <c r="AR60" s="63">
        <f t="shared" si="19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1"/>
        <v>8</v>
      </c>
      <c r="BB60" s="9">
        <f t="shared" si="5"/>
        <v>82</v>
      </c>
      <c r="BC60" s="10">
        <f t="shared" si="6"/>
        <v>61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94</v>
      </c>
      <c r="E61" s="135"/>
      <c r="F61" s="136"/>
      <c r="G61" s="136"/>
      <c r="H61" s="136"/>
      <c r="I61" s="136"/>
      <c r="J61" s="136"/>
      <c r="K61" s="136"/>
      <c r="L61" s="137"/>
      <c r="M61" s="61">
        <v>1</v>
      </c>
      <c r="N61" s="62">
        <f t="shared" si="16"/>
        <v>1</v>
      </c>
      <c r="O61" s="62">
        <f t="shared" si="16"/>
        <v>1</v>
      </c>
      <c r="P61" s="62">
        <f t="shared" si="16"/>
        <v>1</v>
      </c>
      <c r="Q61" s="62">
        <f t="shared" si="16"/>
        <v>1</v>
      </c>
      <c r="R61" s="62">
        <f t="shared" si="16"/>
        <v>1</v>
      </c>
      <c r="S61" s="62">
        <f t="shared" si="16"/>
        <v>1</v>
      </c>
      <c r="T61" s="63">
        <f t="shared" si="16"/>
        <v>1</v>
      </c>
      <c r="U61" s="61" t="s">
        <v>124</v>
      </c>
      <c r="V61" s="62" t="str">
        <f t="shared" si="17"/>
        <v>a</v>
      </c>
      <c r="W61" s="62" t="str">
        <f t="shared" si="17"/>
        <v>a</v>
      </c>
      <c r="X61" s="62" t="str">
        <f t="shared" si="17"/>
        <v>a</v>
      </c>
      <c r="Y61" s="62" t="str">
        <f t="shared" si="17"/>
        <v>a</v>
      </c>
      <c r="Z61" s="62" t="str">
        <f t="shared" si="17"/>
        <v>a</v>
      </c>
      <c r="AA61" s="62" t="str">
        <f t="shared" si="17"/>
        <v>a</v>
      </c>
      <c r="AB61" s="63" t="str">
        <f t="shared" si="17"/>
        <v>a</v>
      </c>
      <c r="AC61" s="61">
        <v>1</v>
      </c>
      <c r="AD61" s="62">
        <f t="shared" si="18"/>
        <v>1</v>
      </c>
      <c r="AE61" s="62">
        <f t="shared" si="18"/>
        <v>1</v>
      </c>
      <c r="AF61" s="62">
        <f t="shared" si="18"/>
        <v>1</v>
      </c>
      <c r="AG61" s="62">
        <f t="shared" si="18"/>
        <v>1</v>
      </c>
      <c r="AH61" s="62">
        <f t="shared" si="18"/>
        <v>1</v>
      </c>
      <c r="AI61" s="62">
        <f t="shared" si="18"/>
        <v>1</v>
      </c>
      <c r="AJ61" s="63">
        <f t="shared" si="18"/>
        <v>1</v>
      </c>
      <c r="AK61" s="61">
        <v>1</v>
      </c>
      <c r="AL61" s="62">
        <f t="shared" si="19"/>
        <v>1</v>
      </c>
      <c r="AM61" s="62">
        <f t="shared" si="19"/>
        <v>1</v>
      </c>
      <c r="AN61" s="62">
        <f t="shared" si="19"/>
        <v>1</v>
      </c>
      <c r="AO61" s="62">
        <f t="shared" si="19"/>
        <v>1</v>
      </c>
      <c r="AP61" s="62">
        <f t="shared" si="19"/>
        <v>1</v>
      </c>
      <c r="AQ61" s="62">
        <f t="shared" si="19"/>
        <v>1</v>
      </c>
      <c r="AR61" s="63">
        <f t="shared" si="19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1"/>
        <v>24</v>
      </c>
      <c r="BB61" s="9">
        <f t="shared" si="5"/>
        <v>118</v>
      </c>
      <c r="BC61" s="10">
        <f t="shared" si="6"/>
        <v>88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60</v>
      </c>
      <c r="E62" s="135"/>
      <c r="F62" s="136"/>
      <c r="G62" s="136"/>
      <c r="H62" s="136"/>
      <c r="I62" s="136"/>
      <c r="J62" s="136"/>
      <c r="K62" s="136"/>
      <c r="L62" s="137"/>
      <c r="M62" s="61">
        <v>1</v>
      </c>
      <c r="N62" s="62">
        <f t="shared" si="16"/>
        <v>1</v>
      </c>
      <c r="O62" s="62">
        <f t="shared" si="16"/>
        <v>1</v>
      </c>
      <c r="P62" s="62">
        <f t="shared" si="16"/>
        <v>1</v>
      </c>
      <c r="Q62" s="62">
        <f t="shared" si="16"/>
        <v>1</v>
      </c>
      <c r="R62" s="62">
        <f t="shared" si="16"/>
        <v>1</v>
      </c>
      <c r="S62" s="62">
        <f t="shared" si="16"/>
        <v>1</v>
      </c>
      <c r="T62" s="63">
        <f t="shared" si="16"/>
        <v>1</v>
      </c>
      <c r="U62" s="61">
        <v>1</v>
      </c>
      <c r="V62" s="62">
        <f t="shared" si="17"/>
        <v>1</v>
      </c>
      <c r="W62" s="62">
        <f t="shared" si="17"/>
        <v>1</v>
      </c>
      <c r="X62" s="62">
        <f t="shared" si="17"/>
        <v>1</v>
      </c>
      <c r="Y62" s="62">
        <f t="shared" si="17"/>
        <v>1</v>
      </c>
      <c r="Z62" s="62">
        <f t="shared" si="17"/>
        <v>1</v>
      </c>
      <c r="AA62" s="62">
        <f t="shared" si="17"/>
        <v>1</v>
      </c>
      <c r="AB62" s="63">
        <f t="shared" si="17"/>
        <v>1</v>
      </c>
      <c r="AC62" s="61" t="s">
        <v>124</v>
      </c>
      <c r="AD62" s="62" t="str">
        <f t="shared" si="18"/>
        <v>a</v>
      </c>
      <c r="AE62" s="62" t="str">
        <f t="shared" si="18"/>
        <v>a</v>
      </c>
      <c r="AF62" s="62" t="str">
        <f t="shared" si="18"/>
        <v>a</v>
      </c>
      <c r="AG62" s="62" t="str">
        <f t="shared" si="18"/>
        <v>a</v>
      </c>
      <c r="AH62" s="62" t="str">
        <f t="shared" si="18"/>
        <v>a</v>
      </c>
      <c r="AI62" s="62" t="str">
        <f t="shared" si="18"/>
        <v>a</v>
      </c>
      <c r="AJ62" s="63" t="str">
        <f t="shared" si="18"/>
        <v>a</v>
      </c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>
        <f t="shared" si="19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1"/>
        <v>24</v>
      </c>
      <c r="BB62" s="9">
        <f t="shared" si="5"/>
        <v>84</v>
      </c>
      <c r="BC62" s="10">
        <f t="shared" si="6"/>
        <v>63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43</v>
      </c>
      <c r="E63" s="135"/>
      <c r="F63" s="136"/>
      <c r="G63" s="136"/>
      <c r="H63" s="136"/>
      <c r="I63" s="136"/>
      <c r="J63" s="136"/>
      <c r="K63" s="136"/>
      <c r="L63" s="137"/>
      <c r="M63" s="61">
        <v>1</v>
      </c>
      <c r="N63" s="62">
        <f t="shared" si="16"/>
        <v>1</v>
      </c>
      <c r="O63" s="62">
        <f t="shared" si="16"/>
        <v>1</v>
      </c>
      <c r="P63" s="62">
        <f t="shared" si="16"/>
        <v>1</v>
      </c>
      <c r="Q63" s="62">
        <f t="shared" si="16"/>
        <v>1</v>
      </c>
      <c r="R63" s="62">
        <f t="shared" si="16"/>
        <v>1</v>
      </c>
      <c r="S63" s="62">
        <f t="shared" si="16"/>
        <v>1</v>
      </c>
      <c r="T63" s="63">
        <f t="shared" si="16"/>
        <v>1</v>
      </c>
      <c r="U63" s="61">
        <v>1</v>
      </c>
      <c r="V63" s="62">
        <f t="shared" si="17"/>
        <v>1</v>
      </c>
      <c r="W63" s="62">
        <f t="shared" si="17"/>
        <v>1</v>
      </c>
      <c r="X63" s="62">
        <f t="shared" si="17"/>
        <v>1</v>
      </c>
      <c r="Y63" s="62">
        <f t="shared" si="17"/>
        <v>1</v>
      </c>
      <c r="Z63" s="62">
        <f t="shared" si="17"/>
        <v>1</v>
      </c>
      <c r="AA63" s="62">
        <f t="shared" si="17"/>
        <v>1</v>
      </c>
      <c r="AB63" s="63">
        <f t="shared" si="17"/>
        <v>1</v>
      </c>
      <c r="AC63" s="61">
        <v>1</v>
      </c>
      <c r="AD63" s="62">
        <f t="shared" si="18"/>
        <v>1</v>
      </c>
      <c r="AE63" s="62">
        <f t="shared" si="18"/>
        <v>1</v>
      </c>
      <c r="AF63" s="62">
        <f t="shared" si="18"/>
        <v>1</v>
      </c>
      <c r="AG63" s="62">
        <f t="shared" si="18"/>
        <v>1</v>
      </c>
      <c r="AH63" s="62">
        <f t="shared" si="18"/>
        <v>1</v>
      </c>
      <c r="AI63" s="62">
        <f t="shared" si="18"/>
        <v>1</v>
      </c>
      <c r="AJ63" s="63">
        <f t="shared" si="18"/>
        <v>1</v>
      </c>
      <c r="AK63" s="61">
        <v>1</v>
      </c>
      <c r="AL63" s="62">
        <f t="shared" si="19"/>
        <v>1</v>
      </c>
      <c r="AM63" s="62">
        <f t="shared" si="19"/>
        <v>1</v>
      </c>
      <c r="AN63" s="62">
        <f t="shared" si="19"/>
        <v>1</v>
      </c>
      <c r="AO63" s="62">
        <f t="shared" si="19"/>
        <v>1</v>
      </c>
      <c r="AP63" s="62">
        <f t="shared" si="19"/>
        <v>1</v>
      </c>
      <c r="AQ63" s="62">
        <f t="shared" si="19"/>
        <v>1</v>
      </c>
      <c r="AR63" s="63">
        <f t="shared" si="19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1"/>
        <v>32</v>
      </c>
      <c r="BB63" s="9">
        <f t="shared" si="5"/>
        <v>75</v>
      </c>
      <c r="BC63" s="10">
        <f t="shared" si="6"/>
        <v>56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76</v>
      </c>
      <c r="E64" s="135"/>
      <c r="F64" s="136"/>
      <c r="G64" s="136"/>
      <c r="H64" s="136"/>
      <c r="I64" s="136"/>
      <c r="J64" s="136"/>
      <c r="K64" s="136"/>
      <c r="L64" s="137"/>
      <c r="M64" s="61">
        <v>1</v>
      </c>
      <c r="N64" s="62">
        <f t="shared" si="16"/>
        <v>1</v>
      </c>
      <c r="O64" s="62">
        <f t="shared" si="16"/>
        <v>1</v>
      </c>
      <c r="P64" s="62">
        <f t="shared" si="16"/>
        <v>1</v>
      </c>
      <c r="Q64" s="62">
        <f t="shared" si="16"/>
        <v>1</v>
      </c>
      <c r="R64" s="62">
        <f t="shared" si="16"/>
        <v>1</v>
      </c>
      <c r="S64" s="62">
        <f t="shared" si="16"/>
        <v>1</v>
      </c>
      <c r="T64" s="63">
        <f t="shared" si="16"/>
        <v>1</v>
      </c>
      <c r="U64" s="61">
        <v>1</v>
      </c>
      <c r="V64" s="62">
        <f t="shared" si="17"/>
        <v>1</v>
      </c>
      <c r="W64" s="62">
        <f t="shared" si="17"/>
        <v>1</v>
      </c>
      <c r="X64" s="62">
        <f t="shared" si="17"/>
        <v>1</v>
      </c>
      <c r="Y64" s="62">
        <f t="shared" si="17"/>
        <v>1</v>
      </c>
      <c r="Z64" s="62">
        <f t="shared" si="17"/>
        <v>1</v>
      </c>
      <c r="AA64" s="62">
        <f t="shared" si="17"/>
        <v>1</v>
      </c>
      <c r="AB64" s="63">
        <f t="shared" si="17"/>
        <v>1</v>
      </c>
      <c r="AC64" s="61">
        <v>1</v>
      </c>
      <c r="AD64" s="62">
        <f t="shared" si="18"/>
        <v>1</v>
      </c>
      <c r="AE64" s="62">
        <f t="shared" si="18"/>
        <v>1</v>
      </c>
      <c r="AF64" s="62">
        <f t="shared" si="18"/>
        <v>1</v>
      </c>
      <c r="AG64" s="62">
        <f t="shared" si="18"/>
        <v>1</v>
      </c>
      <c r="AH64" s="62">
        <f t="shared" si="18"/>
        <v>1</v>
      </c>
      <c r="AI64" s="62">
        <f t="shared" si="18"/>
        <v>1</v>
      </c>
      <c r="AJ64" s="63">
        <f t="shared" si="18"/>
        <v>1</v>
      </c>
      <c r="AK64" s="61">
        <v>1</v>
      </c>
      <c r="AL64" s="62">
        <f t="shared" si="19"/>
        <v>1</v>
      </c>
      <c r="AM64" s="62">
        <f t="shared" si="19"/>
        <v>1</v>
      </c>
      <c r="AN64" s="62">
        <f t="shared" si="19"/>
        <v>1</v>
      </c>
      <c r="AO64" s="62">
        <f t="shared" si="19"/>
        <v>1</v>
      </c>
      <c r="AP64" s="62">
        <f t="shared" si="19"/>
        <v>1</v>
      </c>
      <c r="AQ64" s="62">
        <f t="shared" si="19"/>
        <v>1</v>
      </c>
      <c r="AR64" s="63">
        <f t="shared" si="19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1"/>
        <v>32</v>
      </c>
      <c r="BB64" s="9">
        <f t="shared" si="5"/>
        <v>108</v>
      </c>
      <c r="BC64" s="10">
        <f t="shared" si="6"/>
        <v>81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80</v>
      </c>
      <c r="E65" s="135"/>
      <c r="F65" s="136"/>
      <c r="G65" s="136"/>
      <c r="H65" s="136"/>
      <c r="I65" s="136"/>
      <c r="J65" s="136"/>
      <c r="K65" s="136"/>
      <c r="L65" s="137"/>
      <c r="M65" s="61">
        <v>1</v>
      </c>
      <c r="N65" s="62">
        <f t="shared" si="16"/>
        <v>1</v>
      </c>
      <c r="O65" s="62">
        <f t="shared" si="16"/>
        <v>1</v>
      </c>
      <c r="P65" s="62">
        <f t="shared" si="16"/>
        <v>1</v>
      </c>
      <c r="Q65" s="62">
        <f t="shared" si="16"/>
        <v>1</v>
      </c>
      <c r="R65" s="62">
        <f t="shared" si="16"/>
        <v>1</v>
      </c>
      <c r="S65" s="62">
        <f t="shared" si="16"/>
        <v>1</v>
      </c>
      <c r="T65" s="63">
        <f t="shared" si="16"/>
        <v>1</v>
      </c>
      <c r="U65" s="61">
        <v>1</v>
      </c>
      <c r="V65" s="62">
        <f t="shared" si="17"/>
        <v>1</v>
      </c>
      <c r="W65" s="62">
        <f t="shared" si="17"/>
        <v>1</v>
      </c>
      <c r="X65" s="62">
        <f t="shared" si="17"/>
        <v>1</v>
      </c>
      <c r="Y65" s="62">
        <f t="shared" si="17"/>
        <v>1</v>
      </c>
      <c r="Z65" s="62">
        <f t="shared" si="17"/>
        <v>1</v>
      </c>
      <c r="AA65" s="62">
        <f t="shared" si="17"/>
        <v>1</v>
      </c>
      <c r="AB65" s="63">
        <f t="shared" si="17"/>
        <v>1</v>
      </c>
      <c r="AC65" s="61">
        <v>1</v>
      </c>
      <c r="AD65" s="62">
        <f t="shared" si="18"/>
        <v>1</v>
      </c>
      <c r="AE65" s="62">
        <f t="shared" si="18"/>
        <v>1</v>
      </c>
      <c r="AF65" s="62">
        <f t="shared" si="18"/>
        <v>1</v>
      </c>
      <c r="AG65" s="62">
        <f t="shared" si="18"/>
        <v>1</v>
      </c>
      <c r="AH65" s="62">
        <f t="shared" si="18"/>
        <v>1</v>
      </c>
      <c r="AI65" s="62">
        <f t="shared" si="18"/>
        <v>1</v>
      </c>
      <c r="AJ65" s="63">
        <f t="shared" si="18"/>
        <v>1</v>
      </c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>
        <f t="shared" si="19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1"/>
        <v>32</v>
      </c>
      <c r="BB65" s="9">
        <f t="shared" si="5"/>
        <v>112</v>
      </c>
      <c r="BC65" s="10">
        <f t="shared" si="6"/>
        <v>84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94</v>
      </c>
      <c r="E66" s="135"/>
      <c r="F66" s="136"/>
      <c r="G66" s="136"/>
      <c r="H66" s="136"/>
      <c r="I66" s="136"/>
      <c r="J66" s="136"/>
      <c r="K66" s="136"/>
      <c r="L66" s="137"/>
      <c r="M66" s="61">
        <v>1</v>
      </c>
      <c r="N66" s="62">
        <f t="shared" si="16"/>
        <v>1</v>
      </c>
      <c r="O66" s="62">
        <f t="shared" si="16"/>
        <v>1</v>
      </c>
      <c r="P66" s="62">
        <f t="shared" si="16"/>
        <v>1</v>
      </c>
      <c r="Q66" s="62">
        <f t="shared" si="16"/>
        <v>1</v>
      </c>
      <c r="R66" s="62">
        <f t="shared" si="16"/>
        <v>1</v>
      </c>
      <c r="S66" s="62">
        <f t="shared" si="16"/>
        <v>1</v>
      </c>
      <c r="T66" s="63">
        <f t="shared" si="16"/>
        <v>1</v>
      </c>
      <c r="U66" s="61">
        <v>1</v>
      </c>
      <c r="V66" s="62">
        <f t="shared" si="17"/>
        <v>1</v>
      </c>
      <c r="W66" s="62">
        <f t="shared" si="17"/>
        <v>1</v>
      </c>
      <c r="X66" s="62">
        <f t="shared" si="17"/>
        <v>1</v>
      </c>
      <c r="Y66" s="62">
        <f t="shared" si="17"/>
        <v>1</v>
      </c>
      <c r="Z66" s="62">
        <f t="shared" si="17"/>
        <v>1</v>
      </c>
      <c r="AA66" s="62">
        <f t="shared" si="17"/>
        <v>1</v>
      </c>
      <c r="AB66" s="63">
        <f t="shared" si="17"/>
        <v>1</v>
      </c>
      <c r="AC66" s="61">
        <v>1</v>
      </c>
      <c r="AD66" s="62">
        <f t="shared" si="18"/>
        <v>1</v>
      </c>
      <c r="AE66" s="62">
        <f t="shared" si="18"/>
        <v>1</v>
      </c>
      <c r="AF66" s="62">
        <f t="shared" si="18"/>
        <v>1</v>
      </c>
      <c r="AG66" s="62">
        <f t="shared" si="18"/>
        <v>1</v>
      </c>
      <c r="AH66" s="62">
        <f t="shared" si="18"/>
        <v>1</v>
      </c>
      <c r="AI66" s="62">
        <f t="shared" si="18"/>
        <v>1</v>
      </c>
      <c r="AJ66" s="63">
        <f t="shared" si="18"/>
        <v>1</v>
      </c>
      <c r="AK66" s="61">
        <v>1</v>
      </c>
      <c r="AL66" s="62">
        <f t="shared" si="19"/>
        <v>1</v>
      </c>
      <c r="AM66" s="62">
        <f t="shared" si="19"/>
        <v>1</v>
      </c>
      <c r="AN66" s="62">
        <f t="shared" si="19"/>
        <v>1</v>
      </c>
      <c r="AO66" s="62">
        <f t="shared" si="19"/>
        <v>1</v>
      </c>
      <c r="AP66" s="62">
        <f t="shared" si="19"/>
        <v>1</v>
      </c>
      <c r="AQ66" s="62">
        <f t="shared" si="19"/>
        <v>1</v>
      </c>
      <c r="AR66" s="63">
        <f t="shared" si="19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1"/>
        <v>32</v>
      </c>
      <c r="BB66" s="9">
        <f t="shared" si="5"/>
        <v>126</v>
      </c>
      <c r="BC66" s="10">
        <f t="shared" si="6"/>
        <v>94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86</v>
      </c>
      <c r="E67" s="135"/>
      <c r="F67" s="136"/>
      <c r="G67" s="136"/>
      <c r="H67" s="136"/>
      <c r="I67" s="136"/>
      <c r="J67" s="136"/>
      <c r="K67" s="136"/>
      <c r="L67" s="137"/>
      <c r="M67" s="61">
        <v>1</v>
      </c>
      <c r="N67" s="62">
        <f t="shared" si="16"/>
        <v>1</v>
      </c>
      <c r="O67" s="62">
        <f t="shared" si="16"/>
        <v>1</v>
      </c>
      <c r="P67" s="62">
        <f t="shared" si="16"/>
        <v>1</v>
      </c>
      <c r="Q67" s="62">
        <f t="shared" si="16"/>
        <v>1</v>
      </c>
      <c r="R67" s="62">
        <f t="shared" si="16"/>
        <v>1</v>
      </c>
      <c r="S67" s="62">
        <f t="shared" si="16"/>
        <v>1</v>
      </c>
      <c r="T67" s="63">
        <f t="shared" si="16"/>
        <v>1</v>
      </c>
      <c r="U67" s="61">
        <v>1</v>
      </c>
      <c r="V67" s="62">
        <f t="shared" si="17"/>
        <v>1</v>
      </c>
      <c r="W67" s="62">
        <f t="shared" si="17"/>
        <v>1</v>
      </c>
      <c r="X67" s="62">
        <f t="shared" si="17"/>
        <v>1</v>
      </c>
      <c r="Y67" s="62">
        <f t="shared" si="17"/>
        <v>1</v>
      </c>
      <c r="Z67" s="62">
        <f t="shared" si="17"/>
        <v>1</v>
      </c>
      <c r="AA67" s="62">
        <f t="shared" si="17"/>
        <v>1</v>
      </c>
      <c r="AB67" s="63">
        <f t="shared" si="17"/>
        <v>1</v>
      </c>
      <c r="AC67" s="61" t="s">
        <v>124</v>
      </c>
      <c r="AD67" s="62" t="str">
        <f t="shared" si="18"/>
        <v>a</v>
      </c>
      <c r="AE67" s="62" t="str">
        <f t="shared" si="18"/>
        <v>a</v>
      </c>
      <c r="AF67" s="62" t="str">
        <f t="shared" si="18"/>
        <v>a</v>
      </c>
      <c r="AG67" s="62" t="str">
        <f t="shared" si="18"/>
        <v>a</v>
      </c>
      <c r="AH67" s="62" t="str">
        <f t="shared" si="18"/>
        <v>a</v>
      </c>
      <c r="AI67" s="62" t="str">
        <f t="shared" si="18"/>
        <v>a</v>
      </c>
      <c r="AJ67" s="63" t="str">
        <f t="shared" si="18"/>
        <v>a</v>
      </c>
      <c r="AK67" s="61" t="s">
        <v>124</v>
      </c>
      <c r="AL67" s="62" t="str">
        <f t="shared" si="19"/>
        <v>a</v>
      </c>
      <c r="AM67" s="62" t="str">
        <f t="shared" si="19"/>
        <v>a</v>
      </c>
      <c r="AN67" s="62" t="str">
        <f t="shared" si="19"/>
        <v>a</v>
      </c>
      <c r="AO67" s="62" t="str">
        <f t="shared" si="19"/>
        <v>a</v>
      </c>
      <c r="AP67" s="62" t="str">
        <f t="shared" si="19"/>
        <v>a</v>
      </c>
      <c r="AQ67" s="62" t="str">
        <f t="shared" si="19"/>
        <v>a</v>
      </c>
      <c r="AR67" s="63" t="str">
        <f t="shared" si="19"/>
        <v>a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1"/>
        <v>16</v>
      </c>
      <c r="BB67" s="9">
        <f t="shared" si="5"/>
        <v>102</v>
      </c>
      <c r="BC67" s="10">
        <f t="shared" si="6"/>
        <v>76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86</v>
      </c>
      <c r="E68" s="135"/>
      <c r="F68" s="136"/>
      <c r="G68" s="136"/>
      <c r="H68" s="136"/>
      <c r="I68" s="136"/>
      <c r="J68" s="136"/>
      <c r="K68" s="136"/>
      <c r="L68" s="137"/>
      <c r="M68" s="61">
        <v>1</v>
      </c>
      <c r="N68" s="62">
        <f t="shared" si="16"/>
        <v>1</v>
      </c>
      <c r="O68" s="62">
        <f t="shared" si="16"/>
        <v>1</v>
      </c>
      <c r="P68" s="62">
        <f t="shared" si="16"/>
        <v>1</v>
      </c>
      <c r="Q68" s="62">
        <f t="shared" si="16"/>
        <v>1</v>
      </c>
      <c r="R68" s="62">
        <f t="shared" si="16"/>
        <v>1</v>
      </c>
      <c r="S68" s="62">
        <f t="shared" si="16"/>
        <v>1</v>
      </c>
      <c r="T68" s="63">
        <f t="shared" si="16"/>
        <v>1</v>
      </c>
      <c r="U68" s="61">
        <v>1</v>
      </c>
      <c r="V68" s="62">
        <f t="shared" si="17"/>
        <v>1</v>
      </c>
      <c r="W68" s="62">
        <f t="shared" si="17"/>
        <v>1</v>
      </c>
      <c r="X68" s="62">
        <f t="shared" si="17"/>
        <v>1</v>
      </c>
      <c r="Y68" s="62">
        <f t="shared" si="17"/>
        <v>1</v>
      </c>
      <c r="Z68" s="62">
        <f t="shared" si="17"/>
        <v>1</v>
      </c>
      <c r="AA68" s="62">
        <f t="shared" si="17"/>
        <v>1</v>
      </c>
      <c r="AB68" s="63">
        <f t="shared" si="17"/>
        <v>1</v>
      </c>
      <c r="AC68" s="61">
        <v>1</v>
      </c>
      <c r="AD68" s="62">
        <f t="shared" si="18"/>
        <v>1</v>
      </c>
      <c r="AE68" s="62">
        <f t="shared" si="18"/>
        <v>1</v>
      </c>
      <c r="AF68" s="62">
        <f t="shared" si="18"/>
        <v>1</v>
      </c>
      <c r="AG68" s="62">
        <f t="shared" si="18"/>
        <v>1</v>
      </c>
      <c r="AH68" s="62">
        <f t="shared" si="18"/>
        <v>1</v>
      </c>
      <c r="AI68" s="62">
        <f t="shared" si="18"/>
        <v>1</v>
      </c>
      <c r="AJ68" s="63">
        <f t="shared" si="18"/>
        <v>1</v>
      </c>
      <c r="AK68" s="61">
        <v>1</v>
      </c>
      <c r="AL68" s="62">
        <f t="shared" si="19"/>
        <v>1</v>
      </c>
      <c r="AM68" s="62">
        <f t="shared" si="19"/>
        <v>1</v>
      </c>
      <c r="AN68" s="62">
        <f t="shared" si="19"/>
        <v>1</v>
      </c>
      <c r="AO68" s="62">
        <f t="shared" si="19"/>
        <v>1</v>
      </c>
      <c r="AP68" s="62">
        <f t="shared" si="19"/>
        <v>1</v>
      </c>
      <c r="AQ68" s="62">
        <f t="shared" si="19"/>
        <v>1</v>
      </c>
      <c r="AR68" s="63">
        <f t="shared" si="19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1"/>
        <v>32</v>
      </c>
      <c r="BB68" s="9">
        <f t="shared" si="5"/>
        <v>118</v>
      </c>
      <c r="BC68" s="10">
        <f t="shared" si="6"/>
        <v>88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91</v>
      </c>
      <c r="E69" s="135"/>
      <c r="F69" s="136"/>
      <c r="G69" s="136"/>
      <c r="H69" s="136"/>
      <c r="I69" s="136"/>
      <c r="J69" s="136"/>
      <c r="K69" s="136"/>
      <c r="L69" s="137"/>
      <c r="M69" s="61">
        <v>1</v>
      </c>
      <c r="N69" s="62">
        <f t="shared" si="16"/>
        <v>1</v>
      </c>
      <c r="O69" s="62">
        <f t="shared" si="16"/>
        <v>1</v>
      </c>
      <c r="P69" s="62">
        <f t="shared" si="16"/>
        <v>1</v>
      </c>
      <c r="Q69" s="62">
        <f t="shared" si="16"/>
        <v>1</v>
      </c>
      <c r="R69" s="62">
        <f t="shared" si="16"/>
        <v>1</v>
      </c>
      <c r="S69" s="62">
        <f t="shared" si="16"/>
        <v>1</v>
      </c>
      <c r="T69" s="63">
        <f t="shared" si="16"/>
        <v>1</v>
      </c>
      <c r="U69" s="61">
        <v>1</v>
      </c>
      <c r="V69" s="62">
        <f t="shared" si="17"/>
        <v>1</v>
      </c>
      <c r="W69" s="62">
        <f t="shared" si="17"/>
        <v>1</v>
      </c>
      <c r="X69" s="62">
        <f t="shared" si="17"/>
        <v>1</v>
      </c>
      <c r="Y69" s="62">
        <f t="shared" si="17"/>
        <v>1</v>
      </c>
      <c r="Z69" s="62">
        <f t="shared" si="17"/>
        <v>1</v>
      </c>
      <c r="AA69" s="62">
        <f t="shared" si="17"/>
        <v>1</v>
      </c>
      <c r="AB69" s="63">
        <f t="shared" si="17"/>
        <v>1</v>
      </c>
      <c r="AC69" s="61">
        <v>1</v>
      </c>
      <c r="AD69" s="62">
        <f t="shared" si="18"/>
        <v>1</v>
      </c>
      <c r="AE69" s="62">
        <f t="shared" si="18"/>
        <v>1</v>
      </c>
      <c r="AF69" s="62">
        <f t="shared" si="18"/>
        <v>1</v>
      </c>
      <c r="AG69" s="62">
        <f t="shared" si="18"/>
        <v>1</v>
      </c>
      <c r="AH69" s="62">
        <f t="shared" si="18"/>
        <v>1</v>
      </c>
      <c r="AI69" s="62">
        <f t="shared" si="18"/>
        <v>1</v>
      </c>
      <c r="AJ69" s="63">
        <f t="shared" si="18"/>
        <v>1</v>
      </c>
      <c r="AK69" s="61">
        <v>1</v>
      </c>
      <c r="AL69" s="62">
        <f t="shared" si="19"/>
        <v>1</v>
      </c>
      <c r="AM69" s="62">
        <f t="shared" si="19"/>
        <v>1</v>
      </c>
      <c r="AN69" s="62">
        <f t="shared" si="19"/>
        <v>1</v>
      </c>
      <c r="AO69" s="62">
        <f t="shared" si="19"/>
        <v>1</v>
      </c>
      <c r="AP69" s="62">
        <f t="shared" si="19"/>
        <v>1</v>
      </c>
      <c r="AQ69" s="62">
        <f t="shared" si="19"/>
        <v>1</v>
      </c>
      <c r="AR69" s="63">
        <f t="shared" si="19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1"/>
        <v>32</v>
      </c>
      <c r="BB69" s="9">
        <f t="shared" si="5"/>
        <v>123</v>
      </c>
      <c r="BC69" s="10">
        <f t="shared" si="6"/>
        <v>92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62</v>
      </c>
      <c r="E70" s="135"/>
      <c r="F70" s="136"/>
      <c r="G70" s="136"/>
      <c r="H70" s="136"/>
      <c r="I70" s="136"/>
      <c r="J70" s="136"/>
      <c r="K70" s="136"/>
      <c r="L70" s="137"/>
      <c r="M70" s="61" t="s">
        <v>124</v>
      </c>
      <c r="N70" s="62" t="str">
        <f t="shared" si="16"/>
        <v>a</v>
      </c>
      <c r="O70" s="62" t="str">
        <f t="shared" si="16"/>
        <v>a</v>
      </c>
      <c r="P70" s="62" t="str">
        <f t="shared" si="16"/>
        <v>a</v>
      </c>
      <c r="Q70" s="62" t="str">
        <f t="shared" si="16"/>
        <v>a</v>
      </c>
      <c r="R70" s="62" t="str">
        <f t="shared" si="16"/>
        <v>a</v>
      </c>
      <c r="S70" s="62" t="str">
        <f t="shared" si="16"/>
        <v>a</v>
      </c>
      <c r="T70" s="63" t="str">
        <f t="shared" si="16"/>
        <v>a</v>
      </c>
      <c r="U70" s="61" t="s">
        <v>124</v>
      </c>
      <c r="V70" s="62" t="str">
        <f t="shared" si="17"/>
        <v>a</v>
      </c>
      <c r="W70" s="62" t="str">
        <f t="shared" si="17"/>
        <v>a</v>
      </c>
      <c r="X70" s="62" t="str">
        <f t="shared" si="17"/>
        <v>a</v>
      </c>
      <c r="Y70" s="62" t="str">
        <f t="shared" si="17"/>
        <v>a</v>
      </c>
      <c r="Z70" s="62" t="str">
        <f t="shared" si="17"/>
        <v>a</v>
      </c>
      <c r="AA70" s="62" t="str">
        <f t="shared" si="17"/>
        <v>a</v>
      </c>
      <c r="AB70" s="63" t="str">
        <f t="shared" si="17"/>
        <v>a</v>
      </c>
      <c r="AC70" s="61">
        <v>1</v>
      </c>
      <c r="AD70" s="62">
        <f t="shared" si="18"/>
        <v>1</v>
      </c>
      <c r="AE70" s="62">
        <f t="shared" si="18"/>
        <v>1</v>
      </c>
      <c r="AF70" s="62">
        <f t="shared" si="18"/>
        <v>1</v>
      </c>
      <c r="AG70" s="62">
        <f t="shared" si="18"/>
        <v>1</v>
      </c>
      <c r="AH70" s="62">
        <f t="shared" si="18"/>
        <v>1</v>
      </c>
      <c r="AI70" s="62">
        <f t="shared" si="18"/>
        <v>1</v>
      </c>
      <c r="AJ70" s="63">
        <f t="shared" si="18"/>
        <v>1</v>
      </c>
      <c r="AK70" s="61">
        <v>1</v>
      </c>
      <c r="AL70" s="62">
        <f t="shared" si="19"/>
        <v>1</v>
      </c>
      <c r="AM70" s="62">
        <f t="shared" si="19"/>
        <v>1</v>
      </c>
      <c r="AN70" s="62">
        <f t="shared" si="19"/>
        <v>1</v>
      </c>
      <c r="AO70" s="62">
        <f t="shared" si="19"/>
        <v>1</v>
      </c>
      <c r="AP70" s="62">
        <f t="shared" si="19"/>
        <v>1</v>
      </c>
      <c r="AQ70" s="62">
        <f t="shared" si="19"/>
        <v>1</v>
      </c>
      <c r="AR70" s="63">
        <f t="shared" si="19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1"/>
        <v>16</v>
      </c>
      <c r="BB70" s="9">
        <f t="shared" si="5"/>
        <v>78</v>
      </c>
      <c r="BC70" s="10">
        <f t="shared" si="6"/>
        <v>58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78</v>
      </c>
      <c r="E71" s="135"/>
      <c r="F71" s="136"/>
      <c r="G71" s="136"/>
      <c r="H71" s="136"/>
      <c r="I71" s="136"/>
      <c r="J71" s="136"/>
      <c r="K71" s="136"/>
      <c r="L71" s="137"/>
      <c r="M71" s="61">
        <v>1</v>
      </c>
      <c r="N71" s="62">
        <f t="shared" si="16"/>
        <v>1</v>
      </c>
      <c r="O71" s="62">
        <f t="shared" si="16"/>
        <v>1</v>
      </c>
      <c r="P71" s="62">
        <f t="shared" si="16"/>
        <v>1</v>
      </c>
      <c r="Q71" s="62">
        <f t="shared" si="16"/>
        <v>1</v>
      </c>
      <c r="R71" s="62">
        <f t="shared" si="16"/>
        <v>1</v>
      </c>
      <c r="S71" s="62">
        <f t="shared" si="16"/>
        <v>1</v>
      </c>
      <c r="T71" s="63">
        <f t="shared" si="16"/>
        <v>1</v>
      </c>
      <c r="U71" s="61">
        <v>1</v>
      </c>
      <c r="V71" s="62">
        <f t="shared" si="17"/>
        <v>1</v>
      </c>
      <c r="W71" s="62">
        <f t="shared" si="17"/>
        <v>1</v>
      </c>
      <c r="X71" s="62">
        <f t="shared" si="17"/>
        <v>1</v>
      </c>
      <c r="Y71" s="62">
        <f t="shared" si="17"/>
        <v>1</v>
      </c>
      <c r="Z71" s="62">
        <f t="shared" si="17"/>
        <v>1</v>
      </c>
      <c r="AA71" s="62">
        <f t="shared" si="17"/>
        <v>1</v>
      </c>
      <c r="AB71" s="63">
        <f t="shared" si="17"/>
        <v>1</v>
      </c>
      <c r="AC71" s="61" t="s">
        <v>124</v>
      </c>
      <c r="AD71" s="62" t="str">
        <f t="shared" si="18"/>
        <v>a</v>
      </c>
      <c r="AE71" s="62" t="str">
        <f t="shared" si="18"/>
        <v>a</v>
      </c>
      <c r="AF71" s="62" t="str">
        <f t="shared" si="18"/>
        <v>a</v>
      </c>
      <c r="AG71" s="62" t="str">
        <f t="shared" si="18"/>
        <v>a</v>
      </c>
      <c r="AH71" s="62" t="str">
        <f t="shared" si="18"/>
        <v>a</v>
      </c>
      <c r="AI71" s="62" t="str">
        <f t="shared" si="18"/>
        <v>a</v>
      </c>
      <c r="AJ71" s="63" t="str">
        <f t="shared" si="18"/>
        <v>a</v>
      </c>
      <c r="AK71" s="61" t="s">
        <v>124</v>
      </c>
      <c r="AL71" s="62" t="str">
        <f t="shared" si="19"/>
        <v>a</v>
      </c>
      <c r="AM71" s="62" t="str">
        <f t="shared" si="19"/>
        <v>a</v>
      </c>
      <c r="AN71" s="62" t="str">
        <f t="shared" si="19"/>
        <v>a</v>
      </c>
      <c r="AO71" s="62" t="str">
        <f t="shared" si="19"/>
        <v>a</v>
      </c>
      <c r="AP71" s="62" t="str">
        <f t="shared" si="19"/>
        <v>a</v>
      </c>
      <c r="AQ71" s="62" t="str">
        <f t="shared" si="19"/>
        <v>a</v>
      </c>
      <c r="AR71" s="63" t="str">
        <f t="shared" si="19"/>
        <v>a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1"/>
        <v>16</v>
      </c>
      <c r="BB71" s="9">
        <f t="shared" si="5"/>
        <v>94</v>
      </c>
      <c r="BC71" s="10">
        <f t="shared" si="6"/>
        <v>70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80</v>
      </c>
      <c r="E72" s="135"/>
      <c r="F72" s="136"/>
      <c r="G72" s="136"/>
      <c r="H72" s="136"/>
      <c r="I72" s="136"/>
      <c r="J72" s="136"/>
      <c r="K72" s="136"/>
      <c r="L72" s="137"/>
      <c r="M72" s="61">
        <v>1</v>
      </c>
      <c r="N72" s="62">
        <f t="shared" si="16"/>
        <v>1</v>
      </c>
      <c r="O72" s="62">
        <f t="shared" si="16"/>
        <v>1</v>
      </c>
      <c r="P72" s="62">
        <f t="shared" si="16"/>
        <v>1</v>
      </c>
      <c r="Q72" s="62">
        <f t="shared" si="16"/>
        <v>1</v>
      </c>
      <c r="R72" s="62">
        <f t="shared" si="16"/>
        <v>1</v>
      </c>
      <c r="S72" s="62">
        <f t="shared" si="16"/>
        <v>1</v>
      </c>
      <c r="T72" s="63">
        <f t="shared" si="16"/>
        <v>1</v>
      </c>
      <c r="U72" s="61">
        <v>1</v>
      </c>
      <c r="V72" s="62">
        <f t="shared" si="17"/>
        <v>1</v>
      </c>
      <c r="W72" s="62">
        <f t="shared" si="17"/>
        <v>1</v>
      </c>
      <c r="X72" s="62">
        <f t="shared" si="17"/>
        <v>1</v>
      </c>
      <c r="Y72" s="62">
        <f t="shared" si="17"/>
        <v>1</v>
      </c>
      <c r="Z72" s="62">
        <f t="shared" si="17"/>
        <v>1</v>
      </c>
      <c r="AA72" s="62">
        <f t="shared" si="17"/>
        <v>1</v>
      </c>
      <c r="AB72" s="63">
        <f t="shared" si="17"/>
        <v>1</v>
      </c>
      <c r="AC72" s="61">
        <v>1</v>
      </c>
      <c r="AD72" s="62">
        <f t="shared" si="18"/>
        <v>1</v>
      </c>
      <c r="AE72" s="62">
        <f t="shared" si="18"/>
        <v>1</v>
      </c>
      <c r="AF72" s="62">
        <f t="shared" si="18"/>
        <v>1</v>
      </c>
      <c r="AG72" s="62">
        <f t="shared" si="18"/>
        <v>1</v>
      </c>
      <c r="AH72" s="62">
        <f t="shared" si="18"/>
        <v>1</v>
      </c>
      <c r="AI72" s="62">
        <f t="shared" si="18"/>
        <v>1</v>
      </c>
      <c r="AJ72" s="63">
        <f t="shared" si="18"/>
        <v>1</v>
      </c>
      <c r="AK72" s="61">
        <v>1</v>
      </c>
      <c r="AL72" s="62">
        <f t="shared" si="19"/>
        <v>1</v>
      </c>
      <c r="AM72" s="62">
        <f t="shared" si="19"/>
        <v>1</v>
      </c>
      <c r="AN72" s="62">
        <f t="shared" si="19"/>
        <v>1</v>
      </c>
      <c r="AO72" s="62">
        <f t="shared" si="19"/>
        <v>1</v>
      </c>
      <c r="AP72" s="62">
        <f t="shared" si="19"/>
        <v>1</v>
      </c>
      <c r="AQ72" s="62">
        <f t="shared" si="19"/>
        <v>1</v>
      </c>
      <c r="AR72" s="63">
        <f t="shared" si="19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1"/>
        <v>32</v>
      </c>
      <c r="BB72" s="9">
        <f t="shared" si="5"/>
        <v>112</v>
      </c>
      <c r="BC72" s="10">
        <f t="shared" si="6"/>
        <v>84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102</v>
      </c>
      <c r="E73" s="138"/>
      <c r="F73" s="139"/>
      <c r="G73" s="139"/>
      <c r="H73" s="139"/>
      <c r="I73" s="139"/>
      <c r="J73" s="139"/>
      <c r="K73" s="139"/>
      <c r="L73" s="140"/>
      <c r="M73" s="61">
        <v>1</v>
      </c>
      <c r="N73" s="62">
        <f t="shared" si="16"/>
        <v>1</v>
      </c>
      <c r="O73" s="62">
        <f t="shared" si="16"/>
        <v>1</v>
      </c>
      <c r="P73" s="62">
        <f t="shared" si="16"/>
        <v>1</v>
      </c>
      <c r="Q73" s="62" t="s">
        <v>124</v>
      </c>
      <c r="R73" s="62" t="str">
        <f t="shared" si="16"/>
        <v>a</v>
      </c>
      <c r="S73" s="62" t="str">
        <f t="shared" si="16"/>
        <v>a</v>
      </c>
      <c r="T73" s="63" t="str">
        <f t="shared" si="16"/>
        <v>a</v>
      </c>
      <c r="U73" s="61">
        <v>1</v>
      </c>
      <c r="V73" s="62">
        <f t="shared" si="17"/>
        <v>1</v>
      </c>
      <c r="W73" s="62">
        <f t="shared" si="17"/>
        <v>1</v>
      </c>
      <c r="X73" s="62">
        <f t="shared" si="17"/>
        <v>1</v>
      </c>
      <c r="Y73" s="62">
        <f t="shared" si="17"/>
        <v>1</v>
      </c>
      <c r="Z73" s="62">
        <f t="shared" si="17"/>
        <v>1</v>
      </c>
      <c r="AA73" s="62">
        <f t="shared" si="17"/>
        <v>1</v>
      </c>
      <c r="AB73" s="63">
        <f t="shared" si="17"/>
        <v>1</v>
      </c>
      <c r="AC73" s="61">
        <v>1</v>
      </c>
      <c r="AD73" s="62">
        <f t="shared" si="18"/>
        <v>1</v>
      </c>
      <c r="AE73" s="62">
        <f t="shared" si="18"/>
        <v>1</v>
      </c>
      <c r="AF73" s="62">
        <f t="shared" si="18"/>
        <v>1</v>
      </c>
      <c r="AG73" s="62">
        <f t="shared" si="18"/>
        <v>1</v>
      </c>
      <c r="AH73" s="62">
        <f t="shared" si="18"/>
        <v>1</v>
      </c>
      <c r="AI73" s="62">
        <f t="shared" si="18"/>
        <v>1</v>
      </c>
      <c r="AJ73" s="63">
        <f t="shared" si="18"/>
        <v>1</v>
      </c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>
        <f t="shared" si="19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1"/>
        <v>28</v>
      </c>
      <c r="BB73" s="9">
        <f t="shared" si="5"/>
        <v>130</v>
      </c>
      <c r="BC73" s="10">
        <f t="shared" si="6"/>
        <v>97</v>
      </c>
    </row>
    <row r="74" spans="1:55" ht="14.15" customHeight="1" thickBot="1" x14ac:dyDescent="0.4">
      <c r="A74" s="150" t="s">
        <v>125</v>
      </c>
      <c r="B74" s="151"/>
      <c r="C74" s="151"/>
      <c r="D74" s="151"/>
      <c r="E74" s="50"/>
      <c r="F74" s="50"/>
      <c r="G74" s="50"/>
      <c r="H74" s="50"/>
      <c r="I74" s="50"/>
      <c r="J74" s="50"/>
      <c r="K74" s="50"/>
      <c r="L74" s="50"/>
      <c r="M74" s="50">
        <f t="shared" ref="M74:AR74" si="20">COUNTIF(M10:M73,"a")</f>
        <v>3</v>
      </c>
      <c r="N74" s="50">
        <f t="shared" si="20"/>
        <v>3</v>
      </c>
      <c r="O74" s="50">
        <f t="shared" si="20"/>
        <v>3</v>
      </c>
      <c r="P74" s="50">
        <f t="shared" si="20"/>
        <v>3</v>
      </c>
      <c r="Q74" s="50">
        <f t="shared" si="20"/>
        <v>7</v>
      </c>
      <c r="R74" s="50">
        <f t="shared" si="20"/>
        <v>7</v>
      </c>
      <c r="S74" s="50">
        <f t="shared" si="20"/>
        <v>7</v>
      </c>
      <c r="T74" s="50">
        <f t="shared" si="20"/>
        <v>7</v>
      </c>
      <c r="U74" s="50">
        <f t="shared" si="20"/>
        <v>5</v>
      </c>
      <c r="V74" s="50">
        <f t="shared" si="20"/>
        <v>5</v>
      </c>
      <c r="W74" s="50">
        <f t="shared" si="20"/>
        <v>5</v>
      </c>
      <c r="X74" s="50">
        <f t="shared" si="20"/>
        <v>5</v>
      </c>
      <c r="Y74" s="50">
        <f t="shared" si="20"/>
        <v>5</v>
      </c>
      <c r="Z74" s="50">
        <f t="shared" si="20"/>
        <v>5</v>
      </c>
      <c r="AA74" s="50">
        <f t="shared" si="20"/>
        <v>5</v>
      </c>
      <c r="AB74" s="50">
        <f t="shared" si="20"/>
        <v>5</v>
      </c>
      <c r="AC74" s="50">
        <f t="shared" si="20"/>
        <v>10</v>
      </c>
      <c r="AD74" s="50">
        <f t="shared" si="20"/>
        <v>10</v>
      </c>
      <c r="AE74" s="50">
        <f t="shared" si="20"/>
        <v>10</v>
      </c>
      <c r="AF74" s="50">
        <f t="shared" si="20"/>
        <v>10</v>
      </c>
      <c r="AG74" s="50">
        <f t="shared" si="20"/>
        <v>10</v>
      </c>
      <c r="AH74" s="50">
        <f t="shared" si="20"/>
        <v>10</v>
      </c>
      <c r="AI74" s="50">
        <f t="shared" si="20"/>
        <v>10</v>
      </c>
      <c r="AJ74" s="50">
        <f t="shared" si="20"/>
        <v>10</v>
      </c>
      <c r="AK74" s="50">
        <f t="shared" si="20"/>
        <v>5</v>
      </c>
      <c r="AL74" s="50">
        <f t="shared" si="20"/>
        <v>5</v>
      </c>
      <c r="AM74" s="50">
        <f t="shared" si="20"/>
        <v>5</v>
      </c>
      <c r="AN74" s="50">
        <f t="shared" si="20"/>
        <v>5</v>
      </c>
      <c r="AO74" s="50">
        <f t="shared" si="20"/>
        <v>5</v>
      </c>
      <c r="AP74" s="50">
        <f t="shared" si="20"/>
        <v>5</v>
      </c>
      <c r="AQ74" s="50">
        <f t="shared" si="20"/>
        <v>5</v>
      </c>
      <c r="AR74" s="50">
        <f t="shared" si="20"/>
        <v>5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8.15" customHeight="1" thickBot="1" x14ac:dyDescent="0.4">
      <c r="A75" s="88"/>
      <c r="B75" s="89"/>
      <c r="C75" s="89"/>
      <c r="D75" s="89"/>
      <c r="E75" s="104"/>
      <c r="F75" s="94"/>
      <c r="G75" s="76"/>
      <c r="H75" s="76"/>
      <c r="I75" s="201"/>
      <c r="J75" s="202"/>
      <c r="K75" s="202"/>
      <c r="L75" s="203"/>
      <c r="M75" s="57" t="str">
        <f>M9</f>
        <v>UT</v>
      </c>
      <c r="N75" s="57" t="str">
        <f t="shared" ref="N75:AR75" si="21">N9</f>
        <v>NPK</v>
      </c>
      <c r="O75" s="57" t="str">
        <f t="shared" si="21"/>
        <v>PA</v>
      </c>
      <c r="P75" s="57" t="str">
        <f t="shared" si="21"/>
        <v>VP</v>
      </c>
      <c r="Q75" s="57" t="str">
        <f t="shared" si="21"/>
        <v>NS</v>
      </c>
      <c r="R75" s="160" t="s">
        <v>107</v>
      </c>
      <c r="S75" s="130"/>
      <c r="T75" s="161"/>
      <c r="U75" s="57" t="str">
        <f t="shared" si="21"/>
        <v>UT</v>
      </c>
      <c r="V75" s="129" t="s">
        <v>108</v>
      </c>
      <c r="W75" s="130"/>
      <c r="X75" s="131"/>
      <c r="Y75" s="57" t="str">
        <f t="shared" si="21"/>
        <v>PA</v>
      </c>
      <c r="Z75" s="57" t="str">
        <f t="shared" si="21"/>
        <v>SG</v>
      </c>
      <c r="AA75" s="57" t="str">
        <f t="shared" si="21"/>
        <v>VP</v>
      </c>
      <c r="AB75" s="57" t="str">
        <f t="shared" si="21"/>
        <v>NS</v>
      </c>
      <c r="AC75" s="57" t="str">
        <f t="shared" si="21"/>
        <v>UT</v>
      </c>
      <c r="AD75" s="57" t="str">
        <f t="shared" si="21"/>
        <v>BB</v>
      </c>
      <c r="AE75" s="57" t="str">
        <f t="shared" si="21"/>
        <v>SG</v>
      </c>
      <c r="AF75" s="57" t="str">
        <f t="shared" si="21"/>
        <v>PA</v>
      </c>
      <c r="AG75" s="57" t="str">
        <f t="shared" si="21"/>
        <v>SG</v>
      </c>
      <c r="AH75" s="57" t="str">
        <f t="shared" si="21"/>
        <v>SS</v>
      </c>
      <c r="AI75" s="57" t="str">
        <f t="shared" si="21"/>
        <v>VP</v>
      </c>
      <c r="AJ75" s="57" t="str">
        <f t="shared" si="21"/>
        <v>BB</v>
      </c>
      <c r="AK75" s="57" t="str">
        <f t="shared" si="21"/>
        <v>UT</v>
      </c>
      <c r="AL75" s="236" t="str">
        <f t="shared" si="21"/>
        <v>SG</v>
      </c>
      <c r="AM75" s="199"/>
      <c r="AN75" s="200"/>
      <c r="AO75" s="57" t="str">
        <f t="shared" si="21"/>
        <v>NS</v>
      </c>
      <c r="AP75" s="57" t="str">
        <f t="shared" si="21"/>
        <v>SG</v>
      </c>
      <c r="AQ75" s="57" t="str">
        <f t="shared" si="21"/>
        <v>NPK</v>
      </c>
      <c r="AR75" s="57" t="str">
        <f t="shared" si="21"/>
        <v>BB</v>
      </c>
      <c r="AS75" s="73"/>
      <c r="AT75" s="74"/>
      <c r="AU75" s="74"/>
      <c r="AV75" s="74"/>
      <c r="AW75" s="74"/>
      <c r="AX75" s="74"/>
      <c r="AY75" s="74"/>
      <c r="AZ75" s="120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0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BA8:BA9"/>
    <mergeCell ref="BB8:BB9"/>
    <mergeCell ref="I9:L9"/>
    <mergeCell ref="R9:T9"/>
    <mergeCell ref="V8:X8"/>
    <mergeCell ref="AL8:AN8"/>
    <mergeCell ref="V9:X9"/>
    <mergeCell ref="AL9:AN9"/>
    <mergeCell ref="A76:D76"/>
    <mergeCell ref="A79:I79"/>
    <mergeCell ref="A80:H80"/>
    <mergeCell ref="AR80:BC80"/>
    <mergeCell ref="AS10:AZ42"/>
    <mergeCell ref="AS43:AZ73"/>
    <mergeCell ref="E10:L42"/>
    <mergeCell ref="E43:L73"/>
    <mergeCell ref="I75:L75"/>
    <mergeCell ref="R75:T75"/>
    <mergeCell ref="V75:X75"/>
    <mergeCell ref="AL75:AN75"/>
    <mergeCell ref="A74:D74"/>
  </mergeCells>
  <conditionalFormatting sqref="BC1:BC73">
    <cfRule type="cellIs" dxfId="41" priority="1" operator="lessThan">
      <formula>75</formula>
    </cfRule>
  </conditionalFormatting>
  <conditionalFormatting sqref="BC10:BC73">
    <cfRule type="cellIs" dxfId="40" priority="3" operator="lessThan">
      <formula>75</formula>
    </cfRule>
  </conditionalFormatting>
  <conditionalFormatting sqref="BC80">
    <cfRule type="cellIs" dxfId="39" priority="2" operator="lessThan">
      <formula>75</formula>
    </cfRule>
  </conditionalFormatting>
  <pageMargins left="0.19685039370078741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BAD6-5E91-490C-9AB7-0E83BA85C18F}">
  <dimension ref="A1:BC80"/>
  <sheetViews>
    <sheetView view="pageBreakPreview" zoomScale="55" zoomScaleNormal="70" zoomScaleSheetLayoutView="55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158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86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159</v>
      </c>
      <c r="F5" s="177"/>
      <c r="G5" s="177"/>
      <c r="H5" s="177"/>
      <c r="I5" s="177"/>
      <c r="J5" s="177"/>
      <c r="K5" s="177"/>
      <c r="L5" s="177"/>
      <c r="M5" s="177" t="s">
        <v>160</v>
      </c>
      <c r="N5" s="177"/>
      <c r="O5" s="177"/>
      <c r="P5" s="177"/>
      <c r="Q5" s="177"/>
      <c r="R5" s="177"/>
      <c r="S5" s="177"/>
      <c r="T5" s="177"/>
      <c r="U5" s="177" t="s">
        <v>161</v>
      </c>
      <c r="V5" s="177"/>
      <c r="W5" s="177"/>
      <c r="X5" s="177"/>
      <c r="Y5" s="177"/>
      <c r="Z5" s="177"/>
      <c r="AA5" s="177"/>
      <c r="AB5" s="177"/>
      <c r="AC5" s="177" t="s">
        <v>162</v>
      </c>
      <c r="AD5" s="177"/>
      <c r="AE5" s="177"/>
      <c r="AF5" s="177"/>
      <c r="AG5" s="177"/>
      <c r="AH5" s="177"/>
      <c r="AI5" s="177"/>
      <c r="AJ5" s="177"/>
      <c r="AK5" s="177" t="s">
        <v>163</v>
      </c>
      <c r="AL5" s="177"/>
      <c r="AM5" s="177"/>
      <c r="AN5" s="177"/>
      <c r="AO5" s="177"/>
      <c r="AP5" s="177"/>
      <c r="AQ5" s="177"/>
      <c r="AR5" s="177"/>
      <c r="AS5" s="177" t="s">
        <v>164</v>
      </c>
      <c r="AT5" s="177"/>
      <c r="AU5" s="177"/>
      <c r="AV5" s="177"/>
      <c r="AW5" s="177"/>
      <c r="AX5" s="177"/>
      <c r="AY5" s="177"/>
      <c r="AZ5" s="177"/>
      <c r="BA5" s="157">
        <v>40</v>
      </c>
      <c r="BB5" s="170">
        <f>D7+BA5</f>
        <v>174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238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07">
        <v>134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171"/>
      <c r="BC7" s="182"/>
    </row>
    <row r="8" spans="1:55" ht="30" customHeight="1" thickBot="1" x14ac:dyDescent="0.4">
      <c r="A8" s="165"/>
      <c r="B8" s="168"/>
      <c r="C8" s="171"/>
      <c r="D8" s="208"/>
      <c r="E8" s="95" t="s">
        <v>92</v>
      </c>
      <c r="F8" s="59" t="s">
        <v>91</v>
      </c>
      <c r="G8" s="76" t="s">
        <v>94</v>
      </c>
      <c r="H8" s="94" t="s">
        <v>92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94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92" t="s">
        <v>106</v>
      </c>
      <c r="AL8" s="193"/>
      <c r="AM8" s="193"/>
      <c r="AN8" s="239"/>
      <c r="AO8" s="59" t="s">
        <v>94</v>
      </c>
      <c r="AP8" s="59" t="s">
        <v>105</v>
      </c>
      <c r="AQ8" s="59" t="s">
        <v>101</v>
      </c>
      <c r="AR8" s="59" t="s">
        <v>101</v>
      </c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156</v>
      </c>
      <c r="F9" s="56" t="s">
        <v>83</v>
      </c>
      <c r="G9" s="78" t="s">
        <v>95</v>
      </c>
      <c r="H9" s="78" t="s">
        <v>93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95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36" t="s">
        <v>83</v>
      </c>
      <c r="AL9" s="199"/>
      <c r="AM9" s="199"/>
      <c r="AN9" s="200"/>
      <c r="AO9" s="56" t="s">
        <v>95</v>
      </c>
      <c r="AP9" s="56" t="s">
        <v>100</v>
      </c>
      <c r="AQ9" s="56" t="s">
        <v>92</v>
      </c>
      <c r="AR9" s="56" t="s">
        <v>92</v>
      </c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118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5">SUM(E10:AZ10)</f>
        <v>40</v>
      </c>
      <c r="BB10" s="9">
        <f>BA10+D10+C10</f>
        <v>158</v>
      </c>
      <c r="BC10" s="10">
        <f>ROUND((BB10/BB$5)*100,0)</f>
        <v>91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88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40</v>
      </c>
      <c r="BB11" s="9">
        <f t="shared" ref="BB11:BB73" si="6">BA11+D11+C11</f>
        <v>128</v>
      </c>
      <c r="BC11" s="10">
        <f t="shared" ref="BC11:BC73" si="7">ROUND((BB11/BB$5)*100,0)</f>
        <v>74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134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40</v>
      </c>
      <c r="BB12" s="9">
        <f t="shared" si="6"/>
        <v>174</v>
      </c>
      <c r="BC12" s="10">
        <f t="shared" si="7"/>
        <v>100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110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32</v>
      </c>
      <c r="BB13" s="9">
        <f t="shared" si="6"/>
        <v>142</v>
      </c>
      <c r="BC13" s="10">
        <f t="shared" si="7"/>
        <v>82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102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40</v>
      </c>
      <c r="BB14" s="9">
        <f t="shared" si="6"/>
        <v>142</v>
      </c>
      <c r="BC14" s="10">
        <f t="shared" si="7"/>
        <v>82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88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40</v>
      </c>
      <c r="BB15" s="9">
        <f t="shared" si="6"/>
        <v>128</v>
      </c>
      <c r="BC15" s="10">
        <f t="shared" si="7"/>
        <v>74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83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40</v>
      </c>
      <c r="BB16" s="9">
        <f t="shared" si="6"/>
        <v>123</v>
      </c>
      <c r="BC16" s="10">
        <f t="shared" si="7"/>
        <v>71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128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40</v>
      </c>
      <c r="BB17" s="9">
        <f t="shared" si="6"/>
        <v>168</v>
      </c>
      <c r="BC17" s="10">
        <f t="shared" si="7"/>
        <v>97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100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32</v>
      </c>
      <c r="BB18" s="9">
        <f t="shared" si="6"/>
        <v>132</v>
      </c>
      <c r="BC18" s="10">
        <f t="shared" si="7"/>
        <v>76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100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 t="s">
        <v>124</v>
      </c>
      <c r="AL19" s="62" t="str">
        <f t="shared" si="4"/>
        <v>a</v>
      </c>
      <c r="AM19" s="62" t="str">
        <f t="shared" si="4"/>
        <v>a</v>
      </c>
      <c r="AN19" s="62" t="str">
        <f t="shared" si="4"/>
        <v>a</v>
      </c>
      <c r="AO19" s="62" t="str">
        <f t="shared" si="4"/>
        <v>a</v>
      </c>
      <c r="AP19" s="62" t="str">
        <f t="shared" si="4"/>
        <v>a</v>
      </c>
      <c r="AQ19" s="62" t="str">
        <f t="shared" si="4"/>
        <v>a</v>
      </c>
      <c r="AR19" s="63" t="str">
        <f t="shared" si="4"/>
        <v>a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32</v>
      </c>
      <c r="BB19" s="9">
        <f t="shared" si="6"/>
        <v>132</v>
      </c>
      <c r="BC19" s="10">
        <f t="shared" si="7"/>
        <v>76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134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40</v>
      </c>
      <c r="BB20" s="9">
        <f t="shared" si="6"/>
        <v>174</v>
      </c>
      <c r="BC20" s="10">
        <f t="shared" si="7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122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40</v>
      </c>
      <c r="BB21" s="9">
        <f t="shared" si="6"/>
        <v>162</v>
      </c>
      <c r="BC21" s="10">
        <f t="shared" si="7"/>
        <v>93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134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174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128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168</v>
      </c>
      <c r="BC23" s="10">
        <f t="shared" si="7"/>
        <v>97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104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40</v>
      </c>
      <c r="BB24" s="9">
        <f t="shared" si="6"/>
        <v>144</v>
      </c>
      <c r="BC24" s="10">
        <f t="shared" si="7"/>
        <v>83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94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134</v>
      </c>
      <c r="BC25" s="10">
        <f t="shared" si="7"/>
        <v>77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99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40</v>
      </c>
      <c r="BB26" s="9">
        <f t="shared" si="6"/>
        <v>139</v>
      </c>
      <c r="BC26" s="10">
        <f t="shared" si="7"/>
        <v>80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126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40</v>
      </c>
      <c r="BB27" s="9">
        <f t="shared" si="6"/>
        <v>166</v>
      </c>
      <c r="BC27" s="10">
        <f t="shared" si="7"/>
        <v>95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118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40</v>
      </c>
      <c r="BB28" s="9">
        <f t="shared" si="6"/>
        <v>158</v>
      </c>
      <c r="BC28" s="10">
        <f t="shared" si="7"/>
        <v>91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104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40</v>
      </c>
      <c r="BB29" s="9">
        <f t="shared" si="6"/>
        <v>144</v>
      </c>
      <c r="BC29" s="10">
        <f t="shared" si="7"/>
        <v>83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120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40</v>
      </c>
      <c r="BB30" s="9">
        <f t="shared" si="6"/>
        <v>160</v>
      </c>
      <c r="BC30" s="10">
        <f t="shared" si="7"/>
        <v>92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118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 t="s">
        <v>124</v>
      </c>
      <c r="AD31" s="62" t="str">
        <f t="shared" si="11"/>
        <v>a</v>
      </c>
      <c r="AE31" s="62" t="str">
        <f t="shared" si="11"/>
        <v>a</v>
      </c>
      <c r="AF31" s="62" t="str">
        <f t="shared" si="11"/>
        <v>a</v>
      </c>
      <c r="AG31" s="62" t="str">
        <f t="shared" si="11"/>
        <v>a</v>
      </c>
      <c r="AH31" s="62" t="str">
        <f t="shared" si="11"/>
        <v>a</v>
      </c>
      <c r="AI31" s="62" t="str">
        <f t="shared" si="11"/>
        <v>a</v>
      </c>
      <c r="AJ31" s="63" t="str">
        <f t="shared" si="11"/>
        <v>a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32</v>
      </c>
      <c r="BB31" s="9">
        <f t="shared" si="6"/>
        <v>150</v>
      </c>
      <c r="BC31" s="10">
        <f t="shared" si="7"/>
        <v>86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101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40</v>
      </c>
      <c r="BB32" s="9">
        <f t="shared" si="6"/>
        <v>141</v>
      </c>
      <c r="BC32" s="10">
        <f t="shared" si="7"/>
        <v>81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112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40</v>
      </c>
      <c r="BB33" s="9">
        <f t="shared" si="6"/>
        <v>152</v>
      </c>
      <c r="BC33" s="10">
        <f t="shared" si="7"/>
        <v>87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103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 t="s">
        <v>124</v>
      </c>
      <c r="N34" s="62" t="str">
        <f t="shared" si="9"/>
        <v>a</v>
      </c>
      <c r="O34" s="62" t="str">
        <f t="shared" si="9"/>
        <v>a</v>
      </c>
      <c r="P34" s="62" t="str">
        <f t="shared" si="9"/>
        <v>a</v>
      </c>
      <c r="Q34" s="62" t="str">
        <f t="shared" si="9"/>
        <v>a</v>
      </c>
      <c r="R34" s="62" t="str">
        <f t="shared" si="9"/>
        <v>a</v>
      </c>
      <c r="S34" s="62" t="str">
        <f t="shared" si="9"/>
        <v>a</v>
      </c>
      <c r="T34" s="63" t="str">
        <f t="shared" si="9"/>
        <v>a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32</v>
      </c>
      <c r="BB34" s="9">
        <f t="shared" si="6"/>
        <v>135</v>
      </c>
      <c r="BC34" s="10">
        <f t="shared" si="7"/>
        <v>78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134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174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97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 t="s">
        <v>124</v>
      </c>
      <c r="AD36" s="62" t="str">
        <f t="shared" si="11"/>
        <v>a</v>
      </c>
      <c r="AE36" s="62" t="str">
        <f t="shared" si="11"/>
        <v>a</v>
      </c>
      <c r="AF36" s="62" t="str">
        <f t="shared" si="11"/>
        <v>a</v>
      </c>
      <c r="AG36" s="62" t="str">
        <f t="shared" si="11"/>
        <v>a</v>
      </c>
      <c r="AH36" s="62" t="str">
        <f t="shared" si="11"/>
        <v>a</v>
      </c>
      <c r="AI36" s="62" t="str">
        <f t="shared" si="11"/>
        <v>a</v>
      </c>
      <c r="AJ36" s="63" t="str">
        <f t="shared" si="11"/>
        <v>a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32</v>
      </c>
      <c r="BB36" s="9">
        <f t="shared" si="6"/>
        <v>129</v>
      </c>
      <c r="BC36" s="10">
        <f t="shared" si="7"/>
        <v>74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134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174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94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40</v>
      </c>
      <c r="BB38" s="9">
        <f t="shared" si="6"/>
        <v>134</v>
      </c>
      <c r="BC38" s="10">
        <f t="shared" si="7"/>
        <v>77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110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 t="s">
        <v>124</v>
      </c>
      <c r="AD39" s="62" t="str">
        <f t="shared" si="11"/>
        <v>a</v>
      </c>
      <c r="AE39" s="62" t="str">
        <f t="shared" si="11"/>
        <v>a</v>
      </c>
      <c r="AF39" s="62" t="str">
        <f t="shared" si="11"/>
        <v>a</v>
      </c>
      <c r="AG39" s="62" t="str">
        <f t="shared" si="11"/>
        <v>a</v>
      </c>
      <c r="AH39" s="62" t="str">
        <f t="shared" si="11"/>
        <v>a</v>
      </c>
      <c r="AI39" s="62" t="str">
        <f t="shared" si="11"/>
        <v>a</v>
      </c>
      <c r="AJ39" s="63" t="str">
        <f t="shared" si="11"/>
        <v>a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32</v>
      </c>
      <c r="BB39" s="9">
        <f t="shared" si="6"/>
        <v>142</v>
      </c>
      <c r="BC39" s="10">
        <f t="shared" si="7"/>
        <v>82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112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 t="s">
        <v>124</v>
      </c>
      <c r="N40" s="62" t="str">
        <f t="shared" si="9"/>
        <v>a</v>
      </c>
      <c r="O40" s="62" t="str">
        <f t="shared" si="9"/>
        <v>a</v>
      </c>
      <c r="P40" s="62" t="str">
        <f t="shared" si="9"/>
        <v>a</v>
      </c>
      <c r="Q40" s="62" t="str">
        <f t="shared" si="9"/>
        <v>a</v>
      </c>
      <c r="R40" s="62" t="str">
        <f t="shared" si="9"/>
        <v>a</v>
      </c>
      <c r="S40" s="62" t="str">
        <f t="shared" si="9"/>
        <v>a</v>
      </c>
      <c r="T40" s="63" t="str">
        <f t="shared" si="9"/>
        <v>a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24</v>
      </c>
      <c r="BB40" s="9">
        <f t="shared" si="6"/>
        <v>136</v>
      </c>
      <c r="BC40" s="10">
        <f t="shared" si="7"/>
        <v>78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126</v>
      </c>
      <c r="E41" s="61">
        <v>1</v>
      </c>
      <c r="F41" s="62">
        <f t="shared" si="13"/>
        <v>1</v>
      </c>
      <c r="G41" s="62">
        <f t="shared" si="13"/>
        <v>1</v>
      </c>
      <c r="H41" s="62">
        <f t="shared" si="13"/>
        <v>1</v>
      </c>
      <c r="I41" s="62">
        <f t="shared" si="13"/>
        <v>1</v>
      </c>
      <c r="J41" s="62">
        <f t="shared" si="13"/>
        <v>1</v>
      </c>
      <c r="K41" s="62">
        <f t="shared" si="13"/>
        <v>1</v>
      </c>
      <c r="L41" s="63">
        <f t="shared" si="13"/>
        <v>1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 t="s">
        <v>124</v>
      </c>
      <c r="AL41" s="62" t="str">
        <f t="shared" si="12"/>
        <v>a</v>
      </c>
      <c r="AM41" s="62" t="str">
        <f t="shared" si="12"/>
        <v>a</v>
      </c>
      <c r="AN41" s="62" t="str">
        <f t="shared" si="12"/>
        <v>a</v>
      </c>
      <c r="AO41" s="62" t="str">
        <f t="shared" si="12"/>
        <v>a</v>
      </c>
      <c r="AP41" s="62" t="str">
        <f t="shared" si="12"/>
        <v>a</v>
      </c>
      <c r="AQ41" s="62" t="str">
        <f t="shared" si="12"/>
        <v>a</v>
      </c>
      <c r="AR41" s="63" t="str">
        <f t="shared" si="12"/>
        <v>a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32</v>
      </c>
      <c r="BB41" s="9">
        <f t="shared" si="6"/>
        <v>158</v>
      </c>
      <c r="BC41" s="10">
        <f t="shared" si="7"/>
        <v>91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125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 t="s">
        <v>124</v>
      </c>
      <c r="V42" s="62" t="str">
        <f t="shared" ref="V42:AB57" si="16">U42</f>
        <v>a</v>
      </c>
      <c r="W42" s="62" t="str">
        <f t="shared" si="16"/>
        <v>a</v>
      </c>
      <c r="X42" s="62" t="str">
        <f t="shared" si="16"/>
        <v>a</v>
      </c>
      <c r="Y42" s="62" t="str">
        <f t="shared" si="16"/>
        <v>a</v>
      </c>
      <c r="Z42" s="62" t="str">
        <f t="shared" si="16"/>
        <v>a</v>
      </c>
      <c r="AA42" s="62" t="str">
        <f t="shared" si="16"/>
        <v>a</v>
      </c>
      <c r="AB42" s="63" t="str">
        <f t="shared" si="16"/>
        <v>a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32</v>
      </c>
      <c r="BB42" s="9">
        <f t="shared" si="6"/>
        <v>157</v>
      </c>
      <c r="BC42" s="10">
        <f t="shared" si="7"/>
        <v>90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109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 t="s">
        <v>124</v>
      </c>
      <c r="AL43" s="62" t="str">
        <f t="shared" si="18"/>
        <v>a</v>
      </c>
      <c r="AM43" s="62" t="str">
        <f t="shared" si="18"/>
        <v>a</v>
      </c>
      <c r="AN43" s="62" t="str">
        <f t="shared" si="18"/>
        <v>a</v>
      </c>
      <c r="AO43" s="62" t="str">
        <f t="shared" si="18"/>
        <v>a</v>
      </c>
      <c r="AP43" s="62" t="str">
        <f t="shared" si="18"/>
        <v>a</v>
      </c>
      <c r="AQ43" s="62" t="str">
        <f t="shared" si="18"/>
        <v>a</v>
      </c>
      <c r="AR43" s="63" t="str">
        <f t="shared" si="18"/>
        <v>a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32</v>
      </c>
      <c r="BB43" s="9">
        <f t="shared" si="6"/>
        <v>141</v>
      </c>
      <c r="BC43" s="10">
        <f t="shared" si="7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72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112</v>
      </c>
      <c r="BC44" s="10">
        <f t="shared" si="7"/>
        <v>64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110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40</v>
      </c>
      <c r="BB45" s="9">
        <f t="shared" si="6"/>
        <v>150</v>
      </c>
      <c r="BC45" s="10">
        <f t="shared" si="7"/>
        <v>86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112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40</v>
      </c>
      <c r="BB46" s="9">
        <f t="shared" si="6"/>
        <v>152</v>
      </c>
      <c r="BC46" s="10">
        <f t="shared" si="7"/>
        <v>87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104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40</v>
      </c>
      <c r="BB47" s="9">
        <f t="shared" si="6"/>
        <v>144</v>
      </c>
      <c r="BC47" s="10">
        <f t="shared" si="7"/>
        <v>83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106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40</v>
      </c>
      <c r="BB48" s="9">
        <f t="shared" si="6"/>
        <v>146</v>
      </c>
      <c r="BC48" s="10">
        <f t="shared" si="7"/>
        <v>84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118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158</v>
      </c>
      <c r="BC49" s="10">
        <f t="shared" si="7"/>
        <v>91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120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40</v>
      </c>
      <c r="BB50" s="9">
        <f t="shared" si="6"/>
        <v>160</v>
      </c>
      <c r="BC50" s="10">
        <f t="shared" si="7"/>
        <v>92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104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144</v>
      </c>
      <c r="BC51" s="10">
        <f t="shared" si="7"/>
        <v>83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116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40</v>
      </c>
      <c r="BB52" s="9">
        <f t="shared" si="6"/>
        <v>156</v>
      </c>
      <c r="BC52" s="10">
        <f t="shared" si="7"/>
        <v>90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118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40</v>
      </c>
      <c r="BB53" s="9">
        <f t="shared" si="6"/>
        <v>158</v>
      </c>
      <c r="BC53" s="10">
        <f t="shared" si="7"/>
        <v>91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104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40</v>
      </c>
      <c r="BB54" s="9">
        <f t="shared" si="6"/>
        <v>144</v>
      </c>
      <c r="BC54" s="10">
        <f t="shared" si="7"/>
        <v>83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126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32</v>
      </c>
      <c r="BB55" s="9">
        <f t="shared" si="6"/>
        <v>158</v>
      </c>
      <c r="BC55" s="10">
        <f t="shared" si="7"/>
        <v>91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126</v>
      </c>
      <c r="E56" s="61" t="s">
        <v>124</v>
      </c>
      <c r="F56" s="62" t="str">
        <f t="shared" si="19"/>
        <v>a</v>
      </c>
      <c r="G56" s="62" t="str">
        <f t="shared" si="19"/>
        <v>a</v>
      </c>
      <c r="H56" s="62" t="str">
        <f t="shared" si="19"/>
        <v>a</v>
      </c>
      <c r="I56" s="62" t="str">
        <f t="shared" si="19"/>
        <v>a</v>
      </c>
      <c r="J56" s="62" t="str">
        <f t="shared" si="19"/>
        <v>a</v>
      </c>
      <c r="K56" s="62" t="str">
        <f t="shared" si="19"/>
        <v>a</v>
      </c>
      <c r="L56" s="63" t="str">
        <f t="shared" si="19"/>
        <v>a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32</v>
      </c>
      <c r="BB56" s="9">
        <f t="shared" si="6"/>
        <v>158</v>
      </c>
      <c r="BC56" s="10">
        <f t="shared" si="7"/>
        <v>91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118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32</v>
      </c>
      <c r="BB57" s="9">
        <f t="shared" si="6"/>
        <v>150</v>
      </c>
      <c r="BC57" s="10">
        <f t="shared" si="7"/>
        <v>86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126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40</v>
      </c>
      <c r="BB58" s="9">
        <f t="shared" si="6"/>
        <v>166</v>
      </c>
      <c r="BC58" s="10">
        <f t="shared" si="7"/>
        <v>95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126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 t="s">
        <v>124</v>
      </c>
      <c r="AL59" s="62" t="str">
        <f t="shared" si="23"/>
        <v>a</v>
      </c>
      <c r="AM59" s="62" t="str">
        <f t="shared" si="23"/>
        <v>a</v>
      </c>
      <c r="AN59" s="62" t="str">
        <f t="shared" si="23"/>
        <v>a</v>
      </c>
      <c r="AO59" s="62" t="str">
        <f t="shared" si="23"/>
        <v>a</v>
      </c>
      <c r="AP59" s="62" t="str">
        <f t="shared" si="23"/>
        <v>a</v>
      </c>
      <c r="AQ59" s="62" t="str">
        <f t="shared" si="23"/>
        <v>a</v>
      </c>
      <c r="AR59" s="63" t="str">
        <f t="shared" si="23"/>
        <v>a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32</v>
      </c>
      <c r="BB59" s="9">
        <f t="shared" si="6"/>
        <v>158</v>
      </c>
      <c r="BC59" s="10">
        <f t="shared" si="7"/>
        <v>91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82</v>
      </c>
      <c r="E60" s="61" t="s">
        <v>124</v>
      </c>
      <c r="F60" s="62" t="str">
        <f t="shared" ref="F60:L73" si="24">E60</f>
        <v>a</v>
      </c>
      <c r="G60" s="62" t="str">
        <f t="shared" si="24"/>
        <v>a</v>
      </c>
      <c r="H60" s="62" t="str">
        <f t="shared" si="24"/>
        <v>a</v>
      </c>
      <c r="I60" s="62" t="str">
        <f t="shared" si="24"/>
        <v>a</v>
      </c>
      <c r="J60" s="62" t="str">
        <f t="shared" si="24"/>
        <v>a</v>
      </c>
      <c r="K60" s="62" t="str">
        <f t="shared" si="24"/>
        <v>a</v>
      </c>
      <c r="L60" s="63" t="str">
        <f t="shared" si="24"/>
        <v>a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32</v>
      </c>
      <c r="BB60" s="9">
        <f t="shared" si="6"/>
        <v>114</v>
      </c>
      <c r="BC60" s="10">
        <f t="shared" si="7"/>
        <v>66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118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40</v>
      </c>
      <c r="BB61" s="9">
        <f t="shared" si="6"/>
        <v>158</v>
      </c>
      <c r="BC61" s="10">
        <f t="shared" si="7"/>
        <v>91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84</v>
      </c>
      <c r="E62" s="61" t="s">
        <v>124</v>
      </c>
      <c r="F62" s="62" t="str">
        <f t="shared" si="24"/>
        <v>a</v>
      </c>
      <c r="G62" s="62" t="str">
        <f t="shared" si="24"/>
        <v>a</v>
      </c>
      <c r="H62" s="62" t="str">
        <f t="shared" si="24"/>
        <v>a</v>
      </c>
      <c r="I62" s="62" t="str">
        <f t="shared" si="24"/>
        <v>a</v>
      </c>
      <c r="J62" s="62" t="str">
        <f t="shared" si="24"/>
        <v>a</v>
      </c>
      <c r="K62" s="62" t="str">
        <f t="shared" si="24"/>
        <v>a</v>
      </c>
      <c r="L62" s="63" t="str">
        <f t="shared" si="24"/>
        <v>a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32</v>
      </c>
      <c r="BB62" s="9">
        <f t="shared" si="6"/>
        <v>116</v>
      </c>
      <c r="BC62" s="10">
        <f t="shared" si="7"/>
        <v>67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75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40</v>
      </c>
      <c r="BB63" s="9">
        <f t="shared" si="6"/>
        <v>115</v>
      </c>
      <c r="BC63" s="10">
        <f t="shared" si="7"/>
        <v>66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108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 t="s">
        <v>124</v>
      </c>
      <c r="AL64" s="62" t="str">
        <f t="shared" si="23"/>
        <v>a</v>
      </c>
      <c r="AM64" s="62" t="str">
        <f t="shared" si="23"/>
        <v>a</v>
      </c>
      <c r="AN64" s="62" t="str">
        <f t="shared" si="23"/>
        <v>a</v>
      </c>
      <c r="AO64" s="62" t="str">
        <f t="shared" si="23"/>
        <v>a</v>
      </c>
      <c r="AP64" s="62" t="str">
        <f t="shared" si="23"/>
        <v>a</v>
      </c>
      <c r="AQ64" s="62" t="str">
        <f t="shared" si="23"/>
        <v>a</v>
      </c>
      <c r="AR64" s="63" t="str">
        <f t="shared" si="23"/>
        <v>a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32</v>
      </c>
      <c r="BB64" s="9">
        <f t="shared" si="6"/>
        <v>140</v>
      </c>
      <c r="BC64" s="10">
        <f t="shared" si="7"/>
        <v>80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112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 t="s">
        <v>124</v>
      </c>
      <c r="V65" s="62" t="str">
        <f t="shared" si="21"/>
        <v>a</v>
      </c>
      <c r="W65" s="62" t="str">
        <f t="shared" si="21"/>
        <v>a</v>
      </c>
      <c r="X65" s="62" t="str">
        <f t="shared" si="21"/>
        <v>a</v>
      </c>
      <c r="Y65" s="62" t="str">
        <f t="shared" si="21"/>
        <v>a</v>
      </c>
      <c r="Z65" s="62" t="str">
        <f t="shared" si="21"/>
        <v>a</v>
      </c>
      <c r="AA65" s="62" t="str">
        <f t="shared" si="21"/>
        <v>a</v>
      </c>
      <c r="AB65" s="63" t="str">
        <f t="shared" si="21"/>
        <v>a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32</v>
      </c>
      <c r="BB65" s="9">
        <f t="shared" si="6"/>
        <v>144</v>
      </c>
      <c r="BC65" s="10">
        <f t="shared" si="7"/>
        <v>83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126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40</v>
      </c>
      <c r="BB66" s="9">
        <f t="shared" si="6"/>
        <v>166</v>
      </c>
      <c r="BC66" s="10">
        <f t="shared" si="7"/>
        <v>95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102</v>
      </c>
      <c r="E67" s="61" t="s">
        <v>124</v>
      </c>
      <c r="F67" s="62" t="str">
        <f t="shared" si="24"/>
        <v>a</v>
      </c>
      <c r="G67" s="62" t="str">
        <f t="shared" si="24"/>
        <v>a</v>
      </c>
      <c r="H67" s="62" t="str">
        <f t="shared" si="24"/>
        <v>a</v>
      </c>
      <c r="I67" s="62" t="str">
        <f t="shared" si="24"/>
        <v>a</v>
      </c>
      <c r="J67" s="62" t="str">
        <f t="shared" si="24"/>
        <v>a</v>
      </c>
      <c r="K67" s="62" t="str">
        <f t="shared" si="24"/>
        <v>a</v>
      </c>
      <c r="L67" s="63" t="str">
        <f t="shared" si="24"/>
        <v>a</v>
      </c>
      <c r="M67" s="61" t="s">
        <v>124</v>
      </c>
      <c r="N67" s="62" t="str">
        <f t="shared" si="20"/>
        <v>a</v>
      </c>
      <c r="O67" s="62" t="str">
        <f t="shared" si="20"/>
        <v>a</v>
      </c>
      <c r="P67" s="62" t="str">
        <f t="shared" si="20"/>
        <v>a</v>
      </c>
      <c r="Q67" s="62" t="str">
        <f t="shared" si="20"/>
        <v>a</v>
      </c>
      <c r="R67" s="62" t="str">
        <f t="shared" si="20"/>
        <v>a</v>
      </c>
      <c r="S67" s="62" t="str">
        <f t="shared" si="20"/>
        <v>a</v>
      </c>
      <c r="T67" s="63" t="str">
        <f t="shared" si="20"/>
        <v>a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 t="s">
        <v>124</v>
      </c>
      <c r="AD67" s="62" t="str">
        <f t="shared" si="22"/>
        <v>a</v>
      </c>
      <c r="AE67" s="62" t="str">
        <f t="shared" si="22"/>
        <v>a</v>
      </c>
      <c r="AF67" s="62" t="str">
        <f t="shared" si="22"/>
        <v>a</v>
      </c>
      <c r="AG67" s="62" t="str">
        <f t="shared" si="22"/>
        <v>a</v>
      </c>
      <c r="AH67" s="62" t="str">
        <f t="shared" si="22"/>
        <v>a</v>
      </c>
      <c r="AI67" s="62" t="str">
        <f t="shared" si="22"/>
        <v>a</v>
      </c>
      <c r="AJ67" s="63" t="str">
        <f t="shared" si="22"/>
        <v>a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16</v>
      </c>
      <c r="BB67" s="9">
        <f t="shared" si="6"/>
        <v>118</v>
      </c>
      <c r="BC67" s="10">
        <f t="shared" si="7"/>
        <v>68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118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 t="s">
        <v>124</v>
      </c>
      <c r="AL68" s="62" t="str">
        <f t="shared" si="23"/>
        <v>a</v>
      </c>
      <c r="AM68" s="62" t="str">
        <f t="shared" si="23"/>
        <v>a</v>
      </c>
      <c r="AN68" s="62" t="str">
        <f t="shared" si="23"/>
        <v>a</v>
      </c>
      <c r="AO68" s="62" t="str">
        <f t="shared" si="23"/>
        <v>a</v>
      </c>
      <c r="AP68" s="62" t="str">
        <f t="shared" si="23"/>
        <v>a</v>
      </c>
      <c r="AQ68" s="62" t="str">
        <f t="shared" si="23"/>
        <v>a</v>
      </c>
      <c r="AR68" s="63" t="str">
        <f t="shared" si="23"/>
        <v>a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32</v>
      </c>
      <c r="BB68" s="9">
        <f t="shared" si="6"/>
        <v>150</v>
      </c>
      <c r="BC68" s="10">
        <f t="shared" si="7"/>
        <v>86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123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163</v>
      </c>
      <c r="BC69" s="10">
        <f t="shared" si="7"/>
        <v>94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78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 t="s">
        <v>124</v>
      </c>
      <c r="AL70" s="62" t="str">
        <f t="shared" si="23"/>
        <v>a</v>
      </c>
      <c r="AM70" s="62" t="s">
        <v>124</v>
      </c>
      <c r="AN70" s="62" t="s">
        <v>124</v>
      </c>
      <c r="AO70" s="62"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36</v>
      </c>
      <c r="BB70" s="9">
        <f t="shared" si="6"/>
        <v>114</v>
      </c>
      <c r="BC70" s="10">
        <f t="shared" si="7"/>
        <v>66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94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40</v>
      </c>
      <c r="BB71" s="9">
        <f t="shared" si="6"/>
        <v>134</v>
      </c>
      <c r="BC71" s="10">
        <f t="shared" si="7"/>
        <v>77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112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 t="s">
        <v>124</v>
      </c>
      <c r="V72" s="62" t="str">
        <f t="shared" si="21"/>
        <v>a</v>
      </c>
      <c r="W72" s="62" t="str">
        <f t="shared" si="21"/>
        <v>a</v>
      </c>
      <c r="X72" s="62" t="str">
        <f t="shared" si="21"/>
        <v>a</v>
      </c>
      <c r="Y72" s="62" t="str">
        <f t="shared" si="21"/>
        <v>a</v>
      </c>
      <c r="Z72" s="62" t="str">
        <f t="shared" si="21"/>
        <v>a</v>
      </c>
      <c r="AA72" s="62" t="str">
        <f t="shared" si="21"/>
        <v>a</v>
      </c>
      <c r="AB72" s="63" t="str">
        <f t="shared" si="21"/>
        <v>a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32</v>
      </c>
      <c r="BB72" s="9">
        <f t="shared" si="6"/>
        <v>144</v>
      </c>
      <c r="BC72" s="10">
        <f t="shared" si="7"/>
        <v>83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130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 t="s">
        <v>124</v>
      </c>
      <c r="AL73" s="62" t="str">
        <f t="shared" si="23"/>
        <v>a</v>
      </c>
      <c r="AM73" s="62" t="str">
        <f t="shared" si="23"/>
        <v>a</v>
      </c>
      <c r="AN73" s="62" t="str">
        <f t="shared" si="23"/>
        <v>a</v>
      </c>
      <c r="AO73" s="62" t="str">
        <f t="shared" si="23"/>
        <v>a</v>
      </c>
      <c r="AP73" s="62" t="str">
        <f t="shared" si="23"/>
        <v>a</v>
      </c>
      <c r="AQ73" s="62" t="str">
        <f t="shared" si="23"/>
        <v>a</v>
      </c>
      <c r="AR73" s="63" t="str">
        <f t="shared" si="23"/>
        <v>a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32</v>
      </c>
      <c r="BB73" s="9">
        <f t="shared" si="6"/>
        <v>162</v>
      </c>
      <c r="BC73" s="10">
        <f t="shared" si="7"/>
        <v>93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6</v>
      </c>
      <c r="F74" s="50">
        <f t="shared" ref="F74:AR74" si="25">COUNTIF(F10:F73,"a")</f>
        <v>6</v>
      </c>
      <c r="G74" s="50">
        <f t="shared" si="25"/>
        <v>6</v>
      </c>
      <c r="H74" s="50">
        <f t="shared" si="25"/>
        <v>6</v>
      </c>
      <c r="I74" s="50">
        <f t="shared" si="25"/>
        <v>6</v>
      </c>
      <c r="J74" s="50">
        <f t="shared" si="25"/>
        <v>6</v>
      </c>
      <c r="K74" s="50">
        <f t="shared" si="25"/>
        <v>6</v>
      </c>
      <c r="L74" s="50">
        <f t="shared" si="25"/>
        <v>6</v>
      </c>
      <c r="M74" s="50">
        <f t="shared" si="25"/>
        <v>3</v>
      </c>
      <c r="N74" s="50">
        <f t="shared" si="25"/>
        <v>3</v>
      </c>
      <c r="O74" s="50">
        <f t="shared" si="25"/>
        <v>3</v>
      </c>
      <c r="P74" s="50">
        <f t="shared" si="25"/>
        <v>3</v>
      </c>
      <c r="Q74" s="50">
        <f t="shared" si="25"/>
        <v>3</v>
      </c>
      <c r="R74" s="50">
        <f t="shared" si="25"/>
        <v>3</v>
      </c>
      <c r="S74" s="50">
        <f t="shared" si="25"/>
        <v>3</v>
      </c>
      <c r="T74" s="50">
        <f t="shared" si="25"/>
        <v>3</v>
      </c>
      <c r="U74" s="50">
        <f t="shared" si="25"/>
        <v>6</v>
      </c>
      <c r="V74" s="50">
        <f t="shared" si="25"/>
        <v>6</v>
      </c>
      <c r="W74" s="50">
        <f t="shared" si="25"/>
        <v>6</v>
      </c>
      <c r="X74" s="50">
        <f t="shared" si="25"/>
        <v>6</v>
      </c>
      <c r="Y74" s="50">
        <f t="shared" si="25"/>
        <v>6</v>
      </c>
      <c r="Z74" s="50">
        <f t="shared" si="25"/>
        <v>6</v>
      </c>
      <c r="AA74" s="50">
        <f t="shared" si="25"/>
        <v>6</v>
      </c>
      <c r="AB74" s="50">
        <f t="shared" si="25"/>
        <v>6</v>
      </c>
      <c r="AC74" s="50">
        <f t="shared" si="25"/>
        <v>4</v>
      </c>
      <c r="AD74" s="50">
        <f t="shared" si="25"/>
        <v>4</v>
      </c>
      <c r="AE74" s="50">
        <f t="shared" si="25"/>
        <v>4</v>
      </c>
      <c r="AF74" s="50">
        <f t="shared" si="25"/>
        <v>4</v>
      </c>
      <c r="AG74" s="50">
        <f t="shared" si="25"/>
        <v>4</v>
      </c>
      <c r="AH74" s="50">
        <f t="shared" si="25"/>
        <v>4</v>
      </c>
      <c r="AI74" s="50">
        <f t="shared" si="25"/>
        <v>4</v>
      </c>
      <c r="AJ74" s="50">
        <f t="shared" si="25"/>
        <v>4</v>
      </c>
      <c r="AK74" s="50">
        <f t="shared" si="25"/>
        <v>8</v>
      </c>
      <c r="AL74" s="50">
        <f t="shared" si="25"/>
        <v>8</v>
      </c>
      <c r="AM74" s="50">
        <f t="shared" si="25"/>
        <v>8</v>
      </c>
      <c r="AN74" s="50">
        <f t="shared" si="25"/>
        <v>8</v>
      </c>
      <c r="AO74" s="50">
        <f t="shared" si="25"/>
        <v>7</v>
      </c>
      <c r="AP74" s="50">
        <f t="shared" si="25"/>
        <v>7</v>
      </c>
      <c r="AQ74" s="50">
        <f t="shared" si="25"/>
        <v>7</v>
      </c>
      <c r="AR74" s="50">
        <f t="shared" si="25"/>
        <v>7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UT</v>
      </c>
      <c r="F75" s="102" t="str">
        <f t="shared" ref="F75:AR75" si="26">F9</f>
        <v>SG</v>
      </c>
      <c r="G75" s="102" t="str">
        <f t="shared" si="26"/>
        <v>BB</v>
      </c>
      <c r="H75" s="102" t="str">
        <f t="shared" si="26"/>
        <v>PA</v>
      </c>
      <c r="I75" s="240" t="s">
        <v>98</v>
      </c>
      <c r="J75" s="241"/>
      <c r="K75" s="241"/>
      <c r="L75" s="242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43" t="str">
        <f t="shared" si="26"/>
        <v>SJ,SS/
NPK,BB</v>
      </c>
      <c r="S75" s="244"/>
      <c r="T75" s="245"/>
      <c r="U75" s="243" t="str">
        <f t="shared" si="26"/>
        <v>SG / VP, KM  (1,2,4) SS</v>
      </c>
      <c r="V75" s="246"/>
      <c r="W75" s="246"/>
      <c r="X75" s="247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VP</v>
      </c>
      <c r="AD75" s="102" t="str">
        <f t="shared" si="26"/>
        <v>BB</v>
      </c>
      <c r="AE75" s="102" t="str">
        <f t="shared" si="26"/>
        <v>BB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43" t="str">
        <f t="shared" si="26"/>
        <v>SG</v>
      </c>
      <c r="AL75" s="246"/>
      <c r="AM75" s="246"/>
      <c r="AN75" s="247"/>
      <c r="AO75" s="102" t="str">
        <f t="shared" si="26"/>
        <v>BB</v>
      </c>
      <c r="AP75" s="102" t="str">
        <f t="shared" si="26"/>
        <v>NPK</v>
      </c>
      <c r="AQ75" s="102" t="str">
        <f t="shared" si="26"/>
        <v>NS</v>
      </c>
      <c r="AR75" s="102" t="str">
        <f t="shared" si="26"/>
        <v>NS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8">
    <mergeCell ref="A74:D74"/>
    <mergeCell ref="A76:D76"/>
    <mergeCell ref="A79:I79"/>
    <mergeCell ref="A80:H80"/>
    <mergeCell ref="AR80:BC80"/>
    <mergeCell ref="AS10:AZ42"/>
    <mergeCell ref="AS43:AZ73"/>
    <mergeCell ref="I75:L75"/>
    <mergeCell ref="R75:T75"/>
    <mergeCell ref="U75:X75"/>
    <mergeCell ref="AK75:AN75"/>
    <mergeCell ref="BA8:BA9"/>
    <mergeCell ref="BB8:BB9"/>
    <mergeCell ref="I9:L9"/>
    <mergeCell ref="R9:T9"/>
    <mergeCell ref="U9:X9"/>
    <mergeCell ref="AK8:AN8"/>
    <mergeCell ref="AK9:AN9"/>
    <mergeCell ref="AS6:AZ6"/>
    <mergeCell ref="A7:A9"/>
    <mergeCell ref="B7:B9"/>
    <mergeCell ref="C7:C8"/>
    <mergeCell ref="D7:D8"/>
    <mergeCell ref="I8:L8"/>
    <mergeCell ref="R8:T8"/>
    <mergeCell ref="U8:X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38" priority="1" operator="lessThan">
      <formula>75</formula>
    </cfRule>
  </conditionalFormatting>
  <conditionalFormatting sqref="BC10:BC73">
    <cfRule type="cellIs" dxfId="37" priority="3" operator="lessThan">
      <formula>75</formula>
    </cfRule>
  </conditionalFormatting>
  <conditionalFormatting sqref="BC80">
    <cfRule type="cellIs" dxfId="36" priority="2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3397-0C22-4BE3-8616-D9FBE4AAE55E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165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166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167</v>
      </c>
      <c r="F5" s="177"/>
      <c r="G5" s="177"/>
      <c r="H5" s="177"/>
      <c r="I5" s="177"/>
      <c r="J5" s="177"/>
      <c r="K5" s="177"/>
      <c r="L5" s="177"/>
      <c r="M5" s="177" t="s">
        <v>168</v>
      </c>
      <c r="N5" s="177"/>
      <c r="O5" s="177"/>
      <c r="P5" s="177"/>
      <c r="Q5" s="177"/>
      <c r="R5" s="177"/>
      <c r="S5" s="177"/>
      <c r="T5" s="177"/>
      <c r="U5" s="177" t="s">
        <v>169</v>
      </c>
      <c r="V5" s="177"/>
      <c r="W5" s="177"/>
      <c r="X5" s="177"/>
      <c r="Y5" s="177"/>
      <c r="Z5" s="177"/>
      <c r="AA5" s="177"/>
      <c r="AB5" s="177"/>
      <c r="AC5" s="177" t="s">
        <v>170</v>
      </c>
      <c r="AD5" s="177"/>
      <c r="AE5" s="177"/>
      <c r="AF5" s="177"/>
      <c r="AG5" s="177"/>
      <c r="AH5" s="177"/>
      <c r="AI5" s="177"/>
      <c r="AJ5" s="177"/>
      <c r="AK5" s="177" t="s">
        <v>171</v>
      </c>
      <c r="AL5" s="177"/>
      <c r="AM5" s="177"/>
      <c r="AN5" s="177"/>
      <c r="AO5" s="177"/>
      <c r="AP5" s="177"/>
      <c r="AQ5" s="177"/>
      <c r="AR5" s="177"/>
      <c r="AS5" s="177" t="s">
        <v>172</v>
      </c>
      <c r="AT5" s="177"/>
      <c r="AU5" s="177"/>
      <c r="AV5" s="177"/>
      <c r="AW5" s="177"/>
      <c r="AX5" s="177"/>
      <c r="AY5" s="177"/>
      <c r="AZ5" s="177"/>
      <c r="BA5" s="225">
        <v>40</v>
      </c>
      <c r="BB5" s="248">
        <f>D7+BA5</f>
        <v>214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226"/>
      <c r="BB6" s="249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20">
        <v>174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7"/>
      <c r="BB7" s="250"/>
      <c r="BC7" s="182"/>
    </row>
    <row r="8" spans="1:55" ht="30" customHeight="1" thickBot="1" x14ac:dyDescent="0.4">
      <c r="A8" s="165"/>
      <c r="B8" s="168"/>
      <c r="C8" s="171"/>
      <c r="D8" s="221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76" t="s">
        <v>94</v>
      </c>
      <c r="AD8" s="76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29" t="s">
        <v>173</v>
      </c>
      <c r="AL8" s="130"/>
      <c r="AM8" s="130"/>
      <c r="AN8" s="161"/>
      <c r="AO8" s="58" t="s">
        <v>101</v>
      </c>
      <c r="AP8" s="59" t="s">
        <v>105</v>
      </c>
      <c r="AQ8" s="58" t="s">
        <v>101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78" t="s">
        <v>95</v>
      </c>
      <c r="AD9" s="78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36" t="s">
        <v>83</v>
      </c>
      <c r="AL9" s="199"/>
      <c r="AM9" s="199"/>
      <c r="AN9" s="200"/>
      <c r="AO9" s="57" t="s">
        <v>92</v>
      </c>
      <c r="AP9" s="56" t="s">
        <v>100</v>
      </c>
      <c r="AQ9" s="57" t="s">
        <v>92</v>
      </c>
      <c r="AR9" s="56" t="s">
        <v>95</v>
      </c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158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5">SUM(E10:AZ10)</f>
        <v>40</v>
      </c>
      <c r="BB10" s="9">
        <f>BA10+D10+C10</f>
        <v>198</v>
      </c>
      <c r="BC10" s="10">
        <f>ROUND((BB10/BB$5)*100,0)</f>
        <v>93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128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 t="s">
        <v>124</v>
      </c>
      <c r="AD11" s="62" t="str">
        <f t="shared" si="3"/>
        <v>a</v>
      </c>
      <c r="AE11" s="62" t="str">
        <f t="shared" si="3"/>
        <v>a</v>
      </c>
      <c r="AF11" s="62" t="str">
        <f t="shared" si="3"/>
        <v>a</v>
      </c>
      <c r="AG11" s="62" t="str">
        <f t="shared" si="3"/>
        <v>a</v>
      </c>
      <c r="AH11" s="62" t="str">
        <f t="shared" si="3"/>
        <v>a</v>
      </c>
      <c r="AI11" s="62" t="str">
        <f t="shared" si="3"/>
        <v>a</v>
      </c>
      <c r="AJ11" s="63" t="str">
        <f t="shared" si="3"/>
        <v>a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32</v>
      </c>
      <c r="BB11" s="9">
        <f t="shared" ref="BB11:BB73" si="6">BA11+D11+C11</f>
        <v>160</v>
      </c>
      <c r="BC11" s="10">
        <f t="shared" ref="BC11:BC73" si="7">ROUND((BB11/BB$5)*100,0)</f>
        <v>75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174</v>
      </c>
      <c r="E12" s="61" t="s">
        <v>124</v>
      </c>
      <c r="F12" s="62" t="str">
        <f t="shared" ref="F12:L27" si="8">E12</f>
        <v>a</v>
      </c>
      <c r="G12" s="62" t="str">
        <f t="shared" si="8"/>
        <v>a</v>
      </c>
      <c r="H12" s="62" t="str">
        <f t="shared" si="8"/>
        <v>a</v>
      </c>
      <c r="I12" s="62" t="str">
        <f t="shared" si="8"/>
        <v>a</v>
      </c>
      <c r="J12" s="62" t="str">
        <f t="shared" si="8"/>
        <v>a</v>
      </c>
      <c r="K12" s="62" t="str">
        <f t="shared" si="8"/>
        <v>a</v>
      </c>
      <c r="L12" s="63" t="str">
        <f t="shared" si="8"/>
        <v>a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32</v>
      </c>
      <c r="BB12" s="9">
        <f t="shared" si="6"/>
        <v>206</v>
      </c>
      <c r="BC12" s="10">
        <f t="shared" si="7"/>
        <v>96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142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40</v>
      </c>
      <c r="BB13" s="9">
        <f t="shared" si="6"/>
        <v>182</v>
      </c>
      <c r="BC13" s="10">
        <f t="shared" si="7"/>
        <v>85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142</v>
      </c>
      <c r="E14" s="61" t="s">
        <v>124</v>
      </c>
      <c r="F14" s="62" t="str">
        <f t="shared" si="8"/>
        <v>a</v>
      </c>
      <c r="G14" s="62" t="str">
        <f t="shared" si="8"/>
        <v>a</v>
      </c>
      <c r="H14" s="62" t="str">
        <f t="shared" si="8"/>
        <v>a</v>
      </c>
      <c r="I14" s="62" t="str">
        <f t="shared" si="8"/>
        <v>a</v>
      </c>
      <c r="J14" s="62" t="str">
        <f t="shared" si="8"/>
        <v>a</v>
      </c>
      <c r="K14" s="62" t="str">
        <f t="shared" si="8"/>
        <v>a</v>
      </c>
      <c r="L14" s="63" t="str">
        <f t="shared" si="8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32</v>
      </c>
      <c r="BB14" s="9">
        <f t="shared" si="6"/>
        <v>174</v>
      </c>
      <c r="BC14" s="10">
        <f t="shared" si="7"/>
        <v>81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128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40</v>
      </c>
      <c r="BB15" s="9">
        <f t="shared" si="6"/>
        <v>168</v>
      </c>
      <c r="BC15" s="10">
        <f t="shared" si="7"/>
        <v>79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123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32</v>
      </c>
      <c r="BB16" s="9">
        <f t="shared" si="6"/>
        <v>155</v>
      </c>
      <c r="BC16" s="10">
        <f t="shared" si="7"/>
        <v>72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168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40</v>
      </c>
      <c r="BB17" s="9">
        <f t="shared" si="6"/>
        <v>208</v>
      </c>
      <c r="BC17" s="10">
        <f t="shared" si="7"/>
        <v>97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132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40</v>
      </c>
      <c r="BB18" s="9">
        <f t="shared" si="6"/>
        <v>172</v>
      </c>
      <c r="BC18" s="10">
        <f t="shared" si="7"/>
        <v>80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132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40</v>
      </c>
      <c r="BB19" s="9">
        <f t="shared" si="6"/>
        <v>172</v>
      </c>
      <c r="BC19" s="10">
        <f t="shared" si="7"/>
        <v>80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174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40</v>
      </c>
      <c r="BB20" s="9">
        <f t="shared" si="6"/>
        <v>214</v>
      </c>
      <c r="BC20" s="10">
        <f t="shared" si="7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162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40</v>
      </c>
      <c r="BB21" s="9">
        <f t="shared" si="6"/>
        <v>202</v>
      </c>
      <c r="BC21" s="10">
        <f t="shared" si="7"/>
        <v>94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174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214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168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208</v>
      </c>
      <c r="BC23" s="10">
        <f t="shared" si="7"/>
        <v>97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144</v>
      </c>
      <c r="E24" s="61" t="s">
        <v>124</v>
      </c>
      <c r="F24" s="62" t="str">
        <f t="shared" si="8"/>
        <v>a</v>
      </c>
      <c r="G24" s="62" t="str">
        <f t="shared" si="8"/>
        <v>a</v>
      </c>
      <c r="H24" s="62" t="str">
        <f t="shared" si="8"/>
        <v>a</v>
      </c>
      <c r="I24" s="62" t="str">
        <f t="shared" si="8"/>
        <v>a</v>
      </c>
      <c r="J24" s="62" t="str">
        <f t="shared" si="8"/>
        <v>a</v>
      </c>
      <c r="K24" s="62" t="str">
        <f t="shared" si="8"/>
        <v>a</v>
      </c>
      <c r="L24" s="63" t="str">
        <f t="shared" si="8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32</v>
      </c>
      <c r="BB24" s="9">
        <f t="shared" si="6"/>
        <v>176</v>
      </c>
      <c r="BC24" s="10">
        <f t="shared" si="7"/>
        <v>82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134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174</v>
      </c>
      <c r="BC25" s="10">
        <f t="shared" si="7"/>
        <v>81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139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40</v>
      </c>
      <c r="BB26" s="9">
        <f t="shared" si="6"/>
        <v>179</v>
      </c>
      <c r="BC26" s="10">
        <f t="shared" si="7"/>
        <v>84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166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40</v>
      </c>
      <c r="BB27" s="9">
        <f t="shared" si="6"/>
        <v>206</v>
      </c>
      <c r="BC27" s="10">
        <f t="shared" si="7"/>
        <v>96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158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 t="s">
        <v>124</v>
      </c>
      <c r="N28" s="62" t="str">
        <f t="shared" si="9"/>
        <v>a</v>
      </c>
      <c r="O28" s="62" t="str">
        <f t="shared" si="9"/>
        <v>a</v>
      </c>
      <c r="P28" s="62" t="str">
        <f t="shared" si="9"/>
        <v>a</v>
      </c>
      <c r="Q28" s="62" t="str">
        <f t="shared" si="9"/>
        <v>a</v>
      </c>
      <c r="R28" s="62" t="str">
        <f t="shared" si="9"/>
        <v>a</v>
      </c>
      <c r="S28" s="62" t="str">
        <f t="shared" si="9"/>
        <v>a</v>
      </c>
      <c r="T28" s="63" t="str">
        <f t="shared" si="9"/>
        <v>a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32</v>
      </c>
      <c r="BB28" s="9">
        <f t="shared" si="6"/>
        <v>190</v>
      </c>
      <c r="BC28" s="10">
        <f t="shared" si="7"/>
        <v>89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144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40</v>
      </c>
      <c r="BB29" s="9">
        <f t="shared" si="6"/>
        <v>184</v>
      </c>
      <c r="BC29" s="10">
        <f t="shared" si="7"/>
        <v>86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160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40</v>
      </c>
      <c r="BB30" s="9">
        <f t="shared" si="6"/>
        <v>200</v>
      </c>
      <c r="BC30" s="10">
        <f t="shared" si="7"/>
        <v>93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150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40</v>
      </c>
      <c r="BB31" s="9">
        <f t="shared" si="6"/>
        <v>190</v>
      </c>
      <c r="BC31" s="10">
        <f t="shared" si="7"/>
        <v>89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141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40</v>
      </c>
      <c r="BB32" s="9">
        <f t="shared" si="6"/>
        <v>181</v>
      </c>
      <c r="BC32" s="10">
        <f t="shared" si="7"/>
        <v>85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152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40</v>
      </c>
      <c r="BB33" s="9">
        <f t="shared" si="6"/>
        <v>192</v>
      </c>
      <c r="BC33" s="10">
        <f t="shared" si="7"/>
        <v>90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135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 t="s">
        <v>124</v>
      </c>
      <c r="AD34" s="62" t="str">
        <f t="shared" si="11"/>
        <v>a</v>
      </c>
      <c r="AE34" s="62" t="str">
        <f t="shared" si="11"/>
        <v>a</v>
      </c>
      <c r="AF34" s="62" t="str">
        <f t="shared" si="11"/>
        <v>a</v>
      </c>
      <c r="AG34" s="62" t="str">
        <f t="shared" si="11"/>
        <v>a</v>
      </c>
      <c r="AH34" s="62" t="str">
        <f t="shared" si="11"/>
        <v>a</v>
      </c>
      <c r="AI34" s="62" t="str">
        <f t="shared" si="11"/>
        <v>a</v>
      </c>
      <c r="AJ34" s="63" t="str">
        <f t="shared" si="11"/>
        <v>a</v>
      </c>
      <c r="AK34" s="61" t="s">
        <v>124</v>
      </c>
      <c r="AL34" s="62" t="str">
        <f t="shared" si="12"/>
        <v>a</v>
      </c>
      <c r="AM34" s="62" t="str">
        <f t="shared" si="12"/>
        <v>a</v>
      </c>
      <c r="AN34" s="62" t="str">
        <f t="shared" si="12"/>
        <v>a</v>
      </c>
      <c r="AO34" s="62" t="str">
        <f t="shared" si="12"/>
        <v>a</v>
      </c>
      <c r="AP34" s="62" t="str">
        <f t="shared" si="12"/>
        <v>a</v>
      </c>
      <c r="AQ34" s="62" t="str">
        <f t="shared" si="12"/>
        <v>a</v>
      </c>
      <c r="AR34" s="63" t="str">
        <f t="shared" si="12"/>
        <v>a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24</v>
      </c>
      <c r="BB34" s="9">
        <f t="shared" si="6"/>
        <v>159</v>
      </c>
      <c r="BC34" s="10">
        <f t="shared" si="7"/>
        <v>74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174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214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129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40</v>
      </c>
      <c r="BB36" s="9">
        <f t="shared" si="6"/>
        <v>169</v>
      </c>
      <c r="BC36" s="10">
        <f t="shared" si="7"/>
        <v>79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174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214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134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 t="s">
        <v>124</v>
      </c>
      <c r="V38" s="62" t="str">
        <f t="shared" si="10"/>
        <v>a</v>
      </c>
      <c r="W38" s="62" t="str">
        <f t="shared" si="10"/>
        <v>a</v>
      </c>
      <c r="X38" s="62" t="str">
        <f t="shared" si="10"/>
        <v>a</v>
      </c>
      <c r="Y38" s="62" t="str">
        <f t="shared" si="10"/>
        <v>a</v>
      </c>
      <c r="Z38" s="62" t="str">
        <f t="shared" si="10"/>
        <v>a</v>
      </c>
      <c r="AA38" s="62" t="str">
        <f t="shared" si="10"/>
        <v>a</v>
      </c>
      <c r="AB38" s="63" t="str">
        <f t="shared" si="10"/>
        <v>a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32</v>
      </c>
      <c r="BB38" s="9">
        <f t="shared" si="6"/>
        <v>166</v>
      </c>
      <c r="BC38" s="10">
        <f t="shared" si="7"/>
        <v>78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142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40</v>
      </c>
      <c r="BB39" s="9">
        <f t="shared" si="6"/>
        <v>182</v>
      </c>
      <c r="BC39" s="10">
        <f t="shared" si="7"/>
        <v>85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136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40</v>
      </c>
      <c r="BB40" s="9">
        <f t="shared" si="6"/>
        <v>176</v>
      </c>
      <c r="BC40" s="10">
        <f t="shared" si="7"/>
        <v>82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158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32</v>
      </c>
      <c r="BB41" s="9">
        <f t="shared" si="6"/>
        <v>190</v>
      </c>
      <c r="BC41" s="10">
        <f t="shared" si="7"/>
        <v>89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157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40</v>
      </c>
      <c r="BB42" s="9">
        <f t="shared" si="6"/>
        <v>197</v>
      </c>
      <c r="BC42" s="10">
        <f t="shared" si="7"/>
        <v>92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141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 t="s">
        <v>124</v>
      </c>
      <c r="V43" s="62" t="str">
        <f t="shared" si="16"/>
        <v>a</v>
      </c>
      <c r="W43" s="62" t="str">
        <f t="shared" si="16"/>
        <v>a</v>
      </c>
      <c r="X43" s="62" t="str">
        <f t="shared" si="16"/>
        <v>a</v>
      </c>
      <c r="Y43" s="62" t="str">
        <f t="shared" si="16"/>
        <v>a</v>
      </c>
      <c r="Z43" s="62" t="str">
        <f t="shared" si="16"/>
        <v>a</v>
      </c>
      <c r="AA43" s="62" t="str">
        <f t="shared" si="16"/>
        <v>a</v>
      </c>
      <c r="AB43" s="63" t="str">
        <f t="shared" si="16"/>
        <v>a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32</v>
      </c>
      <c r="BB43" s="9">
        <f t="shared" si="6"/>
        <v>173</v>
      </c>
      <c r="BC43" s="10">
        <f t="shared" si="7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112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152</v>
      </c>
      <c r="BC44" s="10">
        <f t="shared" si="7"/>
        <v>71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150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40</v>
      </c>
      <c r="BB45" s="9">
        <f t="shared" si="6"/>
        <v>190</v>
      </c>
      <c r="BC45" s="10">
        <f t="shared" si="7"/>
        <v>89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152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 t="s">
        <v>124</v>
      </c>
      <c r="V46" s="62" t="str">
        <f t="shared" si="16"/>
        <v>a</v>
      </c>
      <c r="W46" s="62" t="str">
        <f t="shared" si="16"/>
        <v>a</v>
      </c>
      <c r="X46" s="62" t="str">
        <f t="shared" si="16"/>
        <v>a</v>
      </c>
      <c r="Y46" s="62" t="str">
        <f t="shared" si="16"/>
        <v>a</v>
      </c>
      <c r="Z46" s="62" t="str">
        <f t="shared" si="16"/>
        <v>a</v>
      </c>
      <c r="AA46" s="62" t="str">
        <f t="shared" si="16"/>
        <v>a</v>
      </c>
      <c r="AB46" s="63" t="str">
        <f t="shared" si="16"/>
        <v>a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32</v>
      </c>
      <c r="BB46" s="9">
        <f t="shared" si="6"/>
        <v>184</v>
      </c>
      <c r="BC46" s="10">
        <f t="shared" si="7"/>
        <v>86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144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40</v>
      </c>
      <c r="BB47" s="9">
        <f t="shared" si="6"/>
        <v>184</v>
      </c>
      <c r="BC47" s="10">
        <f t="shared" si="7"/>
        <v>86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146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 t="s">
        <v>124</v>
      </c>
      <c r="N48" s="62" t="str">
        <f t="shared" si="15"/>
        <v>a</v>
      </c>
      <c r="O48" s="62" t="str">
        <f t="shared" si="15"/>
        <v>a</v>
      </c>
      <c r="P48" s="62" t="str">
        <f t="shared" si="15"/>
        <v>a</v>
      </c>
      <c r="Q48" s="62" t="str">
        <f t="shared" si="15"/>
        <v>a</v>
      </c>
      <c r="R48" s="62" t="str">
        <f t="shared" si="15"/>
        <v>a</v>
      </c>
      <c r="S48" s="62" t="str">
        <f t="shared" si="15"/>
        <v>a</v>
      </c>
      <c r="T48" s="63" t="str">
        <f t="shared" si="15"/>
        <v>a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32</v>
      </c>
      <c r="BB48" s="9">
        <f t="shared" si="6"/>
        <v>178</v>
      </c>
      <c r="BC48" s="10">
        <f t="shared" si="7"/>
        <v>83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158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198</v>
      </c>
      <c r="BC49" s="10">
        <f t="shared" si="7"/>
        <v>93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160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40</v>
      </c>
      <c r="BB50" s="9">
        <f t="shared" si="6"/>
        <v>200</v>
      </c>
      <c r="BC50" s="10">
        <f t="shared" si="7"/>
        <v>93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144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184</v>
      </c>
      <c r="BC51" s="10">
        <f t="shared" si="7"/>
        <v>86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156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40</v>
      </c>
      <c r="BB52" s="9">
        <f t="shared" si="6"/>
        <v>196</v>
      </c>
      <c r="BC52" s="10">
        <f t="shared" si="7"/>
        <v>92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158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40</v>
      </c>
      <c r="BB53" s="9">
        <f t="shared" si="6"/>
        <v>198</v>
      </c>
      <c r="BC53" s="10">
        <f t="shared" si="7"/>
        <v>93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144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40</v>
      </c>
      <c r="BB54" s="9">
        <f t="shared" si="6"/>
        <v>184</v>
      </c>
      <c r="BC54" s="10">
        <f t="shared" si="7"/>
        <v>86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158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 t="s">
        <v>124</v>
      </c>
      <c r="AL55" s="62" t="str">
        <f t="shared" si="18"/>
        <v>a</v>
      </c>
      <c r="AM55" s="62" t="str">
        <f t="shared" si="18"/>
        <v>a</v>
      </c>
      <c r="AN55" s="62" t="str">
        <f t="shared" si="18"/>
        <v>a</v>
      </c>
      <c r="AO55" s="62" t="str">
        <f t="shared" si="18"/>
        <v>a</v>
      </c>
      <c r="AP55" s="62" t="str">
        <f t="shared" si="18"/>
        <v>a</v>
      </c>
      <c r="AQ55" s="62" t="str">
        <f t="shared" si="18"/>
        <v>a</v>
      </c>
      <c r="AR55" s="63" t="str">
        <f t="shared" si="18"/>
        <v>a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32</v>
      </c>
      <c r="BB55" s="9">
        <f t="shared" si="6"/>
        <v>190</v>
      </c>
      <c r="BC55" s="10">
        <f t="shared" si="7"/>
        <v>89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158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40</v>
      </c>
      <c r="BB56" s="9">
        <f t="shared" si="6"/>
        <v>198</v>
      </c>
      <c r="BC56" s="10">
        <f t="shared" si="7"/>
        <v>93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150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 t="s">
        <v>124</v>
      </c>
      <c r="N57" s="62" t="str">
        <f t="shared" si="15"/>
        <v>a</v>
      </c>
      <c r="O57" s="62" t="str">
        <f t="shared" si="15"/>
        <v>a</v>
      </c>
      <c r="P57" s="62" t="str">
        <f t="shared" si="15"/>
        <v>a</v>
      </c>
      <c r="Q57" s="62" t="str">
        <f t="shared" si="15"/>
        <v>a</v>
      </c>
      <c r="R57" s="62" t="str">
        <f t="shared" si="15"/>
        <v>a</v>
      </c>
      <c r="S57" s="62" t="str">
        <f t="shared" si="15"/>
        <v>a</v>
      </c>
      <c r="T57" s="63" t="str">
        <f t="shared" si="15"/>
        <v>a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24</v>
      </c>
      <c r="BB57" s="9">
        <f t="shared" si="6"/>
        <v>174</v>
      </c>
      <c r="BC57" s="10">
        <f t="shared" si="7"/>
        <v>81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166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/>
      <c r="N58" s="62">
        <f t="shared" ref="N58:T73" si="20">M58</f>
        <v>0</v>
      </c>
      <c r="O58" s="62">
        <f t="shared" si="20"/>
        <v>0</v>
      </c>
      <c r="P58" s="62">
        <f t="shared" si="20"/>
        <v>0</v>
      </c>
      <c r="Q58" s="62">
        <f t="shared" si="20"/>
        <v>0</v>
      </c>
      <c r="R58" s="62">
        <f t="shared" si="20"/>
        <v>0</v>
      </c>
      <c r="S58" s="62">
        <f t="shared" si="20"/>
        <v>0</v>
      </c>
      <c r="T58" s="63">
        <f t="shared" si="20"/>
        <v>0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32</v>
      </c>
      <c r="BB58" s="9">
        <f t="shared" si="6"/>
        <v>198</v>
      </c>
      <c r="BC58" s="10">
        <f t="shared" si="7"/>
        <v>93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158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40</v>
      </c>
      <c r="BB59" s="9">
        <f t="shared" si="6"/>
        <v>198</v>
      </c>
      <c r="BC59" s="10">
        <f t="shared" si="7"/>
        <v>93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114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40</v>
      </c>
      <c r="BB60" s="9">
        <f t="shared" si="6"/>
        <v>154</v>
      </c>
      <c r="BC60" s="10">
        <f t="shared" si="7"/>
        <v>72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158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40</v>
      </c>
      <c r="BB61" s="9">
        <f t="shared" si="6"/>
        <v>198</v>
      </c>
      <c r="BC61" s="10">
        <f t="shared" si="7"/>
        <v>93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116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 t="s">
        <v>124</v>
      </c>
      <c r="AD62" s="62" t="str">
        <f t="shared" si="22"/>
        <v>a</v>
      </c>
      <c r="AE62" s="62" t="str">
        <f t="shared" si="22"/>
        <v>a</v>
      </c>
      <c r="AF62" s="62" t="str">
        <f t="shared" si="22"/>
        <v>a</v>
      </c>
      <c r="AG62" s="62" t="str">
        <f t="shared" si="22"/>
        <v>a</v>
      </c>
      <c r="AH62" s="62" t="str">
        <f t="shared" si="22"/>
        <v>a</v>
      </c>
      <c r="AI62" s="62" t="str">
        <f t="shared" si="22"/>
        <v>a</v>
      </c>
      <c r="AJ62" s="63" t="str">
        <f t="shared" si="22"/>
        <v>a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24</v>
      </c>
      <c r="BB62" s="9">
        <f t="shared" si="6"/>
        <v>140</v>
      </c>
      <c r="BC62" s="10">
        <f t="shared" si="7"/>
        <v>65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115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 t="s">
        <v>124</v>
      </c>
      <c r="AP63" s="62" t="str">
        <f t="shared" si="23"/>
        <v>a</v>
      </c>
      <c r="AQ63" s="62" t="str">
        <f t="shared" si="23"/>
        <v>a</v>
      </c>
      <c r="AR63" s="63" t="str">
        <f t="shared" si="23"/>
        <v>a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36</v>
      </c>
      <c r="BB63" s="9">
        <f t="shared" si="6"/>
        <v>151</v>
      </c>
      <c r="BC63" s="10">
        <f t="shared" si="7"/>
        <v>71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140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40</v>
      </c>
      <c r="BB64" s="9">
        <f t="shared" si="6"/>
        <v>180</v>
      </c>
      <c r="BC64" s="10">
        <f t="shared" si="7"/>
        <v>84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144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 t="s">
        <v>124</v>
      </c>
      <c r="AD65" s="62" t="str">
        <f t="shared" si="22"/>
        <v>a</v>
      </c>
      <c r="AE65" s="62" t="str">
        <f t="shared" si="22"/>
        <v>a</v>
      </c>
      <c r="AF65" s="62" t="str">
        <f t="shared" si="22"/>
        <v>a</v>
      </c>
      <c r="AG65" s="62" t="str">
        <f t="shared" si="22"/>
        <v>a</v>
      </c>
      <c r="AH65" s="62" t="str">
        <f t="shared" si="22"/>
        <v>a</v>
      </c>
      <c r="AI65" s="62" t="str">
        <f t="shared" si="22"/>
        <v>a</v>
      </c>
      <c r="AJ65" s="63" t="str">
        <f t="shared" si="22"/>
        <v>a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32</v>
      </c>
      <c r="BB65" s="9">
        <f t="shared" si="6"/>
        <v>176</v>
      </c>
      <c r="BC65" s="10">
        <f t="shared" si="7"/>
        <v>82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166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40</v>
      </c>
      <c r="BB66" s="9">
        <f t="shared" si="6"/>
        <v>206</v>
      </c>
      <c r="BC66" s="10">
        <f t="shared" si="7"/>
        <v>96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118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40</v>
      </c>
      <c r="BB67" s="9">
        <f t="shared" si="6"/>
        <v>158</v>
      </c>
      <c r="BC67" s="10">
        <f t="shared" si="7"/>
        <v>74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150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40</v>
      </c>
      <c r="BB68" s="9">
        <f t="shared" si="6"/>
        <v>190</v>
      </c>
      <c r="BC68" s="10">
        <f t="shared" si="7"/>
        <v>89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163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203</v>
      </c>
      <c r="BC69" s="10">
        <f t="shared" si="7"/>
        <v>95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114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 t="s">
        <v>124</v>
      </c>
      <c r="AD70" s="62" t="str">
        <f t="shared" si="22"/>
        <v>a</v>
      </c>
      <c r="AE70" s="62" t="str">
        <f t="shared" si="22"/>
        <v>a</v>
      </c>
      <c r="AF70" s="62" t="str">
        <f t="shared" si="22"/>
        <v>a</v>
      </c>
      <c r="AG70" s="62" t="str">
        <f t="shared" si="22"/>
        <v>a</v>
      </c>
      <c r="AH70" s="62" t="str">
        <f t="shared" si="22"/>
        <v>a</v>
      </c>
      <c r="AI70" s="62" t="str">
        <f t="shared" si="22"/>
        <v>a</v>
      </c>
      <c r="AJ70" s="63" t="str">
        <f t="shared" si="22"/>
        <v>a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32</v>
      </c>
      <c r="BB70" s="9">
        <f t="shared" si="6"/>
        <v>146</v>
      </c>
      <c r="BC70" s="10">
        <f t="shared" si="7"/>
        <v>68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134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40</v>
      </c>
      <c r="BB71" s="9">
        <f t="shared" si="6"/>
        <v>174</v>
      </c>
      <c r="BC71" s="10">
        <f t="shared" si="7"/>
        <v>81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144</v>
      </c>
      <c r="E72" s="61" t="s">
        <v>124</v>
      </c>
      <c r="F72" s="62" t="str">
        <f t="shared" si="24"/>
        <v>a</v>
      </c>
      <c r="G72" s="62" t="str">
        <f t="shared" si="24"/>
        <v>a</v>
      </c>
      <c r="H72" s="62" t="str">
        <f t="shared" si="24"/>
        <v>a</v>
      </c>
      <c r="I72" s="62" t="str">
        <f t="shared" si="24"/>
        <v>a</v>
      </c>
      <c r="J72" s="62" t="str">
        <f t="shared" si="24"/>
        <v>a</v>
      </c>
      <c r="K72" s="62" t="str">
        <f t="shared" si="24"/>
        <v>a</v>
      </c>
      <c r="L72" s="63" t="str">
        <f t="shared" si="24"/>
        <v>a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 t="s">
        <v>124</v>
      </c>
      <c r="AD72" s="62" t="str">
        <f t="shared" si="22"/>
        <v>a</v>
      </c>
      <c r="AE72" s="62" t="str">
        <f t="shared" si="22"/>
        <v>a</v>
      </c>
      <c r="AF72" s="62" t="str">
        <f t="shared" si="22"/>
        <v>a</v>
      </c>
      <c r="AG72" s="62" t="str">
        <f t="shared" si="22"/>
        <v>a</v>
      </c>
      <c r="AH72" s="62" t="str">
        <f t="shared" si="22"/>
        <v>a</v>
      </c>
      <c r="AI72" s="62" t="str">
        <f t="shared" si="22"/>
        <v>a</v>
      </c>
      <c r="AJ72" s="63" t="str">
        <f t="shared" si="22"/>
        <v>a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24</v>
      </c>
      <c r="BB72" s="9">
        <f t="shared" si="6"/>
        <v>168</v>
      </c>
      <c r="BC72" s="10">
        <f t="shared" si="7"/>
        <v>79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162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40</v>
      </c>
      <c r="BB73" s="9">
        <f t="shared" si="6"/>
        <v>202</v>
      </c>
      <c r="BC73" s="10">
        <f t="shared" si="7"/>
        <v>94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6</v>
      </c>
      <c r="F74" s="50">
        <f t="shared" ref="F74:AR74" si="25">COUNTIF(F10:F73,"a")</f>
        <v>6</v>
      </c>
      <c r="G74" s="50">
        <f t="shared" si="25"/>
        <v>6</v>
      </c>
      <c r="H74" s="50">
        <f t="shared" si="25"/>
        <v>6</v>
      </c>
      <c r="I74" s="50">
        <f t="shared" si="25"/>
        <v>6</v>
      </c>
      <c r="J74" s="50">
        <f t="shared" si="25"/>
        <v>6</v>
      </c>
      <c r="K74" s="50">
        <f t="shared" si="25"/>
        <v>6</v>
      </c>
      <c r="L74" s="50">
        <f t="shared" si="25"/>
        <v>6</v>
      </c>
      <c r="M74" s="50">
        <f t="shared" si="25"/>
        <v>4</v>
      </c>
      <c r="N74" s="50">
        <f t="shared" si="25"/>
        <v>4</v>
      </c>
      <c r="O74" s="50">
        <f t="shared" si="25"/>
        <v>4</v>
      </c>
      <c r="P74" s="50">
        <f t="shared" si="25"/>
        <v>4</v>
      </c>
      <c r="Q74" s="50">
        <f t="shared" si="25"/>
        <v>4</v>
      </c>
      <c r="R74" s="50">
        <f t="shared" si="25"/>
        <v>4</v>
      </c>
      <c r="S74" s="50">
        <f t="shared" si="25"/>
        <v>4</v>
      </c>
      <c r="T74" s="50">
        <f t="shared" si="25"/>
        <v>4</v>
      </c>
      <c r="U74" s="50">
        <f t="shared" si="25"/>
        <v>4</v>
      </c>
      <c r="V74" s="50">
        <f t="shared" si="25"/>
        <v>4</v>
      </c>
      <c r="W74" s="50">
        <f t="shared" si="25"/>
        <v>4</v>
      </c>
      <c r="X74" s="50">
        <f t="shared" si="25"/>
        <v>4</v>
      </c>
      <c r="Y74" s="50">
        <f t="shared" si="25"/>
        <v>4</v>
      </c>
      <c r="Z74" s="50">
        <f t="shared" si="25"/>
        <v>4</v>
      </c>
      <c r="AA74" s="50">
        <f t="shared" si="25"/>
        <v>4</v>
      </c>
      <c r="AB74" s="50">
        <f t="shared" si="25"/>
        <v>4</v>
      </c>
      <c r="AC74" s="50">
        <f t="shared" si="25"/>
        <v>6</v>
      </c>
      <c r="AD74" s="50">
        <f t="shared" si="25"/>
        <v>6</v>
      </c>
      <c r="AE74" s="50">
        <f t="shared" si="25"/>
        <v>6</v>
      </c>
      <c r="AF74" s="50">
        <f t="shared" si="25"/>
        <v>6</v>
      </c>
      <c r="AG74" s="50">
        <f t="shared" si="25"/>
        <v>6</v>
      </c>
      <c r="AH74" s="50">
        <f t="shared" si="25"/>
        <v>6</v>
      </c>
      <c r="AI74" s="50">
        <f t="shared" si="25"/>
        <v>6</v>
      </c>
      <c r="AJ74" s="50">
        <f t="shared" si="25"/>
        <v>6</v>
      </c>
      <c r="AK74" s="50">
        <f t="shared" si="25"/>
        <v>2</v>
      </c>
      <c r="AL74" s="50">
        <f t="shared" si="25"/>
        <v>2</v>
      </c>
      <c r="AM74" s="50">
        <f t="shared" si="25"/>
        <v>2</v>
      </c>
      <c r="AN74" s="50">
        <f t="shared" si="25"/>
        <v>2</v>
      </c>
      <c r="AO74" s="50">
        <f t="shared" si="25"/>
        <v>3</v>
      </c>
      <c r="AP74" s="50">
        <f t="shared" si="25"/>
        <v>3</v>
      </c>
      <c r="AQ74" s="50">
        <f t="shared" si="25"/>
        <v>3</v>
      </c>
      <c r="AR74" s="50">
        <f t="shared" si="25"/>
        <v>3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R75" si="26">F9</f>
        <v>PA</v>
      </c>
      <c r="G75" s="102" t="str">
        <f t="shared" si="26"/>
        <v>BB</v>
      </c>
      <c r="H75" s="102" t="str">
        <f t="shared" si="26"/>
        <v>VP</v>
      </c>
      <c r="I75" s="243" t="str">
        <f t="shared" si="26"/>
        <v>NS / PA</v>
      </c>
      <c r="J75" s="244"/>
      <c r="K75" s="244"/>
      <c r="L75" s="245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243" t="str">
        <f t="shared" si="26"/>
        <v>SJ,SS/
NPK,BB</v>
      </c>
      <c r="S75" s="244"/>
      <c r="T75" s="245"/>
      <c r="U75" s="243" t="str">
        <f t="shared" si="26"/>
        <v>SG / VP, KM  (1,2,4) SS</v>
      </c>
      <c r="V75" s="244"/>
      <c r="W75" s="244"/>
      <c r="X75" s="245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BB</v>
      </c>
      <c r="AD75" s="102" t="str">
        <f t="shared" si="26"/>
        <v>VP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51" t="str">
        <f t="shared" si="26"/>
        <v>SG</v>
      </c>
      <c r="AL75" s="252"/>
      <c r="AM75" s="252"/>
      <c r="AN75" s="253"/>
      <c r="AO75" s="102" t="str">
        <f t="shared" si="26"/>
        <v>NS</v>
      </c>
      <c r="AP75" s="102" t="str">
        <f t="shared" si="26"/>
        <v>NPK</v>
      </c>
      <c r="AQ75" s="102" t="str">
        <f t="shared" si="26"/>
        <v>NS</v>
      </c>
      <c r="AR75" s="102" t="str">
        <f t="shared" si="26"/>
        <v>BB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8">
    <mergeCell ref="A74:D74"/>
    <mergeCell ref="A76:D76"/>
    <mergeCell ref="A79:I79"/>
    <mergeCell ref="A80:H80"/>
    <mergeCell ref="AR80:BC80"/>
    <mergeCell ref="I75:L75"/>
    <mergeCell ref="BA8:BA9"/>
    <mergeCell ref="BB8:BB9"/>
    <mergeCell ref="I9:L9"/>
    <mergeCell ref="R9:T9"/>
    <mergeCell ref="U9:X9"/>
    <mergeCell ref="AS10:AZ42"/>
    <mergeCell ref="AS43:AZ73"/>
    <mergeCell ref="R75:T75"/>
    <mergeCell ref="U75:X75"/>
    <mergeCell ref="AK75:AN75"/>
    <mergeCell ref="AS6:AZ6"/>
    <mergeCell ref="A7:A9"/>
    <mergeCell ref="B7:B9"/>
    <mergeCell ref="C7:C8"/>
    <mergeCell ref="D7:D8"/>
    <mergeCell ref="I8:L8"/>
    <mergeCell ref="R8:T8"/>
    <mergeCell ref="U8:X8"/>
    <mergeCell ref="AK8:AN8"/>
    <mergeCell ref="AK9:AN9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35" priority="1" operator="lessThan">
      <formula>75</formula>
    </cfRule>
  </conditionalFormatting>
  <conditionalFormatting sqref="BC10:BC73">
    <cfRule type="cellIs" dxfId="34" priority="3" operator="lessThan">
      <formula>75</formula>
    </cfRule>
  </conditionalFormatting>
  <conditionalFormatting sqref="BC80">
    <cfRule type="cellIs" dxfId="33" priority="2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4EB2-75E3-4D53-8A20-258D96C5778B}">
  <dimension ref="A1:BC80"/>
  <sheetViews>
    <sheetView view="pageBreakPreview" zoomScale="55" zoomScaleNormal="70" zoomScaleSheetLayoutView="55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183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184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174</v>
      </c>
      <c r="F5" s="177"/>
      <c r="G5" s="177"/>
      <c r="H5" s="177"/>
      <c r="I5" s="177"/>
      <c r="J5" s="177"/>
      <c r="K5" s="177"/>
      <c r="L5" s="177"/>
      <c r="M5" s="177" t="s">
        <v>175</v>
      </c>
      <c r="N5" s="177"/>
      <c r="O5" s="177"/>
      <c r="P5" s="177"/>
      <c r="Q5" s="177"/>
      <c r="R5" s="177"/>
      <c r="S5" s="177"/>
      <c r="T5" s="177"/>
      <c r="U5" s="177" t="s">
        <v>176</v>
      </c>
      <c r="V5" s="177"/>
      <c r="W5" s="177"/>
      <c r="X5" s="177"/>
      <c r="Y5" s="177"/>
      <c r="Z5" s="177"/>
      <c r="AA5" s="177"/>
      <c r="AB5" s="177"/>
      <c r="AC5" s="177" t="s">
        <v>177</v>
      </c>
      <c r="AD5" s="177"/>
      <c r="AE5" s="177"/>
      <c r="AF5" s="177"/>
      <c r="AG5" s="177"/>
      <c r="AH5" s="177"/>
      <c r="AI5" s="177"/>
      <c r="AJ5" s="177"/>
      <c r="AK5" s="177" t="s">
        <v>178</v>
      </c>
      <c r="AL5" s="177"/>
      <c r="AM5" s="177"/>
      <c r="AN5" s="177"/>
      <c r="AO5" s="177"/>
      <c r="AP5" s="177"/>
      <c r="AQ5" s="177"/>
      <c r="AR5" s="177"/>
      <c r="AS5" s="177" t="s">
        <v>179</v>
      </c>
      <c r="AT5" s="177"/>
      <c r="AU5" s="177"/>
      <c r="AV5" s="177"/>
      <c r="AW5" s="177"/>
      <c r="AX5" s="177"/>
      <c r="AY5" s="177"/>
      <c r="AZ5" s="177"/>
      <c r="BA5" s="225">
        <v>48</v>
      </c>
      <c r="BB5" s="248">
        <f>D7+BA5</f>
        <v>262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226"/>
      <c r="BB6" s="249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54">
        <v>214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7"/>
      <c r="BB7" s="250"/>
      <c r="BC7" s="182"/>
    </row>
    <row r="8" spans="1:55" ht="30" customHeight="1" thickBot="1" x14ac:dyDescent="0.4">
      <c r="A8" s="165"/>
      <c r="B8" s="168"/>
      <c r="C8" s="171"/>
      <c r="D8" s="255"/>
      <c r="E8" s="259" t="s">
        <v>181</v>
      </c>
      <c r="F8" s="257"/>
      <c r="G8" s="257"/>
      <c r="H8" s="260"/>
      <c r="I8" s="256" t="s">
        <v>182</v>
      </c>
      <c r="J8" s="257"/>
      <c r="K8" s="257"/>
      <c r="L8" s="258"/>
      <c r="M8" s="259" t="s">
        <v>91</v>
      </c>
      <c r="N8" s="257"/>
      <c r="O8" s="257"/>
      <c r="P8" s="260"/>
      <c r="Q8" s="256" t="s">
        <v>186</v>
      </c>
      <c r="R8" s="257"/>
      <c r="S8" s="257"/>
      <c r="T8" s="258"/>
      <c r="U8" s="259" t="s">
        <v>101</v>
      </c>
      <c r="V8" s="257"/>
      <c r="W8" s="257"/>
      <c r="X8" s="260"/>
      <c r="Y8" s="256" t="s">
        <v>187</v>
      </c>
      <c r="Z8" s="257"/>
      <c r="AA8" s="257"/>
      <c r="AB8" s="258"/>
      <c r="AC8" s="259" t="s">
        <v>92</v>
      </c>
      <c r="AD8" s="257"/>
      <c r="AE8" s="257"/>
      <c r="AF8" s="260"/>
      <c r="AG8" s="256" t="s">
        <v>188</v>
      </c>
      <c r="AH8" s="257"/>
      <c r="AI8" s="257"/>
      <c r="AJ8" s="258"/>
      <c r="AK8" s="259" t="s">
        <v>94</v>
      </c>
      <c r="AL8" s="257"/>
      <c r="AM8" s="257"/>
      <c r="AN8" s="260"/>
      <c r="AO8" s="256" t="s">
        <v>189</v>
      </c>
      <c r="AP8" s="257"/>
      <c r="AQ8" s="257"/>
      <c r="AR8" s="258"/>
      <c r="AS8" s="259" t="s">
        <v>105</v>
      </c>
      <c r="AT8" s="257"/>
      <c r="AU8" s="260"/>
      <c r="AV8" s="76" t="s">
        <v>96</v>
      </c>
      <c r="AW8" s="261" t="s">
        <v>103</v>
      </c>
      <c r="AX8" s="262"/>
      <c r="AY8" s="262"/>
      <c r="AZ8" s="263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259" t="s">
        <v>85</v>
      </c>
      <c r="F9" s="257"/>
      <c r="G9" s="257"/>
      <c r="H9" s="260"/>
      <c r="I9" s="256" t="s">
        <v>180</v>
      </c>
      <c r="J9" s="257"/>
      <c r="K9" s="257"/>
      <c r="L9" s="258"/>
      <c r="M9" s="259" t="s">
        <v>83</v>
      </c>
      <c r="N9" s="257"/>
      <c r="O9" s="257"/>
      <c r="P9" s="260"/>
      <c r="Q9" s="256" t="s">
        <v>180</v>
      </c>
      <c r="R9" s="257"/>
      <c r="S9" s="257"/>
      <c r="T9" s="258"/>
      <c r="U9" s="259" t="s">
        <v>92</v>
      </c>
      <c r="V9" s="257"/>
      <c r="W9" s="257"/>
      <c r="X9" s="260"/>
      <c r="Y9" s="256" t="s">
        <v>180</v>
      </c>
      <c r="Z9" s="257"/>
      <c r="AA9" s="257"/>
      <c r="AB9" s="258"/>
      <c r="AC9" s="259" t="s">
        <v>93</v>
      </c>
      <c r="AD9" s="257"/>
      <c r="AE9" s="257"/>
      <c r="AF9" s="260"/>
      <c r="AG9" s="256" t="s">
        <v>180</v>
      </c>
      <c r="AH9" s="257"/>
      <c r="AI9" s="257"/>
      <c r="AJ9" s="258"/>
      <c r="AK9" s="259" t="s">
        <v>95</v>
      </c>
      <c r="AL9" s="257"/>
      <c r="AM9" s="257"/>
      <c r="AN9" s="260"/>
      <c r="AO9" s="256" t="s">
        <v>180</v>
      </c>
      <c r="AP9" s="257"/>
      <c r="AQ9" s="257"/>
      <c r="AR9" s="258"/>
      <c r="AS9" s="259" t="s">
        <v>100</v>
      </c>
      <c r="AT9" s="257"/>
      <c r="AU9" s="260"/>
      <c r="AV9" s="78" t="s">
        <v>85</v>
      </c>
      <c r="AW9" s="256" t="s">
        <v>185</v>
      </c>
      <c r="AX9" s="257"/>
      <c r="AY9" s="257"/>
      <c r="AZ9" s="258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198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48</v>
      </c>
      <c r="BB10" s="9">
        <f>BA10+D10+C10</f>
        <v>246</v>
      </c>
      <c r="BC10" s="10">
        <f>ROUND((BB10/BB$5)*100,0)</f>
        <v>94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160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48</v>
      </c>
      <c r="BB11" s="9">
        <f t="shared" ref="BB11:BB73" si="7">BA11+D11+C11</f>
        <v>208</v>
      </c>
      <c r="BC11" s="10">
        <f t="shared" ref="BC11:BC73" si="8">ROUND((BB11/BB$5)*100,0)</f>
        <v>79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206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254</v>
      </c>
      <c r="BC12" s="10">
        <f t="shared" si="8"/>
        <v>97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182</v>
      </c>
      <c r="E13" s="61">
        <v>1</v>
      </c>
      <c r="F13" s="62">
        <f t="shared" si="9"/>
        <v>1</v>
      </c>
      <c r="G13" s="62">
        <f t="shared" si="9"/>
        <v>1</v>
      </c>
      <c r="H13" s="62">
        <f t="shared" si="9"/>
        <v>1</v>
      </c>
      <c r="I13" s="62">
        <f t="shared" si="9"/>
        <v>1</v>
      </c>
      <c r="J13" s="62">
        <f t="shared" si="9"/>
        <v>1</v>
      </c>
      <c r="K13" s="62">
        <f t="shared" si="9"/>
        <v>1</v>
      </c>
      <c r="L13" s="63">
        <f t="shared" si="9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61">
        <v>1</v>
      </c>
      <c r="AT13" s="62">
        <f t="shared" si="5"/>
        <v>1</v>
      </c>
      <c r="AU13" s="62">
        <f t="shared" si="5"/>
        <v>1</v>
      </c>
      <c r="AV13" s="62">
        <f t="shared" si="5"/>
        <v>1</v>
      </c>
      <c r="AW13" s="62">
        <f t="shared" si="5"/>
        <v>1</v>
      </c>
      <c r="AX13" s="62">
        <f t="shared" si="5"/>
        <v>1</v>
      </c>
      <c r="AY13" s="62">
        <f t="shared" si="5"/>
        <v>1</v>
      </c>
      <c r="AZ13" s="63">
        <f t="shared" si="5"/>
        <v>1</v>
      </c>
      <c r="BA13" s="37">
        <f t="shared" si="6"/>
        <v>48</v>
      </c>
      <c r="BB13" s="9">
        <f t="shared" si="7"/>
        <v>230</v>
      </c>
      <c r="BC13" s="10">
        <f t="shared" si="8"/>
        <v>88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174</v>
      </c>
      <c r="E14" s="61">
        <v>1</v>
      </c>
      <c r="F14" s="62">
        <f t="shared" si="9"/>
        <v>1</v>
      </c>
      <c r="G14" s="62">
        <f t="shared" si="9"/>
        <v>1</v>
      </c>
      <c r="H14" s="62">
        <f t="shared" si="9"/>
        <v>1</v>
      </c>
      <c r="I14" s="62">
        <f t="shared" si="9"/>
        <v>1</v>
      </c>
      <c r="J14" s="62">
        <f t="shared" si="9"/>
        <v>1</v>
      </c>
      <c r="K14" s="62">
        <f t="shared" si="9"/>
        <v>1</v>
      </c>
      <c r="L14" s="63">
        <f t="shared" si="9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48</v>
      </c>
      <c r="BB14" s="9">
        <f t="shared" si="7"/>
        <v>222</v>
      </c>
      <c r="BC14" s="10">
        <f t="shared" si="8"/>
        <v>85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168</v>
      </c>
      <c r="E15" s="61">
        <v>1</v>
      </c>
      <c r="F15" s="62">
        <f t="shared" si="9"/>
        <v>1</v>
      </c>
      <c r="G15" s="62">
        <f t="shared" si="9"/>
        <v>1</v>
      </c>
      <c r="H15" s="62">
        <f t="shared" si="9"/>
        <v>1</v>
      </c>
      <c r="I15" s="62">
        <f t="shared" si="9"/>
        <v>1</v>
      </c>
      <c r="J15" s="62">
        <f t="shared" si="9"/>
        <v>1</v>
      </c>
      <c r="K15" s="62">
        <f t="shared" si="9"/>
        <v>1</v>
      </c>
      <c r="L15" s="63">
        <f t="shared" si="9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>
        <v>1</v>
      </c>
      <c r="AT15" s="62">
        <f t="shared" si="5"/>
        <v>1</v>
      </c>
      <c r="AU15" s="62">
        <f t="shared" si="5"/>
        <v>1</v>
      </c>
      <c r="AV15" s="62">
        <f t="shared" si="5"/>
        <v>1</v>
      </c>
      <c r="AW15" s="62">
        <f t="shared" si="5"/>
        <v>1</v>
      </c>
      <c r="AX15" s="62">
        <f t="shared" si="5"/>
        <v>1</v>
      </c>
      <c r="AY15" s="62">
        <f t="shared" si="5"/>
        <v>1</v>
      </c>
      <c r="AZ15" s="63">
        <f t="shared" si="5"/>
        <v>1</v>
      </c>
      <c r="BA15" s="37">
        <f t="shared" si="6"/>
        <v>48</v>
      </c>
      <c r="BB15" s="9">
        <f t="shared" si="7"/>
        <v>216</v>
      </c>
      <c r="BC15" s="10">
        <f t="shared" si="8"/>
        <v>82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155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>
        <f t="shared" si="9"/>
        <v>1</v>
      </c>
      <c r="J16" s="62">
        <f t="shared" si="9"/>
        <v>1</v>
      </c>
      <c r="K16" s="62">
        <f t="shared" si="9"/>
        <v>1</v>
      </c>
      <c r="L16" s="63">
        <f t="shared" si="9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61" t="s">
        <v>124</v>
      </c>
      <c r="AT16" s="62" t="str">
        <f t="shared" si="5"/>
        <v>a</v>
      </c>
      <c r="AU16" s="62" t="str">
        <f t="shared" si="5"/>
        <v>a</v>
      </c>
      <c r="AV16" s="62" t="str">
        <f t="shared" si="5"/>
        <v>a</v>
      </c>
      <c r="AW16" s="62" t="str">
        <f t="shared" si="5"/>
        <v>a</v>
      </c>
      <c r="AX16" s="62" t="str">
        <f t="shared" si="5"/>
        <v>a</v>
      </c>
      <c r="AY16" s="62" t="str">
        <f t="shared" si="5"/>
        <v>a</v>
      </c>
      <c r="AZ16" s="63" t="str">
        <f t="shared" si="5"/>
        <v>a</v>
      </c>
      <c r="BA16" s="37">
        <f t="shared" si="6"/>
        <v>40</v>
      </c>
      <c r="BB16" s="9">
        <f t="shared" si="7"/>
        <v>195</v>
      </c>
      <c r="BC16" s="10">
        <f t="shared" si="8"/>
        <v>74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208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256</v>
      </c>
      <c r="BC17" s="10">
        <f t="shared" si="8"/>
        <v>98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172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>
        <f t="shared" si="9"/>
        <v>1</v>
      </c>
      <c r="J18" s="62">
        <f t="shared" si="9"/>
        <v>1</v>
      </c>
      <c r="K18" s="62">
        <f t="shared" si="9"/>
        <v>1</v>
      </c>
      <c r="L18" s="63">
        <f t="shared" si="9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>
        <v>1</v>
      </c>
      <c r="AT18" s="62">
        <f t="shared" si="5"/>
        <v>1</v>
      </c>
      <c r="AU18" s="62">
        <f t="shared" si="5"/>
        <v>1</v>
      </c>
      <c r="AV18" s="62">
        <f t="shared" si="5"/>
        <v>1</v>
      </c>
      <c r="AW18" s="62">
        <f t="shared" si="5"/>
        <v>1</v>
      </c>
      <c r="AX18" s="62">
        <f t="shared" si="5"/>
        <v>1</v>
      </c>
      <c r="AY18" s="62">
        <f t="shared" si="5"/>
        <v>1</v>
      </c>
      <c r="AZ18" s="63">
        <f t="shared" si="5"/>
        <v>1</v>
      </c>
      <c r="BA18" s="37">
        <f t="shared" si="6"/>
        <v>48</v>
      </c>
      <c r="BB18" s="9">
        <f t="shared" si="7"/>
        <v>220</v>
      </c>
      <c r="BC18" s="10">
        <f t="shared" si="8"/>
        <v>84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172</v>
      </c>
      <c r="E19" s="61">
        <v>1</v>
      </c>
      <c r="F19" s="62">
        <f t="shared" si="9"/>
        <v>1</v>
      </c>
      <c r="G19" s="62">
        <f t="shared" si="9"/>
        <v>1</v>
      </c>
      <c r="H19" s="62">
        <f t="shared" si="9"/>
        <v>1</v>
      </c>
      <c r="I19" s="62">
        <f t="shared" si="9"/>
        <v>1</v>
      </c>
      <c r="J19" s="62">
        <f t="shared" si="9"/>
        <v>1</v>
      </c>
      <c r="K19" s="62">
        <f t="shared" si="9"/>
        <v>1</v>
      </c>
      <c r="L19" s="63">
        <f t="shared" si="9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>
        <v>1</v>
      </c>
      <c r="AT19" s="62">
        <f t="shared" si="5"/>
        <v>1</v>
      </c>
      <c r="AU19" s="62">
        <f t="shared" si="5"/>
        <v>1</v>
      </c>
      <c r="AV19" s="62">
        <f t="shared" si="5"/>
        <v>1</v>
      </c>
      <c r="AW19" s="62">
        <f t="shared" si="5"/>
        <v>1</v>
      </c>
      <c r="AX19" s="62">
        <f t="shared" si="5"/>
        <v>1</v>
      </c>
      <c r="AY19" s="62">
        <f t="shared" si="5"/>
        <v>1</v>
      </c>
      <c r="AZ19" s="63">
        <f t="shared" si="5"/>
        <v>1</v>
      </c>
      <c r="BA19" s="37">
        <f t="shared" si="6"/>
        <v>48</v>
      </c>
      <c r="BB19" s="9">
        <f t="shared" si="7"/>
        <v>220</v>
      </c>
      <c r="BC19" s="10">
        <f t="shared" si="8"/>
        <v>84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214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262</v>
      </c>
      <c r="BC20" s="10">
        <f t="shared" si="8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202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>
        <f t="shared" si="9"/>
        <v>1</v>
      </c>
      <c r="J21" s="62">
        <f t="shared" si="9"/>
        <v>1</v>
      </c>
      <c r="K21" s="62">
        <f t="shared" si="9"/>
        <v>1</v>
      </c>
      <c r="L21" s="63">
        <f t="shared" si="9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48</v>
      </c>
      <c r="BB21" s="9">
        <f t="shared" si="7"/>
        <v>250</v>
      </c>
      <c r="BC21" s="10">
        <f t="shared" si="8"/>
        <v>95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214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262</v>
      </c>
      <c r="BC22" s="10">
        <f t="shared" si="8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208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256</v>
      </c>
      <c r="BC23" s="10">
        <f t="shared" si="8"/>
        <v>98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176</v>
      </c>
      <c r="E24" s="61">
        <v>1</v>
      </c>
      <c r="F24" s="62">
        <f t="shared" si="9"/>
        <v>1</v>
      </c>
      <c r="G24" s="62">
        <f t="shared" si="9"/>
        <v>1</v>
      </c>
      <c r="H24" s="62">
        <f t="shared" si="9"/>
        <v>1</v>
      </c>
      <c r="I24" s="62">
        <f t="shared" si="9"/>
        <v>1</v>
      </c>
      <c r="J24" s="62">
        <f t="shared" si="9"/>
        <v>1</v>
      </c>
      <c r="K24" s="62">
        <f t="shared" si="9"/>
        <v>1</v>
      </c>
      <c r="L24" s="63">
        <f t="shared" si="9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>
        <v>1</v>
      </c>
      <c r="AT24" s="62">
        <f t="shared" si="5"/>
        <v>1</v>
      </c>
      <c r="AU24" s="62">
        <f t="shared" si="5"/>
        <v>1</v>
      </c>
      <c r="AV24" s="62">
        <f t="shared" si="5"/>
        <v>1</v>
      </c>
      <c r="AW24" s="62">
        <f t="shared" si="5"/>
        <v>1</v>
      </c>
      <c r="AX24" s="62">
        <f t="shared" si="5"/>
        <v>1</v>
      </c>
      <c r="AY24" s="62">
        <f t="shared" si="5"/>
        <v>1</v>
      </c>
      <c r="AZ24" s="63">
        <f t="shared" si="5"/>
        <v>1</v>
      </c>
      <c r="BA24" s="37">
        <f t="shared" si="6"/>
        <v>48</v>
      </c>
      <c r="BB24" s="9">
        <f t="shared" si="7"/>
        <v>224</v>
      </c>
      <c r="BC24" s="10">
        <f t="shared" si="8"/>
        <v>85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174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 t="s">
        <v>124</v>
      </c>
      <c r="AT25" s="62" t="str">
        <f t="shared" si="5"/>
        <v>a</v>
      </c>
      <c r="AU25" s="62" t="str">
        <f t="shared" si="5"/>
        <v>a</v>
      </c>
      <c r="AV25" s="62" t="str">
        <f t="shared" si="5"/>
        <v>a</v>
      </c>
      <c r="AW25" s="62" t="str">
        <f t="shared" si="5"/>
        <v>a</v>
      </c>
      <c r="AX25" s="62" t="str">
        <f t="shared" si="5"/>
        <v>a</v>
      </c>
      <c r="AY25" s="62" t="str">
        <f t="shared" si="5"/>
        <v>a</v>
      </c>
      <c r="AZ25" s="63" t="str">
        <f t="shared" si="5"/>
        <v>a</v>
      </c>
      <c r="BA25" s="37">
        <f t="shared" si="6"/>
        <v>40</v>
      </c>
      <c r="BB25" s="9">
        <f t="shared" si="7"/>
        <v>214</v>
      </c>
      <c r="BC25" s="10">
        <f t="shared" si="8"/>
        <v>82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179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>
        <v>1</v>
      </c>
      <c r="N26" s="62">
        <f t="shared" ref="N26:T41" si="10">M26</f>
        <v>1</v>
      </c>
      <c r="O26" s="62">
        <f t="shared" si="10"/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>
        <v>1</v>
      </c>
      <c r="V26" s="62">
        <f t="shared" ref="V26:AB41" si="11">U26</f>
        <v>1</v>
      </c>
      <c r="W26" s="62">
        <f t="shared" si="11"/>
        <v>1</v>
      </c>
      <c r="X26" s="62">
        <f t="shared" si="11"/>
        <v>1</v>
      </c>
      <c r="Y26" s="62">
        <f t="shared" si="11"/>
        <v>1</v>
      </c>
      <c r="Z26" s="62">
        <f t="shared" si="11"/>
        <v>1</v>
      </c>
      <c r="AA26" s="62">
        <f t="shared" si="11"/>
        <v>1</v>
      </c>
      <c r="AB26" s="63">
        <f t="shared" si="11"/>
        <v>1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>
        <v>1</v>
      </c>
      <c r="AT26" s="62">
        <f t="shared" ref="AT26:AZ41" si="14">AS26</f>
        <v>1</v>
      </c>
      <c r="AU26" s="62">
        <f t="shared" si="14"/>
        <v>1</v>
      </c>
      <c r="AV26" s="62">
        <f t="shared" si="14"/>
        <v>1</v>
      </c>
      <c r="AW26" s="62">
        <f t="shared" si="14"/>
        <v>1</v>
      </c>
      <c r="AX26" s="62">
        <f t="shared" si="14"/>
        <v>1</v>
      </c>
      <c r="AY26" s="62">
        <f t="shared" si="14"/>
        <v>1</v>
      </c>
      <c r="AZ26" s="63">
        <f t="shared" si="14"/>
        <v>1</v>
      </c>
      <c r="BA26" s="37">
        <f t="shared" si="6"/>
        <v>48</v>
      </c>
      <c r="BB26" s="9">
        <f t="shared" si="7"/>
        <v>227</v>
      </c>
      <c r="BC26" s="10">
        <f t="shared" si="8"/>
        <v>87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206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 t="s">
        <v>124</v>
      </c>
      <c r="AT27" s="62" t="str">
        <f t="shared" si="14"/>
        <v>a</v>
      </c>
      <c r="AU27" s="62" t="str">
        <f t="shared" si="14"/>
        <v>a</v>
      </c>
      <c r="AV27" s="62" t="str">
        <f t="shared" si="14"/>
        <v>a</v>
      </c>
      <c r="AW27" s="62" t="str">
        <f t="shared" si="14"/>
        <v>a</v>
      </c>
      <c r="AX27" s="62" t="str">
        <f t="shared" si="14"/>
        <v>a</v>
      </c>
      <c r="AY27" s="62" t="str">
        <f t="shared" si="14"/>
        <v>a</v>
      </c>
      <c r="AZ27" s="63" t="str">
        <f t="shared" si="14"/>
        <v>a</v>
      </c>
      <c r="BA27" s="37">
        <f t="shared" si="6"/>
        <v>40</v>
      </c>
      <c r="BB27" s="9">
        <f t="shared" si="7"/>
        <v>246</v>
      </c>
      <c r="BC27" s="10">
        <f t="shared" si="8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190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238</v>
      </c>
      <c r="BC28" s="10">
        <f t="shared" si="8"/>
        <v>91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184</v>
      </c>
      <c r="E29" s="61">
        <v>1</v>
      </c>
      <c r="F29" s="62">
        <f t="shared" si="15"/>
        <v>1</v>
      </c>
      <c r="G29" s="62">
        <f t="shared" si="15"/>
        <v>1</v>
      </c>
      <c r="H29" s="62">
        <f t="shared" si="15"/>
        <v>1</v>
      </c>
      <c r="I29" s="62">
        <f t="shared" si="15"/>
        <v>1</v>
      </c>
      <c r="J29" s="62">
        <f t="shared" si="15"/>
        <v>1</v>
      </c>
      <c r="K29" s="62">
        <f t="shared" si="15"/>
        <v>1</v>
      </c>
      <c r="L29" s="63">
        <f t="shared" si="15"/>
        <v>1</v>
      </c>
      <c r="M29" s="61">
        <v>1</v>
      </c>
      <c r="N29" s="62">
        <f t="shared" si="10"/>
        <v>1</v>
      </c>
      <c r="O29" s="62">
        <f t="shared" si="10"/>
        <v>1</v>
      </c>
      <c r="P29" s="62">
        <f t="shared" si="10"/>
        <v>1</v>
      </c>
      <c r="Q29" s="62">
        <f t="shared" si="10"/>
        <v>1</v>
      </c>
      <c r="R29" s="62">
        <f t="shared" si="10"/>
        <v>1</v>
      </c>
      <c r="S29" s="62">
        <f t="shared" si="10"/>
        <v>1</v>
      </c>
      <c r="T29" s="63">
        <f t="shared" si="10"/>
        <v>1</v>
      </c>
      <c r="U29" s="61">
        <v>1</v>
      </c>
      <c r="V29" s="62">
        <f t="shared" si="11"/>
        <v>1</v>
      </c>
      <c r="W29" s="62">
        <f t="shared" si="11"/>
        <v>1</v>
      </c>
      <c r="X29" s="62">
        <f t="shared" si="11"/>
        <v>1</v>
      </c>
      <c r="Y29" s="62">
        <f t="shared" si="11"/>
        <v>1</v>
      </c>
      <c r="Z29" s="62">
        <f t="shared" si="11"/>
        <v>1</v>
      </c>
      <c r="AA29" s="62">
        <f t="shared" si="11"/>
        <v>1</v>
      </c>
      <c r="AB29" s="63">
        <f t="shared" si="11"/>
        <v>1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>
        <v>1</v>
      </c>
      <c r="AT29" s="62">
        <f t="shared" si="14"/>
        <v>1</v>
      </c>
      <c r="AU29" s="62">
        <f t="shared" si="14"/>
        <v>1</v>
      </c>
      <c r="AV29" s="62">
        <f t="shared" si="14"/>
        <v>1</v>
      </c>
      <c r="AW29" s="62">
        <f t="shared" si="14"/>
        <v>1</v>
      </c>
      <c r="AX29" s="62">
        <f t="shared" si="14"/>
        <v>1</v>
      </c>
      <c r="AY29" s="62">
        <f t="shared" si="14"/>
        <v>1</v>
      </c>
      <c r="AZ29" s="63">
        <f t="shared" si="14"/>
        <v>1</v>
      </c>
      <c r="BA29" s="37">
        <f t="shared" si="6"/>
        <v>48</v>
      </c>
      <c r="BB29" s="9">
        <f t="shared" si="7"/>
        <v>232</v>
      </c>
      <c r="BC29" s="10">
        <f t="shared" si="8"/>
        <v>89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200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>
        <v>1</v>
      </c>
      <c r="V30" s="62">
        <f t="shared" si="11"/>
        <v>1</v>
      </c>
      <c r="W30" s="62">
        <f t="shared" si="11"/>
        <v>1</v>
      </c>
      <c r="X30" s="62">
        <f t="shared" si="11"/>
        <v>1</v>
      </c>
      <c r="Y30" s="62">
        <f t="shared" si="11"/>
        <v>1</v>
      </c>
      <c r="Z30" s="62">
        <f t="shared" si="11"/>
        <v>1</v>
      </c>
      <c r="AA30" s="62">
        <f t="shared" si="11"/>
        <v>1</v>
      </c>
      <c r="AB30" s="63">
        <f t="shared" si="11"/>
        <v>1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48</v>
      </c>
      <c r="BB30" s="9">
        <f t="shared" si="7"/>
        <v>248</v>
      </c>
      <c r="BC30" s="10">
        <f t="shared" si="8"/>
        <v>95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190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>
        <v>1</v>
      </c>
      <c r="V31" s="62">
        <f t="shared" si="11"/>
        <v>1</v>
      </c>
      <c r="W31" s="62">
        <f t="shared" si="11"/>
        <v>1</v>
      </c>
      <c r="X31" s="62">
        <f t="shared" si="11"/>
        <v>1</v>
      </c>
      <c r="Y31" s="62">
        <f t="shared" si="11"/>
        <v>1</v>
      </c>
      <c r="Z31" s="62">
        <f t="shared" si="11"/>
        <v>1</v>
      </c>
      <c r="AA31" s="62">
        <f t="shared" si="11"/>
        <v>1</v>
      </c>
      <c r="AB31" s="63">
        <f t="shared" si="11"/>
        <v>1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>
        <v>1</v>
      </c>
      <c r="AL31" s="62">
        <f t="shared" si="13"/>
        <v>1</v>
      </c>
      <c r="AM31" s="62">
        <f t="shared" si="13"/>
        <v>1</v>
      </c>
      <c r="AN31" s="62">
        <f t="shared" si="13"/>
        <v>1</v>
      </c>
      <c r="AO31" s="62">
        <f t="shared" si="13"/>
        <v>1</v>
      </c>
      <c r="AP31" s="62">
        <f t="shared" si="13"/>
        <v>1</v>
      </c>
      <c r="AQ31" s="62">
        <f t="shared" si="13"/>
        <v>1</v>
      </c>
      <c r="AR31" s="63">
        <f t="shared" si="13"/>
        <v>1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48</v>
      </c>
      <c r="BB31" s="9">
        <f t="shared" si="7"/>
        <v>238</v>
      </c>
      <c r="BC31" s="10">
        <f t="shared" si="8"/>
        <v>91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181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>
        <v>1</v>
      </c>
      <c r="N32" s="62">
        <f t="shared" si="10"/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>
        <v>1</v>
      </c>
      <c r="V32" s="62">
        <f t="shared" si="11"/>
        <v>1</v>
      </c>
      <c r="W32" s="62">
        <f t="shared" si="11"/>
        <v>1</v>
      </c>
      <c r="X32" s="62">
        <f t="shared" si="11"/>
        <v>1</v>
      </c>
      <c r="Y32" s="62">
        <f t="shared" si="11"/>
        <v>1</v>
      </c>
      <c r="Z32" s="62">
        <f t="shared" si="11"/>
        <v>1</v>
      </c>
      <c r="AA32" s="62">
        <f t="shared" si="11"/>
        <v>1</v>
      </c>
      <c r="AB32" s="63">
        <f t="shared" si="11"/>
        <v>1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48</v>
      </c>
      <c r="BB32" s="9">
        <f t="shared" si="7"/>
        <v>229</v>
      </c>
      <c r="BC32" s="10">
        <f t="shared" si="8"/>
        <v>87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192</v>
      </c>
      <c r="E33" s="61">
        <v>1</v>
      </c>
      <c r="F33" s="62">
        <f t="shared" si="15"/>
        <v>1</v>
      </c>
      <c r="G33" s="62">
        <f t="shared" si="15"/>
        <v>1</v>
      </c>
      <c r="H33" s="62">
        <f t="shared" si="15"/>
        <v>1</v>
      </c>
      <c r="I33" s="62">
        <f t="shared" si="15"/>
        <v>1</v>
      </c>
      <c r="J33" s="62">
        <f t="shared" si="15"/>
        <v>1</v>
      </c>
      <c r="K33" s="62">
        <f t="shared" si="15"/>
        <v>1</v>
      </c>
      <c r="L33" s="63">
        <f t="shared" si="15"/>
        <v>1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>
        <v>1</v>
      </c>
      <c r="AT33" s="62">
        <f t="shared" si="14"/>
        <v>1</v>
      </c>
      <c r="AU33" s="62">
        <f t="shared" si="14"/>
        <v>1</v>
      </c>
      <c r="AV33" s="62">
        <f t="shared" si="14"/>
        <v>1</v>
      </c>
      <c r="AW33" s="62">
        <f t="shared" si="14"/>
        <v>1</v>
      </c>
      <c r="AX33" s="62">
        <f t="shared" si="14"/>
        <v>1</v>
      </c>
      <c r="AY33" s="62">
        <f t="shared" si="14"/>
        <v>1</v>
      </c>
      <c r="AZ33" s="63">
        <f t="shared" si="14"/>
        <v>1</v>
      </c>
      <c r="BA33" s="37">
        <f t="shared" si="6"/>
        <v>48</v>
      </c>
      <c r="BB33" s="9">
        <f t="shared" si="7"/>
        <v>240</v>
      </c>
      <c r="BC33" s="10">
        <f t="shared" si="8"/>
        <v>92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159</v>
      </c>
      <c r="E34" s="61">
        <v>1</v>
      </c>
      <c r="F34" s="62">
        <f t="shared" si="15"/>
        <v>1</v>
      </c>
      <c r="G34" s="62">
        <f t="shared" si="15"/>
        <v>1</v>
      </c>
      <c r="H34" s="62">
        <f t="shared" si="15"/>
        <v>1</v>
      </c>
      <c r="I34" s="62">
        <f t="shared" si="15"/>
        <v>1</v>
      </c>
      <c r="J34" s="62">
        <f t="shared" si="15"/>
        <v>1</v>
      </c>
      <c r="K34" s="62">
        <f t="shared" si="15"/>
        <v>1</v>
      </c>
      <c r="L34" s="63">
        <f t="shared" si="15"/>
        <v>1</v>
      </c>
      <c r="M34" s="61">
        <v>1</v>
      </c>
      <c r="N34" s="62">
        <f t="shared" si="10"/>
        <v>1</v>
      </c>
      <c r="O34" s="62">
        <f t="shared" si="10"/>
        <v>1</v>
      </c>
      <c r="P34" s="62">
        <f t="shared" si="10"/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>
        <v>1</v>
      </c>
      <c r="V34" s="62">
        <f t="shared" si="11"/>
        <v>1</v>
      </c>
      <c r="W34" s="62">
        <f t="shared" si="11"/>
        <v>1</v>
      </c>
      <c r="X34" s="62">
        <f t="shared" si="11"/>
        <v>1</v>
      </c>
      <c r="Y34" s="62">
        <f t="shared" si="11"/>
        <v>1</v>
      </c>
      <c r="Z34" s="62">
        <f t="shared" si="11"/>
        <v>1</v>
      </c>
      <c r="AA34" s="62">
        <f t="shared" si="11"/>
        <v>1</v>
      </c>
      <c r="AB34" s="63">
        <f t="shared" si="11"/>
        <v>1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>
        <v>1</v>
      </c>
      <c r="AT34" s="62">
        <f t="shared" si="14"/>
        <v>1</v>
      </c>
      <c r="AU34" s="62">
        <f t="shared" si="14"/>
        <v>1</v>
      </c>
      <c r="AV34" s="62">
        <f t="shared" si="14"/>
        <v>1</v>
      </c>
      <c r="AW34" s="62">
        <f t="shared" si="14"/>
        <v>1</v>
      </c>
      <c r="AX34" s="62">
        <f t="shared" si="14"/>
        <v>1</v>
      </c>
      <c r="AY34" s="62">
        <f t="shared" si="14"/>
        <v>1</v>
      </c>
      <c r="AZ34" s="63">
        <f t="shared" si="14"/>
        <v>1</v>
      </c>
      <c r="BA34" s="37">
        <f t="shared" si="6"/>
        <v>48</v>
      </c>
      <c r="BB34" s="9">
        <f t="shared" si="7"/>
        <v>207</v>
      </c>
      <c r="BC34" s="10">
        <f t="shared" si="8"/>
        <v>79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214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>
        <v>1</v>
      </c>
      <c r="N35" s="62">
        <f t="shared" si="10"/>
        <v>1</v>
      </c>
      <c r="O35" s="62">
        <f t="shared" si="10"/>
        <v>1</v>
      </c>
      <c r="P35" s="62">
        <f t="shared" si="10"/>
        <v>1</v>
      </c>
      <c r="Q35" s="62">
        <f t="shared" si="10"/>
        <v>1</v>
      </c>
      <c r="R35" s="62">
        <f t="shared" si="10"/>
        <v>1</v>
      </c>
      <c r="S35" s="62">
        <f t="shared" si="10"/>
        <v>1</v>
      </c>
      <c r="T35" s="63">
        <f t="shared" si="10"/>
        <v>1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48</v>
      </c>
      <c r="BB35" s="9">
        <f t="shared" si="7"/>
        <v>262</v>
      </c>
      <c r="BC35" s="10">
        <f t="shared" si="8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169</v>
      </c>
      <c r="E36" s="61">
        <v>1</v>
      </c>
      <c r="F36" s="62">
        <f t="shared" si="15"/>
        <v>1</v>
      </c>
      <c r="G36" s="62">
        <f t="shared" si="15"/>
        <v>1</v>
      </c>
      <c r="H36" s="62">
        <f t="shared" si="15"/>
        <v>1</v>
      </c>
      <c r="I36" s="62">
        <f t="shared" si="15"/>
        <v>1</v>
      </c>
      <c r="J36" s="62">
        <f t="shared" si="15"/>
        <v>1</v>
      </c>
      <c r="K36" s="62">
        <f t="shared" si="15"/>
        <v>1</v>
      </c>
      <c r="L36" s="63">
        <f t="shared" si="15"/>
        <v>1</v>
      </c>
      <c r="M36" s="61">
        <v>1</v>
      </c>
      <c r="N36" s="62">
        <f t="shared" si="10"/>
        <v>1</v>
      </c>
      <c r="O36" s="62">
        <f t="shared" si="10"/>
        <v>1</v>
      </c>
      <c r="P36" s="62">
        <f t="shared" si="10"/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>
        <v>1</v>
      </c>
      <c r="V36" s="62">
        <f t="shared" si="11"/>
        <v>1</v>
      </c>
      <c r="W36" s="62">
        <f t="shared" si="11"/>
        <v>1</v>
      </c>
      <c r="X36" s="62">
        <f t="shared" si="11"/>
        <v>1</v>
      </c>
      <c r="Y36" s="62">
        <f t="shared" si="11"/>
        <v>1</v>
      </c>
      <c r="Z36" s="62">
        <f t="shared" si="11"/>
        <v>1</v>
      </c>
      <c r="AA36" s="62">
        <f t="shared" si="11"/>
        <v>1</v>
      </c>
      <c r="AB36" s="63">
        <f t="shared" si="11"/>
        <v>1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 t="s">
        <v>124</v>
      </c>
      <c r="AT36" s="62" t="str">
        <f t="shared" si="14"/>
        <v>a</v>
      </c>
      <c r="AU36" s="62" t="str">
        <f t="shared" si="14"/>
        <v>a</v>
      </c>
      <c r="AV36" s="62" t="str">
        <f t="shared" si="14"/>
        <v>a</v>
      </c>
      <c r="AW36" s="62" t="str">
        <f t="shared" si="14"/>
        <v>a</v>
      </c>
      <c r="AX36" s="62" t="str">
        <f t="shared" si="14"/>
        <v>a</v>
      </c>
      <c r="AY36" s="62" t="str">
        <f t="shared" si="14"/>
        <v>a</v>
      </c>
      <c r="AZ36" s="63" t="str">
        <f t="shared" si="14"/>
        <v>a</v>
      </c>
      <c r="BA36" s="37">
        <f t="shared" si="6"/>
        <v>40</v>
      </c>
      <c r="BB36" s="9">
        <f t="shared" si="7"/>
        <v>209</v>
      </c>
      <c r="BC36" s="10">
        <f t="shared" si="8"/>
        <v>80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214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>
        <v>1</v>
      </c>
      <c r="N37" s="62">
        <f t="shared" si="10"/>
        <v>1</v>
      </c>
      <c r="O37" s="62">
        <f t="shared" si="10"/>
        <v>1</v>
      </c>
      <c r="P37" s="62">
        <f t="shared" si="10"/>
        <v>1</v>
      </c>
      <c r="Q37" s="62">
        <f t="shared" si="10"/>
        <v>1</v>
      </c>
      <c r="R37" s="62">
        <f t="shared" si="10"/>
        <v>1</v>
      </c>
      <c r="S37" s="62">
        <f t="shared" si="10"/>
        <v>1</v>
      </c>
      <c r="T37" s="63">
        <f t="shared" si="10"/>
        <v>1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48</v>
      </c>
      <c r="BB37" s="9">
        <f t="shared" si="7"/>
        <v>262</v>
      </c>
      <c r="BC37" s="10">
        <f t="shared" si="8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166</v>
      </c>
      <c r="E38" s="61">
        <v>1</v>
      </c>
      <c r="F38" s="62">
        <f t="shared" si="15"/>
        <v>1</v>
      </c>
      <c r="G38" s="62">
        <f t="shared" si="15"/>
        <v>1</v>
      </c>
      <c r="H38" s="62">
        <f t="shared" si="15"/>
        <v>1</v>
      </c>
      <c r="I38" s="62">
        <f t="shared" si="15"/>
        <v>1</v>
      </c>
      <c r="J38" s="62">
        <f t="shared" si="15"/>
        <v>1</v>
      </c>
      <c r="K38" s="62">
        <f t="shared" si="15"/>
        <v>1</v>
      </c>
      <c r="L38" s="63">
        <f t="shared" si="15"/>
        <v>1</v>
      </c>
      <c r="M38" s="61">
        <v>1</v>
      </c>
      <c r="N38" s="62">
        <f t="shared" si="10"/>
        <v>1</v>
      </c>
      <c r="O38" s="62">
        <f t="shared" si="10"/>
        <v>1</v>
      </c>
      <c r="P38" s="62">
        <f t="shared" si="10"/>
        <v>1</v>
      </c>
      <c r="Q38" s="62">
        <f t="shared" si="10"/>
        <v>1</v>
      </c>
      <c r="R38" s="62">
        <f t="shared" si="10"/>
        <v>1</v>
      </c>
      <c r="S38" s="62">
        <f t="shared" si="10"/>
        <v>1</v>
      </c>
      <c r="T38" s="63">
        <f t="shared" si="10"/>
        <v>1</v>
      </c>
      <c r="U38" s="61">
        <v>1</v>
      </c>
      <c r="V38" s="62">
        <f t="shared" si="11"/>
        <v>1</v>
      </c>
      <c r="W38" s="62">
        <f t="shared" si="11"/>
        <v>1</v>
      </c>
      <c r="X38" s="62">
        <f t="shared" si="11"/>
        <v>1</v>
      </c>
      <c r="Y38" s="62">
        <f t="shared" si="11"/>
        <v>1</v>
      </c>
      <c r="Z38" s="62">
        <f t="shared" si="11"/>
        <v>1</v>
      </c>
      <c r="AA38" s="62">
        <f t="shared" si="11"/>
        <v>1</v>
      </c>
      <c r="AB38" s="63">
        <f t="shared" si="11"/>
        <v>1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>
        <v>1</v>
      </c>
      <c r="AT38" s="62">
        <f t="shared" si="14"/>
        <v>1</v>
      </c>
      <c r="AU38" s="62">
        <f t="shared" si="14"/>
        <v>1</v>
      </c>
      <c r="AV38" s="62">
        <f t="shared" si="14"/>
        <v>1</v>
      </c>
      <c r="AW38" s="62">
        <f t="shared" si="14"/>
        <v>1</v>
      </c>
      <c r="AX38" s="62">
        <f t="shared" si="14"/>
        <v>1</v>
      </c>
      <c r="AY38" s="62">
        <f t="shared" si="14"/>
        <v>1</v>
      </c>
      <c r="AZ38" s="63">
        <f t="shared" si="14"/>
        <v>1</v>
      </c>
      <c r="BA38" s="36">
        <f>SUM(E38:AZ38)</f>
        <v>48</v>
      </c>
      <c r="BB38" s="9">
        <f t="shared" si="7"/>
        <v>214</v>
      </c>
      <c r="BC38" s="10">
        <f t="shared" si="8"/>
        <v>82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182</v>
      </c>
      <c r="E39" s="61">
        <v>1</v>
      </c>
      <c r="F39" s="62">
        <f t="shared" si="15"/>
        <v>1</v>
      </c>
      <c r="G39" s="62">
        <f t="shared" si="15"/>
        <v>1</v>
      </c>
      <c r="H39" s="62">
        <f t="shared" si="15"/>
        <v>1</v>
      </c>
      <c r="I39" s="62">
        <f t="shared" si="15"/>
        <v>1</v>
      </c>
      <c r="J39" s="62">
        <f t="shared" si="15"/>
        <v>1</v>
      </c>
      <c r="K39" s="62">
        <f t="shared" si="15"/>
        <v>1</v>
      </c>
      <c r="L39" s="63">
        <f t="shared" si="15"/>
        <v>1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>
        <v>1</v>
      </c>
      <c r="AT39" s="62">
        <f t="shared" si="14"/>
        <v>1</v>
      </c>
      <c r="AU39" s="62">
        <f t="shared" si="14"/>
        <v>1</v>
      </c>
      <c r="AV39" s="62">
        <f t="shared" si="14"/>
        <v>1</v>
      </c>
      <c r="AW39" s="62">
        <f t="shared" si="14"/>
        <v>1</v>
      </c>
      <c r="AX39" s="62">
        <f t="shared" si="14"/>
        <v>1</v>
      </c>
      <c r="AY39" s="62">
        <f t="shared" si="14"/>
        <v>1</v>
      </c>
      <c r="AZ39" s="63">
        <f t="shared" si="14"/>
        <v>1</v>
      </c>
      <c r="BA39" s="37">
        <f t="shared" ref="BA39:BA73" si="16">SUM(E39:AZ39)</f>
        <v>48</v>
      </c>
      <c r="BB39" s="9">
        <f t="shared" si="7"/>
        <v>230</v>
      </c>
      <c r="BC39" s="10">
        <f t="shared" si="8"/>
        <v>88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176</v>
      </c>
      <c r="E40" s="61">
        <v>1</v>
      </c>
      <c r="F40" s="62">
        <f t="shared" si="15"/>
        <v>1</v>
      </c>
      <c r="G40" s="62">
        <f t="shared" si="15"/>
        <v>1</v>
      </c>
      <c r="H40" s="62">
        <f t="shared" si="15"/>
        <v>1</v>
      </c>
      <c r="I40" s="62">
        <f t="shared" si="15"/>
        <v>1</v>
      </c>
      <c r="J40" s="62">
        <f t="shared" si="15"/>
        <v>1</v>
      </c>
      <c r="K40" s="62">
        <f t="shared" si="15"/>
        <v>1</v>
      </c>
      <c r="L40" s="63">
        <f t="shared" si="15"/>
        <v>1</v>
      </c>
      <c r="M40" s="61">
        <v>1</v>
      </c>
      <c r="N40" s="62">
        <f t="shared" si="10"/>
        <v>1</v>
      </c>
      <c r="O40" s="62">
        <f t="shared" si="10"/>
        <v>1</v>
      </c>
      <c r="P40" s="62">
        <f t="shared" si="10"/>
        <v>1</v>
      </c>
      <c r="Q40" s="62">
        <f t="shared" si="10"/>
        <v>1</v>
      </c>
      <c r="R40" s="62">
        <f t="shared" si="10"/>
        <v>1</v>
      </c>
      <c r="S40" s="62">
        <f t="shared" si="10"/>
        <v>1</v>
      </c>
      <c r="T40" s="63">
        <f t="shared" si="10"/>
        <v>1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48</v>
      </c>
      <c r="BB40" s="9">
        <f t="shared" si="7"/>
        <v>224</v>
      </c>
      <c r="BC40" s="10">
        <f t="shared" si="8"/>
        <v>85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190</v>
      </c>
      <c r="E41" s="61">
        <v>1</v>
      </c>
      <c r="F41" s="62">
        <f t="shared" si="15"/>
        <v>1</v>
      </c>
      <c r="G41" s="62">
        <f t="shared" si="15"/>
        <v>1</v>
      </c>
      <c r="H41" s="62">
        <f t="shared" si="15"/>
        <v>1</v>
      </c>
      <c r="I41" s="62">
        <f t="shared" si="15"/>
        <v>1</v>
      </c>
      <c r="J41" s="62">
        <f t="shared" si="15"/>
        <v>1</v>
      </c>
      <c r="K41" s="62">
        <f t="shared" si="15"/>
        <v>1</v>
      </c>
      <c r="L41" s="63">
        <f t="shared" si="15"/>
        <v>1</v>
      </c>
      <c r="M41" s="61">
        <v>1</v>
      </c>
      <c r="N41" s="62">
        <f t="shared" si="10"/>
        <v>1</v>
      </c>
      <c r="O41" s="62">
        <f t="shared" si="10"/>
        <v>1</v>
      </c>
      <c r="P41" s="62">
        <f t="shared" si="10"/>
        <v>1</v>
      </c>
      <c r="Q41" s="62">
        <f t="shared" si="10"/>
        <v>1</v>
      </c>
      <c r="R41" s="62">
        <f t="shared" si="10"/>
        <v>1</v>
      </c>
      <c r="S41" s="62">
        <f t="shared" si="10"/>
        <v>1</v>
      </c>
      <c r="T41" s="63">
        <f t="shared" si="10"/>
        <v>1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>
        <v>1</v>
      </c>
      <c r="AL41" s="62">
        <f t="shared" si="13"/>
        <v>1</v>
      </c>
      <c r="AM41" s="62">
        <f t="shared" si="13"/>
        <v>1</v>
      </c>
      <c r="AN41" s="62">
        <f t="shared" si="13"/>
        <v>1</v>
      </c>
      <c r="AO41" s="62">
        <f t="shared" si="13"/>
        <v>1</v>
      </c>
      <c r="AP41" s="62">
        <f t="shared" si="13"/>
        <v>1</v>
      </c>
      <c r="AQ41" s="62">
        <f t="shared" si="13"/>
        <v>1</v>
      </c>
      <c r="AR41" s="63">
        <f t="shared" si="13"/>
        <v>1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48</v>
      </c>
      <c r="BB41" s="9">
        <f t="shared" si="7"/>
        <v>238</v>
      </c>
      <c r="BC41" s="10">
        <f t="shared" si="8"/>
        <v>91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197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>
        <v>1</v>
      </c>
      <c r="N42" s="62">
        <f t="shared" ref="N42:T57" si="17">M42</f>
        <v>1</v>
      </c>
      <c r="O42" s="62">
        <f t="shared" si="17"/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>
        <v>1</v>
      </c>
      <c r="AT42" s="62">
        <f t="shared" ref="AT42:AZ57" si="21">AS42</f>
        <v>1</v>
      </c>
      <c r="AU42" s="62">
        <f t="shared" si="21"/>
        <v>1</v>
      </c>
      <c r="AV42" s="62">
        <f t="shared" si="21"/>
        <v>1</v>
      </c>
      <c r="AW42" s="62">
        <f t="shared" si="21"/>
        <v>1</v>
      </c>
      <c r="AX42" s="62">
        <f t="shared" si="21"/>
        <v>1</v>
      </c>
      <c r="AY42" s="62">
        <f t="shared" si="21"/>
        <v>1</v>
      </c>
      <c r="AZ42" s="63">
        <f t="shared" si="21"/>
        <v>1</v>
      </c>
      <c r="BA42" s="37">
        <f t="shared" si="16"/>
        <v>48</v>
      </c>
      <c r="BB42" s="9">
        <f t="shared" si="7"/>
        <v>245</v>
      </c>
      <c r="BC42" s="10">
        <f t="shared" si="8"/>
        <v>94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173</v>
      </c>
      <c r="E43" s="61">
        <v>1</v>
      </c>
      <c r="F43" s="62">
        <f t="shared" si="15"/>
        <v>1</v>
      </c>
      <c r="G43" s="62">
        <f t="shared" si="15"/>
        <v>1</v>
      </c>
      <c r="H43" s="62">
        <f t="shared" si="15"/>
        <v>1</v>
      </c>
      <c r="I43" s="62">
        <f t="shared" si="15"/>
        <v>1</v>
      </c>
      <c r="J43" s="62">
        <f t="shared" si="15"/>
        <v>1</v>
      </c>
      <c r="K43" s="62">
        <f t="shared" si="15"/>
        <v>1</v>
      </c>
      <c r="L43" s="63">
        <f t="shared" si="15"/>
        <v>1</v>
      </c>
      <c r="M43" s="61">
        <v>1</v>
      </c>
      <c r="N43" s="62">
        <f t="shared" si="17"/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>
        <v>1</v>
      </c>
      <c r="V43" s="62">
        <f t="shared" si="18"/>
        <v>1</v>
      </c>
      <c r="W43" s="62">
        <f t="shared" si="18"/>
        <v>1</v>
      </c>
      <c r="X43" s="62">
        <f t="shared" si="18"/>
        <v>1</v>
      </c>
      <c r="Y43" s="62">
        <f t="shared" si="18"/>
        <v>1</v>
      </c>
      <c r="Z43" s="62">
        <f t="shared" si="18"/>
        <v>1</v>
      </c>
      <c r="AA43" s="62">
        <f t="shared" si="18"/>
        <v>1</v>
      </c>
      <c r="AB43" s="63">
        <f t="shared" si="18"/>
        <v>1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 t="s">
        <v>124</v>
      </c>
      <c r="AT43" s="62" t="str">
        <f t="shared" si="21"/>
        <v>a</v>
      </c>
      <c r="AU43" s="62" t="str">
        <f t="shared" si="21"/>
        <v>a</v>
      </c>
      <c r="AV43" s="62" t="str">
        <f t="shared" si="21"/>
        <v>a</v>
      </c>
      <c r="AW43" s="62" t="str">
        <f t="shared" si="21"/>
        <v>a</v>
      </c>
      <c r="AX43" s="62" t="str">
        <f t="shared" si="21"/>
        <v>a</v>
      </c>
      <c r="AY43" s="62" t="str">
        <f t="shared" si="21"/>
        <v>a</v>
      </c>
      <c r="AZ43" s="63" t="str">
        <f t="shared" si="21"/>
        <v>a</v>
      </c>
      <c r="BA43" s="37">
        <f t="shared" si="16"/>
        <v>40</v>
      </c>
      <c r="BB43" s="9">
        <f t="shared" si="7"/>
        <v>213</v>
      </c>
      <c r="BC43" s="10">
        <f t="shared" si="8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152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200</v>
      </c>
      <c r="BC44" s="10">
        <f t="shared" si="8"/>
        <v>76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190</v>
      </c>
      <c r="E45" s="61">
        <v>1</v>
      </c>
      <c r="F45" s="62">
        <f t="shared" si="22"/>
        <v>1</v>
      </c>
      <c r="G45" s="62">
        <f t="shared" si="22"/>
        <v>1</v>
      </c>
      <c r="H45" s="62">
        <f t="shared" si="22"/>
        <v>1</v>
      </c>
      <c r="I45" s="62">
        <f t="shared" si="22"/>
        <v>1</v>
      </c>
      <c r="J45" s="62">
        <f t="shared" si="22"/>
        <v>1</v>
      </c>
      <c r="K45" s="62">
        <f t="shared" si="22"/>
        <v>1</v>
      </c>
      <c r="L45" s="63">
        <f t="shared" si="22"/>
        <v>1</v>
      </c>
      <c r="M45" s="61">
        <v>1</v>
      </c>
      <c r="N45" s="62">
        <f t="shared" si="17"/>
        <v>1</v>
      </c>
      <c r="O45" s="62">
        <f t="shared" si="17"/>
        <v>1</v>
      </c>
      <c r="P45" s="62">
        <f t="shared" si="17"/>
        <v>1</v>
      </c>
      <c r="Q45" s="62">
        <f t="shared" si="17"/>
        <v>1</v>
      </c>
      <c r="R45" s="62">
        <f t="shared" si="17"/>
        <v>1</v>
      </c>
      <c r="S45" s="62">
        <f t="shared" si="17"/>
        <v>1</v>
      </c>
      <c r="T45" s="63">
        <f t="shared" si="17"/>
        <v>1</v>
      </c>
      <c r="U45" s="61">
        <v>1</v>
      </c>
      <c r="V45" s="62">
        <f t="shared" si="18"/>
        <v>1</v>
      </c>
      <c r="W45" s="62">
        <f t="shared" si="18"/>
        <v>1</v>
      </c>
      <c r="X45" s="62">
        <f t="shared" si="18"/>
        <v>1</v>
      </c>
      <c r="Y45" s="62">
        <f t="shared" si="18"/>
        <v>1</v>
      </c>
      <c r="Z45" s="62">
        <f t="shared" si="18"/>
        <v>1</v>
      </c>
      <c r="AA45" s="62">
        <f t="shared" si="18"/>
        <v>1</v>
      </c>
      <c r="AB45" s="63">
        <f t="shared" si="18"/>
        <v>1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48</v>
      </c>
      <c r="BB45" s="9">
        <f t="shared" si="7"/>
        <v>238</v>
      </c>
      <c r="BC45" s="10">
        <f t="shared" si="8"/>
        <v>91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184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>
        <v>1</v>
      </c>
      <c r="V46" s="62">
        <f t="shared" si="18"/>
        <v>1</v>
      </c>
      <c r="W46" s="62">
        <f t="shared" si="18"/>
        <v>1</v>
      </c>
      <c r="X46" s="62">
        <f t="shared" si="18"/>
        <v>1</v>
      </c>
      <c r="Y46" s="62">
        <f t="shared" si="18"/>
        <v>1</v>
      </c>
      <c r="Z46" s="62">
        <f t="shared" si="18"/>
        <v>1</v>
      </c>
      <c r="AA46" s="62">
        <f t="shared" si="18"/>
        <v>1</v>
      </c>
      <c r="AB46" s="63">
        <f t="shared" si="18"/>
        <v>1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48</v>
      </c>
      <c r="BB46" s="9">
        <f t="shared" si="7"/>
        <v>232</v>
      </c>
      <c r="BC46" s="10">
        <f t="shared" si="8"/>
        <v>89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184</v>
      </c>
      <c r="E47" s="61">
        <v>1</v>
      </c>
      <c r="F47" s="62">
        <f t="shared" si="22"/>
        <v>1</v>
      </c>
      <c r="G47" s="62">
        <f t="shared" si="22"/>
        <v>1</v>
      </c>
      <c r="H47" s="62">
        <f t="shared" si="22"/>
        <v>1</v>
      </c>
      <c r="I47" s="62">
        <f t="shared" si="22"/>
        <v>1</v>
      </c>
      <c r="J47" s="62">
        <f t="shared" si="22"/>
        <v>1</v>
      </c>
      <c r="K47" s="62">
        <f t="shared" si="22"/>
        <v>1</v>
      </c>
      <c r="L47" s="63">
        <f t="shared" si="22"/>
        <v>1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>
        <v>1</v>
      </c>
      <c r="AT47" s="62">
        <f t="shared" si="21"/>
        <v>1</v>
      </c>
      <c r="AU47" s="62">
        <f t="shared" si="21"/>
        <v>1</v>
      </c>
      <c r="AV47" s="62">
        <f t="shared" si="21"/>
        <v>1</v>
      </c>
      <c r="AW47" s="62">
        <f t="shared" si="21"/>
        <v>1</v>
      </c>
      <c r="AX47" s="62">
        <f t="shared" si="21"/>
        <v>1</v>
      </c>
      <c r="AY47" s="62">
        <f t="shared" si="21"/>
        <v>1</v>
      </c>
      <c r="AZ47" s="63">
        <f t="shared" si="21"/>
        <v>1</v>
      </c>
      <c r="BA47" s="37">
        <f t="shared" si="16"/>
        <v>48</v>
      </c>
      <c r="BB47" s="9">
        <f t="shared" si="7"/>
        <v>232</v>
      </c>
      <c r="BC47" s="10">
        <f t="shared" si="8"/>
        <v>89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178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>
        <f t="shared" si="22"/>
        <v>1</v>
      </c>
      <c r="J48" s="62">
        <f t="shared" si="22"/>
        <v>1</v>
      </c>
      <c r="K48" s="62">
        <f t="shared" si="22"/>
        <v>1</v>
      </c>
      <c r="L48" s="63">
        <f t="shared" si="22"/>
        <v>1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>
        <v>1</v>
      </c>
      <c r="V48" s="62">
        <f t="shared" si="18"/>
        <v>1</v>
      </c>
      <c r="W48" s="62">
        <f t="shared" si="18"/>
        <v>1</v>
      </c>
      <c r="X48" s="62">
        <f t="shared" si="18"/>
        <v>1</v>
      </c>
      <c r="Y48" s="62">
        <f t="shared" si="18"/>
        <v>1</v>
      </c>
      <c r="Z48" s="62">
        <f t="shared" si="18"/>
        <v>1</v>
      </c>
      <c r="AA48" s="62">
        <f t="shared" si="18"/>
        <v>1</v>
      </c>
      <c r="AB48" s="63">
        <f t="shared" si="18"/>
        <v>1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 t="s">
        <v>124</v>
      </c>
      <c r="AT48" s="62" t="str">
        <f t="shared" si="21"/>
        <v>a</v>
      </c>
      <c r="AU48" s="62" t="str">
        <f t="shared" si="21"/>
        <v>a</v>
      </c>
      <c r="AV48" s="62" t="str">
        <f t="shared" si="21"/>
        <v>a</v>
      </c>
      <c r="AW48" s="62" t="str">
        <f t="shared" si="21"/>
        <v>a</v>
      </c>
      <c r="AX48" s="62" t="str">
        <f t="shared" si="21"/>
        <v>a</v>
      </c>
      <c r="AY48" s="62" t="str">
        <f t="shared" si="21"/>
        <v>a</v>
      </c>
      <c r="AZ48" s="63" t="str">
        <f t="shared" si="21"/>
        <v>a</v>
      </c>
      <c r="BA48" s="37">
        <f t="shared" si="16"/>
        <v>40</v>
      </c>
      <c r="BB48" s="9">
        <f t="shared" si="7"/>
        <v>218</v>
      </c>
      <c r="BC48" s="10">
        <f t="shared" si="8"/>
        <v>83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198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246</v>
      </c>
      <c r="BC49" s="10">
        <f t="shared" si="8"/>
        <v>94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200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>
        <v>1</v>
      </c>
      <c r="V50" s="62">
        <f t="shared" si="18"/>
        <v>1</v>
      </c>
      <c r="W50" s="62">
        <f t="shared" si="18"/>
        <v>1</v>
      </c>
      <c r="X50" s="62">
        <f t="shared" si="18"/>
        <v>1</v>
      </c>
      <c r="Y50" s="62">
        <f t="shared" si="18"/>
        <v>1</v>
      </c>
      <c r="Z50" s="62">
        <f t="shared" si="18"/>
        <v>1</v>
      </c>
      <c r="AA50" s="62">
        <f t="shared" si="18"/>
        <v>1</v>
      </c>
      <c r="AB50" s="63">
        <f t="shared" si="18"/>
        <v>1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48</v>
      </c>
      <c r="BB50" s="9">
        <f t="shared" si="7"/>
        <v>248</v>
      </c>
      <c r="BC50" s="10">
        <f t="shared" si="8"/>
        <v>95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184</v>
      </c>
      <c r="E51" s="61">
        <v>1</v>
      </c>
      <c r="F51" s="62">
        <f t="shared" si="22"/>
        <v>1</v>
      </c>
      <c r="G51" s="62">
        <f t="shared" si="22"/>
        <v>1</v>
      </c>
      <c r="H51" s="62">
        <f t="shared" si="22"/>
        <v>1</v>
      </c>
      <c r="I51" s="62">
        <f t="shared" si="22"/>
        <v>1</v>
      </c>
      <c r="J51" s="62">
        <f t="shared" si="22"/>
        <v>1</v>
      </c>
      <c r="K51" s="62">
        <f t="shared" si="22"/>
        <v>1</v>
      </c>
      <c r="L51" s="63">
        <f t="shared" si="22"/>
        <v>1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>
        <v>1</v>
      </c>
      <c r="AD51" s="62">
        <f t="shared" si="19"/>
        <v>1</v>
      </c>
      <c r="AE51" s="62">
        <f t="shared" si="19"/>
        <v>1</v>
      </c>
      <c r="AF51" s="62">
        <f t="shared" si="19"/>
        <v>1</v>
      </c>
      <c r="AG51" s="62">
        <f t="shared" si="19"/>
        <v>1</v>
      </c>
      <c r="AH51" s="62">
        <f t="shared" si="19"/>
        <v>1</v>
      </c>
      <c r="AI51" s="62">
        <f t="shared" si="19"/>
        <v>1</v>
      </c>
      <c r="AJ51" s="63">
        <f t="shared" si="19"/>
        <v>1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48</v>
      </c>
      <c r="BB51" s="9">
        <f t="shared" si="7"/>
        <v>232</v>
      </c>
      <c r="BC51" s="10">
        <f t="shared" si="8"/>
        <v>89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196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>
        <f t="shared" si="22"/>
        <v>1</v>
      </c>
      <c r="J52" s="62">
        <f t="shared" si="22"/>
        <v>1</v>
      </c>
      <c r="K52" s="62">
        <f t="shared" si="22"/>
        <v>1</v>
      </c>
      <c r="L52" s="63">
        <f t="shared" si="22"/>
        <v>1</v>
      </c>
      <c r="M52" s="61">
        <v>1</v>
      </c>
      <c r="N52" s="62">
        <f t="shared" si="17"/>
        <v>1</v>
      </c>
      <c r="O52" s="62">
        <f t="shared" si="17"/>
        <v>1</v>
      </c>
      <c r="P52" s="62">
        <f t="shared" si="17"/>
        <v>1</v>
      </c>
      <c r="Q52" s="62">
        <f t="shared" si="17"/>
        <v>1</v>
      </c>
      <c r="R52" s="62">
        <f t="shared" si="17"/>
        <v>1</v>
      </c>
      <c r="S52" s="62">
        <f t="shared" si="17"/>
        <v>1</v>
      </c>
      <c r="T52" s="63">
        <f t="shared" si="17"/>
        <v>1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48</v>
      </c>
      <c r="BB52" s="9">
        <f t="shared" si="7"/>
        <v>244</v>
      </c>
      <c r="BC52" s="10">
        <f t="shared" si="8"/>
        <v>93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198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>
        <v>1</v>
      </c>
      <c r="V53" s="62">
        <f t="shared" si="18"/>
        <v>1</v>
      </c>
      <c r="W53" s="62">
        <f t="shared" si="18"/>
        <v>1</v>
      </c>
      <c r="X53" s="62">
        <f t="shared" si="18"/>
        <v>1</v>
      </c>
      <c r="Y53" s="62">
        <f t="shared" si="18"/>
        <v>1</v>
      </c>
      <c r="Z53" s="62">
        <f t="shared" si="18"/>
        <v>1</v>
      </c>
      <c r="AA53" s="62">
        <f t="shared" si="18"/>
        <v>1</v>
      </c>
      <c r="AB53" s="63">
        <f t="shared" si="18"/>
        <v>1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48</v>
      </c>
      <c r="BB53" s="9">
        <f t="shared" si="7"/>
        <v>246</v>
      </c>
      <c r="BC53" s="10">
        <f t="shared" si="8"/>
        <v>94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184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>
        <v>1</v>
      </c>
      <c r="V54" s="62">
        <f t="shared" si="18"/>
        <v>1</v>
      </c>
      <c r="W54" s="62">
        <f t="shared" si="18"/>
        <v>1</v>
      </c>
      <c r="X54" s="62">
        <f t="shared" si="18"/>
        <v>1</v>
      </c>
      <c r="Y54" s="62">
        <f t="shared" si="18"/>
        <v>1</v>
      </c>
      <c r="Z54" s="62">
        <f t="shared" si="18"/>
        <v>1</v>
      </c>
      <c r="AA54" s="62">
        <f t="shared" si="18"/>
        <v>1</v>
      </c>
      <c r="AB54" s="63">
        <f t="shared" si="18"/>
        <v>1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>
        <v>1</v>
      </c>
      <c r="AT54" s="62">
        <f t="shared" si="21"/>
        <v>1</v>
      </c>
      <c r="AU54" s="62">
        <f t="shared" si="21"/>
        <v>1</v>
      </c>
      <c r="AV54" s="62">
        <f t="shared" si="21"/>
        <v>1</v>
      </c>
      <c r="AW54" s="62">
        <f t="shared" si="21"/>
        <v>1</v>
      </c>
      <c r="AX54" s="62">
        <f t="shared" si="21"/>
        <v>1</v>
      </c>
      <c r="AY54" s="62">
        <f t="shared" si="21"/>
        <v>1</v>
      </c>
      <c r="AZ54" s="63">
        <f t="shared" si="21"/>
        <v>1</v>
      </c>
      <c r="BA54" s="37">
        <f t="shared" si="16"/>
        <v>48</v>
      </c>
      <c r="BB54" s="9">
        <f t="shared" si="7"/>
        <v>232</v>
      </c>
      <c r="BC54" s="10">
        <f t="shared" si="8"/>
        <v>89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190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>
        <v>1</v>
      </c>
      <c r="V55" s="62">
        <f t="shared" si="18"/>
        <v>1</v>
      </c>
      <c r="W55" s="62">
        <f t="shared" si="18"/>
        <v>1</v>
      </c>
      <c r="X55" s="62">
        <f t="shared" si="18"/>
        <v>1</v>
      </c>
      <c r="Y55" s="62">
        <f t="shared" si="18"/>
        <v>1</v>
      </c>
      <c r="Z55" s="62">
        <f t="shared" si="18"/>
        <v>1</v>
      </c>
      <c r="AA55" s="62">
        <f t="shared" si="18"/>
        <v>1</v>
      </c>
      <c r="AB55" s="63">
        <f t="shared" si="18"/>
        <v>1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48</v>
      </c>
      <c r="BB55" s="9">
        <f t="shared" si="7"/>
        <v>238</v>
      </c>
      <c r="BC55" s="10">
        <f t="shared" si="8"/>
        <v>91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198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246</v>
      </c>
      <c r="BC56" s="10">
        <f t="shared" si="8"/>
        <v>94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174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222</v>
      </c>
      <c r="BC57" s="10">
        <f t="shared" si="8"/>
        <v>85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198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246</v>
      </c>
      <c r="BC58" s="10">
        <f t="shared" si="8"/>
        <v>94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198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246</v>
      </c>
      <c r="BC59" s="10">
        <f t="shared" si="8"/>
        <v>94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154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>
        <f t="shared" si="23"/>
        <v>1</v>
      </c>
      <c r="R60" s="62">
        <f t="shared" si="23"/>
        <v>1</v>
      </c>
      <c r="S60" s="62">
        <f t="shared" si="23"/>
        <v>1</v>
      </c>
      <c r="T60" s="63">
        <f t="shared" si="23"/>
        <v>1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>
        <v>1</v>
      </c>
      <c r="AT60" s="62">
        <f t="shared" si="27"/>
        <v>1</v>
      </c>
      <c r="AU60" s="62">
        <f t="shared" si="27"/>
        <v>1</v>
      </c>
      <c r="AV60" s="62">
        <f t="shared" si="27"/>
        <v>1</v>
      </c>
      <c r="AW60" s="62">
        <f t="shared" si="27"/>
        <v>1</v>
      </c>
      <c r="AX60" s="62">
        <f t="shared" si="27"/>
        <v>1</v>
      </c>
      <c r="AY60" s="62">
        <f t="shared" si="27"/>
        <v>1</v>
      </c>
      <c r="AZ60" s="63">
        <f t="shared" si="27"/>
        <v>1</v>
      </c>
      <c r="BA60" s="37">
        <f t="shared" si="16"/>
        <v>48</v>
      </c>
      <c r="BB60" s="9">
        <f t="shared" si="7"/>
        <v>202</v>
      </c>
      <c r="BC60" s="10">
        <f t="shared" si="8"/>
        <v>77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198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246</v>
      </c>
      <c r="BC61" s="10">
        <f t="shared" si="8"/>
        <v>94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140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>
        <f t="shared" si="23"/>
        <v>1</v>
      </c>
      <c r="R62" s="62">
        <f t="shared" si="23"/>
        <v>1</v>
      </c>
      <c r="S62" s="62">
        <f t="shared" si="23"/>
        <v>1</v>
      </c>
      <c r="T62" s="63">
        <f t="shared" si="23"/>
        <v>1</v>
      </c>
      <c r="U62" s="61">
        <v>1</v>
      </c>
      <c r="V62" s="62">
        <f t="shared" si="24"/>
        <v>1</v>
      </c>
      <c r="W62" s="62">
        <f t="shared" si="24"/>
        <v>1</v>
      </c>
      <c r="X62" s="62">
        <f t="shared" si="24"/>
        <v>1</v>
      </c>
      <c r="Y62" s="62">
        <f t="shared" si="24"/>
        <v>1</v>
      </c>
      <c r="Z62" s="62">
        <f t="shared" si="24"/>
        <v>1</v>
      </c>
      <c r="AA62" s="62">
        <f t="shared" si="24"/>
        <v>1</v>
      </c>
      <c r="AB62" s="63">
        <f t="shared" si="24"/>
        <v>1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>
        <v>1</v>
      </c>
      <c r="AL62" s="62">
        <f t="shared" si="26"/>
        <v>1</v>
      </c>
      <c r="AM62" s="62">
        <f t="shared" si="26"/>
        <v>1</v>
      </c>
      <c r="AN62" s="62">
        <f t="shared" si="26"/>
        <v>1</v>
      </c>
      <c r="AO62" s="62">
        <f t="shared" si="26"/>
        <v>1</v>
      </c>
      <c r="AP62" s="62">
        <f t="shared" si="26"/>
        <v>1</v>
      </c>
      <c r="AQ62" s="62">
        <f t="shared" si="26"/>
        <v>1</v>
      </c>
      <c r="AR62" s="63">
        <f t="shared" si="26"/>
        <v>1</v>
      </c>
      <c r="AS62" s="61" t="s">
        <v>124</v>
      </c>
      <c r="AT62" s="62" t="str">
        <f t="shared" si="27"/>
        <v>a</v>
      </c>
      <c r="AU62" s="62" t="str">
        <f t="shared" si="27"/>
        <v>a</v>
      </c>
      <c r="AV62" s="62" t="str">
        <f t="shared" si="27"/>
        <v>a</v>
      </c>
      <c r="AW62" s="62" t="str">
        <f t="shared" si="27"/>
        <v>a</v>
      </c>
      <c r="AX62" s="62" t="str">
        <f t="shared" si="27"/>
        <v>a</v>
      </c>
      <c r="AY62" s="62" t="str">
        <f t="shared" si="27"/>
        <v>a</v>
      </c>
      <c r="AZ62" s="63" t="str">
        <f t="shared" si="27"/>
        <v>a</v>
      </c>
      <c r="BA62" s="42">
        <f t="shared" si="16"/>
        <v>40</v>
      </c>
      <c r="BB62" s="9">
        <f t="shared" si="7"/>
        <v>180</v>
      </c>
      <c r="BC62" s="10">
        <f t="shared" si="8"/>
        <v>69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151</v>
      </c>
      <c r="E63" s="61">
        <v>1</v>
      </c>
      <c r="F63" s="62">
        <f t="shared" si="28"/>
        <v>1</v>
      </c>
      <c r="G63" s="62">
        <f t="shared" si="28"/>
        <v>1</v>
      </c>
      <c r="H63" s="62">
        <f t="shared" si="28"/>
        <v>1</v>
      </c>
      <c r="I63" s="62">
        <f t="shared" si="28"/>
        <v>1</v>
      </c>
      <c r="J63" s="62">
        <f t="shared" si="28"/>
        <v>1</v>
      </c>
      <c r="K63" s="62">
        <f t="shared" si="28"/>
        <v>1</v>
      </c>
      <c r="L63" s="63">
        <f t="shared" si="28"/>
        <v>1</v>
      </c>
      <c r="M63" s="61">
        <v>1</v>
      </c>
      <c r="N63" s="62">
        <f t="shared" si="23"/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>
        <v>1</v>
      </c>
      <c r="AD63" s="62">
        <f t="shared" si="25"/>
        <v>1</v>
      </c>
      <c r="AE63" s="62">
        <f t="shared" si="25"/>
        <v>1</v>
      </c>
      <c r="AF63" s="62">
        <f t="shared" si="25"/>
        <v>1</v>
      </c>
      <c r="AG63" s="62">
        <f t="shared" si="25"/>
        <v>1</v>
      </c>
      <c r="AH63" s="62">
        <f t="shared" si="25"/>
        <v>1</v>
      </c>
      <c r="AI63" s="62">
        <f t="shared" si="25"/>
        <v>1</v>
      </c>
      <c r="AJ63" s="63">
        <f t="shared" si="25"/>
        <v>1</v>
      </c>
      <c r="AK63" s="61">
        <v>1</v>
      </c>
      <c r="AL63" s="62">
        <f t="shared" si="26"/>
        <v>1</v>
      </c>
      <c r="AM63" s="62">
        <f t="shared" si="26"/>
        <v>1</v>
      </c>
      <c r="AN63" s="62">
        <f t="shared" si="26"/>
        <v>1</v>
      </c>
      <c r="AO63" s="62">
        <f t="shared" si="26"/>
        <v>1</v>
      </c>
      <c r="AP63" s="62">
        <f t="shared" si="26"/>
        <v>1</v>
      </c>
      <c r="AQ63" s="62">
        <f t="shared" si="26"/>
        <v>1</v>
      </c>
      <c r="AR63" s="63">
        <f t="shared" si="26"/>
        <v>1</v>
      </c>
      <c r="AS63" s="61">
        <v>1</v>
      </c>
      <c r="AT63" s="62">
        <f t="shared" si="27"/>
        <v>1</v>
      </c>
      <c r="AU63" s="62">
        <f t="shared" si="27"/>
        <v>1</v>
      </c>
      <c r="AV63" s="62">
        <f t="shared" si="27"/>
        <v>1</v>
      </c>
      <c r="AW63" s="62">
        <f t="shared" si="27"/>
        <v>1</v>
      </c>
      <c r="AX63" s="62">
        <f t="shared" si="27"/>
        <v>1</v>
      </c>
      <c r="AY63" s="62">
        <f t="shared" si="27"/>
        <v>1</v>
      </c>
      <c r="AZ63" s="63">
        <f t="shared" si="27"/>
        <v>1</v>
      </c>
      <c r="BA63" s="42">
        <f t="shared" si="16"/>
        <v>48</v>
      </c>
      <c r="BB63" s="9">
        <f t="shared" si="7"/>
        <v>199</v>
      </c>
      <c r="BC63" s="10">
        <f t="shared" si="8"/>
        <v>76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180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>
        <v>1</v>
      </c>
      <c r="N64" s="62">
        <f t="shared" si="23"/>
        <v>1</v>
      </c>
      <c r="O64" s="62">
        <f t="shared" si="23"/>
        <v>1</v>
      </c>
      <c r="P64" s="62">
        <f t="shared" si="23"/>
        <v>1</v>
      </c>
      <c r="Q64" s="62">
        <f t="shared" si="23"/>
        <v>1</v>
      </c>
      <c r="R64" s="62">
        <f t="shared" si="23"/>
        <v>1</v>
      </c>
      <c r="S64" s="62">
        <f t="shared" si="23"/>
        <v>1</v>
      </c>
      <c r="T64" s="63">
        <f t="shared" si="23"/>
        <v>1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 t="s">
        <v>124</v>
      </c>
      <c r="AT64" s="62" t="str">
        <f t="shared" si="27"/>
        <v>a</v>
      </c>
      <c r="AU64" s="62" t="str">
        <f t="shared" si="27"/>
        <v>a</v>
      </c>
      <c r="AV64" s="62" t="str">
        <f t="shared" si="27"/>
        <v>a</v>
      </c>
      <c r="AW64" s="62" t="str">
        <f t="shared" si="27"/>
        <v>a</v>
      </c>
      <c r="AX64" s="62" t="str">
        <f t="shared" si="27"/>
        <v>a</v>
      </c>
      <c r="AY64" s="62" t="str">
        <f t="shared" si="27"/>
        <v>a</v>
      </c>
      <c r="AZ64" s="63" t="str">
        <f t="shared" si="27"/>
        <v>a</v>
      </c>
      <c r="BA64" s="42">
        <f t="shared" si="16"/>
        <v>40</v>
      </c>
      <c r="BB64" s="9">
        <f t="shared" si="7"/>
        <v>220</v>
      </c>
      <c r="BC64" s="10">
        <f t="shared" si="8"/>
        <v>84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176</v>
      </c>
      <c r="E65" s="61">
        <v>1</v>
      </c>
      <c r="F65" s="62">
        <f t="shared" si="28"/>
        <v>1</v>
      </c>
      <c r="G65" s="62">
        <f t="shared" si="28"/>
        <v>1</v>
      </c>
      <c r="H65" s="62">
        <f t="shared" si="28"/>
        <v>1</v>
      </c>
      <c r="I65" s="62">
        <f t="shared" si="28"/>
        <v>1</v>
      </c>
      <c r="J65" s="62">
        <f t="shared" si="28"/>
        <v>1</v>
      </c>
      <c r="K65" s="62">
        <f t="shared" si="28"/>
        <v>1</v>
      </c>
      <c r="L65" s="63">
        <f t="shared" si="28"/>
        <v>1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 t="s">
        <v>124</v>
      </c>
      <c r="AT65" s="62" t="str">
        <f t="shared" si="27"/>
        <v>a</v>
      </c>
      <c r="AU65" s="62" t="str">
        <f t="shared" si="27"/>
        <v>a</v>
      </c>
      <c r="AV65" s="62" t="str">
        <f t="shared" si="27"/>
        <v>a</v>
      </c>
      <c r="AW65" s="62" t="str">
        <f t="shared" si="27"/>
        <v>a</v>
      </c>
      <c r="AX65" s="62" t="str">
        <f t="shared" si="27"/>
        <v>a</v>
      </c>
      <c r="AY65" s="62" t="str">
        <f t="shared" si="27"/>
        <v>a</v>
      </c>
      <c r="AZ65" s="63" t="str">
        <f t="shared" si="27"/>
        <v>a</v>
      </c>
      <c r="BA65" s="37">
        <f t="shared" si="16"/>
        <v>40</v>
      </c>
      <c r="BB65" s="9">
        <f t="shared" si="7"/>
        <v>216</v>
      </c>
      <c r="BC65" s="10">
        <f t="shared" si="8"/>
        <v>82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206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>
        <v>1</v>
      </c>
      <c r="AT66" s="62">
        <f t="shared" si="27"/>
        <v>1</v>
      </c>
      <c r="AU66" s="62">
        <f t="shared" si="27"/>
        <v>1</v>
      </c>
      <c r="AV66" s="62">
        <f t="shared" si="27"/>
        <v>1</v>
      </c>
      <c r="AW66" s="62">
        <f t="shared" si="27"/>
        <v>1</v>
      </c>
      <c r="AX66" s="62">
        <f t="shared" si="27"/>
        <v>1</v>
      </c>
      <c r="AY66" s="62">
        <f t="shared" si="27"/>
        <v>1</v>
      </c>
      <c r="AZ66" s="63">
        <f t="shared" si="27"/>
        <v>1</v>
      </c>
      <c r="BA66" s="37">
        <f t="shared" si="16"/>
        <v>48</v>
      </c>
      <c r="BB66" s="9">
        <f t="shared" si="7"/>
        <v>254</v>
      </c>
      <c r="BC66" s="10">
        <f t="shared" si="8"/>
        <v>97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158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>
        <v>1</v>
      </c>
      <c r="V67" s="62">
        <f t="shared" si="24"/>
        <v>1</v>
      </c>
      <c r="W67" s="62">
        <f t="shared" si="24"/>
        <v>1</v>
      </c>
      <c r="X67" s="62">
        <f t="shared" si="24"/>
        <v>1</v>
      </c>
      <c r="Y67" s="62">
        <f t="shared" si="24"/>
        <v>1</v>
      </c>
      <c r="Z67" s="62">
        <f t="shared" si="24"/>
        <v>1</v>
      </c>
      <c r="AA67" s="62">
        <f t="shared" si="24"/>
        <v>1</v>
      </c>
      <c r="AB67" s="63">
        <f t="shared" si="24"/>
        <v>1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48</v>
      </c>
      <c r="BB67" s="9">
        <f t="shared" si="7"/>
        <v>206</v>
      </c>
      <c r="BC67" s="10">
        <f t="shared" si="8"/>
        <v>79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190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>
        <v>1</v>
      </c>
      <c r="V68" s="62">
        <f t="shared" si="24"/>
        <v>1</v>
      </c>
      <c r="W68" s="62">
        <f t="shared" si="24"/>
        <v>1</v>
      </c>
      <c r="X68" s="62">
        <f t="shared" si="24"/>
        <v>1</v>
      </c>
      <c r="Y68" s="62">
        <f t="shared" si="24"/>
        <v>1</v>
      </c>
      <c r="Z68" s="62">
        <f t="shared" si="24"/>
        <v>1</v>
      </c>
      <c r="AA68" s="62">
        <f t="shared" si="24"/>
        <v>1</v>
      </c>
      <c r="AB68" s="63">
        <f t="shared" si="24"/>
        <v>1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 t="s">
        <v>124</v>
      </c>
      <c r="AT68" s="62" t="str">
        <f t="shared" si="27"/>
        <v>a</v>
      </c>
      <c r="AU68" s="62" t="str">
        <f t="shared" si="27"/>
        <v>a</v>
      </c>
      <c r="AV68" s="62" t="str">
        <f t="shared" si="27"/>
        <v>a</v>
      </c>
      <c r="AW68" s="62" t="str">
        <f t="shared" si="27"/>
        <v>a</v>
      </c>
      <c r="AX68" s="62" t="str">
        <f t="shared" si="27"/>
        <v>a</v>
      </c>
      <c r="AY68" s="62" t="str">
        <f t="shared" si="27"/>
        <v>a</v>
      </c>
      <c r="AZ68" s="63" t="str">
        <f t="shared" si="27"/>
        <v>a</v>
      </c>
      <c r="BA68" s="37">
        <f t="shared" si="16"/>
        <v>40</v>
      </c>
      <c r="BB68" s="9">
        <f t="shared" si="7"/>
        <v>230</v>
      </c>
      <c r="BC68" s="10">
        <f t="shared" si="8"/>
        <v>88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203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>
        <v>1</v>
      </c>
      <c r="N69" s="62">
        <f t="shared" si="23"/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>
        <v>1</v>
      </c>
      <c r="AL69" s="62">
        <f t="shared" si="26"/>
        <v>1</v>
      </c>
      <c r="AM69" s="62">
        <f t="shared" si="26"/>
        <v>1</v>
      </c>
      <c r="AN69" s="62">
        <f t="shared" si="26"/>
        <v>1</v>
      </c>
      <c r="AO69" s="62">
        <f t="shared" si="26"/>
        <v>1</v>
      </c>
      <c r="AP69" s="62">
        <f t="shared" si="26"/>
        <v>1</v>
      </c>
      <c r="AQ69" s="62">
        <f t="shared" si="26"/>
        <v>1</v>
      </c>
      <c r="AR69" s="63">
        <f t="shared" si="26"/>
        <v>1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48</v>
      </c>
      <c r="BB69" s="9">
        <f t="shared" si="7"/>
        <v>251</v>
      </c>
      <c r="BC69" s="10">
        <f t="shared" si="8"/>
        <v>96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146</v>
      </c>
      <c r="E70" s="61">
        <v>1</v>
      </c>
      <c r="F70" s="62">
        <f t="shared" si="28"/>
        <v>1</v>
      </c>
      <c r="G70" s="62">
        <f t="shared" si="28"/>
        <v>1</v>
      </c>
      <c r="H70" s="62">
        <f t="shared" si="28"/>
        <v>1</v>
      </c>
      <c r="I70" s="62">
        <f t="shared" si="28"/>
        <v>1</v>
      </c>
      <c r="J70" s="62">
        <f t="shared" si="28"/>
        <v>1</v>
      </c>
      <c r="K70" s="62">
        <f t="shared" si="28"/>
        <v>1</v>
      </c>
      <c r="L70" s="63">
        <f t="shared" si="28"/>
        <v>1</v>
      </c>
      <c r="M70" s="61">
        <v>1</v>
      </c>
      <c r="N70" s="62">
        <f t="shared" si="23"/>
        <v>1</v>
      </c>
      <c r="O70" s="62">
        <f t="shared" si="23"/>
        <v>1</v>
      </c>
      <c r="P70" s="62">
        <f t="shared" si="23"/>
        <v>1</v>
      </c>
      <c r="Q70" s="62">
        <f t="shared" si="23"/>
        <v>1</v>
      </c>
      <c r="R70" s="62">
        <f t="shared" si="23"/>
        <v>1</v>
      </c>
      <c r="S70" s="62">
        <f t="shared" si="23"/>
        <v>1</v>
      </c>
      <c r="T70" s="63">
        <f t="shared" si="23"/>
        <v>1</v>
      </c>
      <c r="U70" s="61">
        <v>1</v>
      </c>
      <c r="V70" s="62">
        <f t="shared" si="24"/>
        <v>1</v>
      </c>
      <c r="W70" s="62">
        <f t="shared" si="24"/>
        <v>1</v>
      </c>
      <c r="X70" s="62">
        <f t="shared" si="24"/>
        <v>1</v>
      </c>
      <c r="Y70" s="62">
        <f t="shared" si="24"/>
        <v>1</v>
      </c>
      <c r="Z70" s="62">
        <f t="shared" si="24"/>
        <v>1</v>
      </c>
      <c r="AA70" s="62">
        <f t="shared" si="24"/>
        <v>1</v>
      </c>
      <c r="AB70" s="63">
        <f t="shared" si="24"/>
        <v>1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48</v>
      </c>
      <c r="BB70" s="9">
        <f t="shared" si="7"/>
        <v>194</v>
      </c>
      <c r="BC70" s="10">
        <f t="shared" si="8"/>
        <v>74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174</v>
      </c>
      <c r="E71" s="61">
        <v>1</v>
      </c>
      <c r="F71" s="62">
        <f t="shared" si="28"/>
        <v>1</v>
      </c>
      <c r="G71" s="62">
        <f t="shared" si="28"/>
        <v>1</v>
      </c>
      <c r="H71" s="62">
        <f t="shared" si="28"/>
        <v>1</v>
      </c>
      <c r="I71" s="62">
        <f t="shared" si="28"/>
        <v>1</v>
      </c>
      <c r="J71" s="62">
        <f t="shared" si="28"/>
        <v>1</v>
      </c>
      <c r="K71" s="62">
        <f t="shared" si="28"/>
        <v>1</v>
      </c>
      <c r="L71" s="63">
        <f t="shared" si="28"/>
        <v>1</v>
      </c>
      <c r="M71" s="61">
        <v>1</v>
      </c>
      <c r="N71" s="62">
        <f t="shared" si="23"/>
        <v>1</v>
      </c>
      <c r="O71" s="62">
        <f t="shared" si="23"/>
        <v>1</v>
      </c>
      <c r="P71" s="62">
        <f t="shared" si="23"/>
        <v>1</v>
      </c>
      <c r="Q71" s="62">
        <f t="shared" si="23"/>
        <v>1</v>
      </c>
      <c r="R71" s="62">
        <f t="shared" si="23"/>
        <v>1</v>
      </c>
      <c r="S71" s="62">
        <f t="shared" si="23"/>
        <v>1</v>
      </c>
      <c r="T71" s="63">
        <f t="shared" si="23"/>
        <v>1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>
        <v>1</v>
      </c>
      <c r="AL71" s="62">
        <f t="shared" si="26"/>
        <v>1</v>
      </c>
      <c r="AM71" s="62">
        <f t="shared" si="26"/>
        <v>1</v>
      </c>
      <c r="AN71" s="62">
        <f t="shared" si="26"/>
        <v>1</v>
      </c>
      <c r="AO71" s="62">
        <f t="shared" si="26"/>
        <v>1</v>
      </c>
      <c r="AP71" s="62">
        <f t="shared" si="26"/>
        <v>1</v>
      </c>
      <c r="AQ71" s="62">
        <f t="shared" si="26"/>
        <v>1</v>
      </c>
      <c r="AR71" s="63">
        <f t="shared" si="26"/>
        <v>1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48</v>
      </c>
      <c r="BB71" s="9">
        <f t="shared" si="7"/>
        <v>222</v>
      </c>
      <c r="BC71" s="10">
        <f t="shared" si="8"/>
        <v>85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168</v>
      </c>
      <c r="E72" s="61">
        <v>1</v>
      </c>
      <c r="F72" s="62">
        <f t="shared" si="28"/>
        <v>1</v>
      </c>
      <c r="G72" s="62">
        <f t="shared" si="28"/>
        <v>1</v>
      </c>
      <c r="H72" s="62">
        <f t="shared" si="28"/>
        <v>1</v>
      </c>
      <c r="I72" s="62">
        <f t="shared" si="28"/>
        <v>1</v>
      </c>
      <c r="J72" s="62">
        <f t="shared" si="28"/>
        <v>1</v>
      </c>
      <c r="K72" s="62">
        <f t="shared" si="28"/>
        <v>1</v>
      </c>
      <c r="L72" s="63">
        <f t="shared" si="28"/>
        <v>1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 t="s">
        <v>124</v>
      </c>
      <c r="AT72" s="62" t="str">
        <f t="shared" si="27"/>
        <v>a</v>
      </c>
      <c r="AU72" s="62" t="str">
        <f t="shared" si="27"/>
        <v>a</v>
      </c>
      <c r="AV72" s="62" t="str">
        <f t="shared" si="27"/>
        <v>a</v>
      </c>
      <c r="AW72" s="62" t="str">
        <f t="shared" si="27"/>
        <v>a</v>
      </c>
      <c r="AX72" s="62" t="str">
        <f t="shared" si="27"/>
        <v>a</v>
      </c>
      <c r="AY72" s="62" t="str">
        <f t="shared" si="27"/>
        <v>a</v>
      </c>
      <c r="AZ72" s="63" t="str">
        <f t="shared" si="27"/>
        <v>a</v>
      </c>
      <c r="BA72" s="37">
        <f t="shared" si="16"/>
        <v>40</v>
      </c>
      <c r="BB72" s="9">
        <f t="shared" si="7"/>
        <v>208</v>
      </c>
      <c r="BC72" s="10">
        <f t="shared" si="8"/>
        <v>79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202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250</v>
      </c>
      <c r="BC73" s="10">
        <f t="shared" si="8"/>
        <v>95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0</v>
      </c>
      <c r="F74" s="50">
        <f t="shared" ref="F74:AZ74" si="29">COUNTIF(F10:F73,"a")</f>
        <v>0</v>
      </c>
      <c r="G74" s="50">
        <f t="shared" si="29"/>
        <v>0</v>
      </c>
      <c r="H74" s="50">
        <f t="shared" si="29"/>
        <v>0</v>
      </c>
      <c r="I74" s="50">
        <f t="shared" si="29"/>
        <v>0</v>
      </c>
      <c r="J74" s="50">
        <f t="shared" si="29"/>
        <v>0</v>
      </c>
      <c r="K74" s="50">
        <f t="shared" si="29"/>
        <v>0</v>
      </c>
      <c r="L74" s="50">
        <f t="shared" si="29"/>
        <v>0</v>
      </c>
      <c r="M74" s="50">
        <f t="shared" si="29"/>
        <v>0</v>
      </c>
      <c r="N74" s="50">
        <f t="shared" si="29"/>
        <v>0</v>
      </c>
      <c r="O74" s="50">
        <f t="shared" si="29"/>
        <v>0</v>
      </c>
      <c r="P74" s="50">
        <f t="shared" si="29"/>
        <v>0</v>
      </c>
      <c r="Q74" s="50">
        <f t="shared" si="29"/>
        <v>0</v>
      </c>
      <c r="R74" s="50">
        <f t="shared" si="29"/>
        <v>0</v>
      </c>
      <c r="S74" s="50">
        <f t="shared" si="29"/>
        <v>0</v>
      </c>
      <c r="T74" s="50">
        <f t="shared" si="29"/>
        <v>0</v>
      </c>
      <c r="U74" s="50">
        <f t="shared" si="29"/>
        <v>0</v>
      </c>
      <c r="V74" s="50">
        <f t="shared" si="29"/>
        <v>0</v>
      </c>
      <c r="W74" s="50">
        <f t="shared" si="29"/>
        <v>0</v>
      </c>
      <c r="X74" s="50">
        <f t="shared" si="29"/>
        <v>0</v>
      </c>
      <c r="Y74" s="50">
        <f t="shared" si="29"/>
        <v>0</v>
      </c>
      <c r="Z74" s="50">
        <f t="shared" si="29"/>
        <v>0</v>
      </c>
      <c r="AA74" s="50">
        <f t="shared" si="29"/>
        <v>0</v>
      </c>
      <c r="AB74" s="50">
        <f t="shared" si="29"/>
        <v>0</v>
      </c>
      <c r="AC74" s="50">
        <f t="shared" si="29"/>
        <v>0</v>
      </c>
      <c r="AD74" s="50">
        <f t="shared" si="29"/>
        <v>0</v>
      </c>
      <c r="AE74" s="50">
        <f t="shared" si="29"/>
        <v>0</v>
      </c>
      <c r="AF74" s="50">
        <f t="shared" si="29"/>
        <v>0</v>
      </c>
      <c r="AG74" s="50">
        <f t="shared" si="29"/>
        <v>0</v>
      </c>
      <c r="AH74" s="50">
        <f t="shared" si="29"/>
        <v>0</v>
      </c>
      <c r="AI74" s="50">
        <f t="shared" si="29"/>
        <v>0</v>
      </c>
      <c r="AJ74" s="50">
        <f t="shared" si="29"/>
        <v>0</v>
      </c>
      <c r="AK74" s="50">
        <f t="shared" si="29"/>
        <v>0</v>
      </c>
      <c r="AL74" s="50">
        <f t="shared" si="29"/>
        <v>0</v>
      </c>
      <c r="AM74" s="50">
        <f t="shared" si="29"/>
        <v>0</v>
      </c>
      <c r="AN74" s="50">
        <f t="shared" si="29"/>
        <v>0</v>
      </c>
      <c r="AO74" s="50">
        <f t="shared" si="29"/>
        <v>0</v>
      </c>
      <c r="AP74" s="50">
        <f t="shared" si="29"/>
        <v>0</v>
      </c>
      <c r="AQ74" s="50">
        <f t="shared" si="29"/>
        <v>0</v>
      </c>
      <c r="AR74" s="50">
        <f t="shared" si="29"/>
        <v>0</v>
      </c>
      <c r="AS74" s="50">
        <f t="shared" si="29"/>
        <v>11</v>
      </c>
      <c r="AT74" s="50">
        <f t="shared" si="29"/>
        <v>11</v>
      </c>
      <c r="AU74" s="50">
        <f t="shared" si="29"/>
        <v>11</v>
      </c>
      <c r="AV74" s="50">
        <f t="shared" si="29"/>
        <v>11</v>
      </c>
      <c r="AW74" s="50">
        <f t="shared" si="29"/>
        <v>11</v>
      </c>
      <c r="AX74" s="50">
        <f t="shared" si="29"/>
        <v>11</v>
      </c>
      <c r="AY74" s="50">
        <f t="shared" si="29"/>
        <v>11</v>
      </c>
      <c r="AZ74" s="50">
        <f t="shared" si="29"/>
        <v>11</v>
      </c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259" t="s">
        <v>85</v>
      </c>
      <c r="F75" s="257"/>
      <c r="G75" s="257"/>
      <c r="H75" s="257"/>
      <c r="I75" s="257"/>
      <c r="J75" s="257"/>
      <c r="K75" s="257"/>
      <c r="L75" s="258"/>
      <c r="M75" s="259" t="s">
        <v>83</v>
      </c>
      <c r="N75" s="257"/>
      <c r="O75" s="257"/>
      <c r="P75" s="257"/>
      <c r="Q75" s="257"/>
      <c r="R75" s="257"/>
      <c r="S75" s="257"/>
      <c r="T75" s="258"/>
      <c r="U75" s="259" t="s">
        <v>92</v>
      </c>
      <c r="V75" s="257"/>
      <c r="W75" s="257"/>
      <c r="X75" s="257"/>
      <c r="Y75" s="257"/>
      <c r="Z75" s="257"/>
      <c r="AA75" s="257"/>
      <c r="AB75" s="258"/>
      <c r="AC75" s="259" t="s">
        <v>93</v>
      </c>
      <c r="AD75" s="257"/>
      <c r="AE75" s="257"/>
      <c r="AF75" s="257"/>
      <c r="AG75" s="257"/>
      <c r="AH75" s="257"/>
      <c r="AI75" s="257"/>
      <c r="AJ75" s="258"/>
      <c r="AK75" s="259" t="s">
        <v>95</v>
      </c>
      <c r="AL75" s="257"/>
      <c r="AM75" s="257"/>
      <c r="AN75" s="257"/>
      <c r="AO75" s="257"/>
      <c r="AP75" s="257"/>
      <c r="AQ75" s="257"/>
      <c r="AR75" s="258"/>
      <c r="AS75" s="259" t="s">
        <v>100</v>
      </c>
      <c r="AT75" s="257"/>
      <c r="AU75" s="260"/>
      <c r="AV75" s="78" t="s">
        <v>85</v>
      </c>
      <c r="AW75" s="256" t="s">
        <v>185</v>
      </c>
      <c r="AX75" s="257"/>
      <c r="AY75" s="257"/>
      <c r="AZ75" s="258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65">
    <mergeCell ref="A74:D74"/>
    <mergeCell ref="A76:D76"/>
    <mergeCell ref="A79:I79"/>
    <mergeCell ref="A80:H80"/>
    <mergeCell ref="AR80:BC80"/>
    <mergeCell ref="AS75:AU75"/>
    <mergeCell ref="AW75:AZ75"/>
    <mergeCell ref="AC75:AJ75"/>
    <mergeCell ref="AK75:AR75"/>
    <mergeCell ref="E75:L75"/>
    <mergeCell ref="M75:T75"/>
    <mergeCell ref="U75:AB75"/>
    <mergeCell ref="BA8:BA9"/>
    <mergeCell ref="BB8:BB9"/>
    <mergeCell ref="I9:L9"/>
    <mergeCell ref="U9:X9"/>
    <mergeCell ref="AO9:AR9"/>
    <mergeCell ref="Q9:T9"/>
    <mergeCell ref="Y8:AB8"/>
    <mergeCell ref="Y9:AB9"/>
    <mergeCell ref="AC8:AF8"/>
    <mergeCell ref="M8:P8"/>
    <mergeCell ref="Q8:T8"/>
    <mergeCell ref="M9:P9"/>
    <mergeCell ref="AC9:AF9"/>
    <mergeCell ref="AG9:AJ9"/>
    <mergeCell ref="AK8:AN8"/>
    <mergeCell ref="AK9:AN9"/>
    <mergeCell ref="AS6:AZ6"/>
    <mergeCell ref="A7:A9"/>
    <mergeCell ref="B7:B9"/>
    <mergeCell ref="C7:C8"/>
    <mergeCell ref="D7:D8"/>
    <mergeCell ref="I8:L8"/>
    <mergeCell ref="U8:X8"/>
    <mergeCell ref="AO8:AR8"/>
    <mergeCell ref="AG8:AJ8"/>
    <mergeCell ref="E8:H8"/>
    <mergeCell ref="E9:H9"/>
    <mergeCell ref="AW8:AZ8"/>
    <mergeCell ref="AW9:AZ9"/>
    <mergeCell ref="AS8:AU8"/>
    <mergeCell ref="AS9:AU9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32" priority="1" operator="lessThan">
      <formula>75</formula>
    </cfRule>
  </conditionalFormatting>
  <conditionalFormatting sqref="BC10:BC73">
    <cfRule type="cellIs" dxfId="31" priority="4" operator="lessThan">
      <formula>75</formula>
    </cfRule>
  </conditionalFormatting>
  <conditionalFormatting sqref="BC80">
    <cfRule type="cellIs" dxfId="30" priority="3" operator="lessThan">
      <formula>75</formula>
    </cfRule>
  </conditionalFormatting>
  <pageMargins left="0.11811023622047245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ED4A-AAF6-412D-977A-BED82C781E57}">
  <dimension ref="A1:BC80"/>
  <sheetViews>
    <sheetView view="pageBreakPreview" zoomScale="70" zoomScaleNormal="70" zoomScaleSheetLayoutView="7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26953125" customWidth="1"/>
    <col min="4" max="4" width="5.26953125" customWidth="1"/>
    <col min="5" max="52" width="2.7265625" customWidth="1"/>
    <col min="53" max="53" width="4.1796875" customWidth="1"/>
    <col min="54" max="54" width="4.7265625" customWidth="1"/>
    <col min="55" max="55" width="5.453125" customWidth="1"/>
  </cols>
  <sheetData>
    <row r="1" spans="1:55" ht="22.5" x14ac:dyDescent="0.35">
      <c r="A1" s="187" t="s">
        <v>190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276" t="s">
        <v>191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192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193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149999999999999" customHeight="1" thickBot="1" x14ac:dyDescent="0.4">
      <c r="A5" s="183" t="s">
        <v>2</v>
      </c>
      <c r="B5" s="184"/>
      <c r="C5" s="184"/>
      <c r="D5" s="184"/>
      <c r="E5" s="177" t="s">
        <v>194</v>
      </c>
      <c r="F5" s="177"/>
      <c r="G5" s="177"/>
      <c r="H5" s="177"/>
      <c r="I5" s="177"/>
      <c r="J5" s="177"/>
      <c r="K5" s="177"/>
      <c r="L5" s="177"/>
      <c r="M5" s="177" t="s">
        <v>195</v>
      </c>
      <c r="N5" s="177"/>
      <c r="O5" s="177"/>
      <c r="P5" s="177"/>
      <c r="Q5" s="177"/>
      <c r="R5" s="177"/>
      <c r="S5" s="177"/>
      <c r="T5" s="177"/>
      <c r="U5" s="177" t="s">
        <v>196</v>
      </c>
      <c r="V5" s="177"/>
      <c r="W5" s="177"/>
      <c r="X5" s="177"/>
      <c r="Y5" s="177"/>
      <c r="Z5" s="177"/>
      <c r="AA5" s="177"/>
      <c r="AB5" s="177"/>
      <c r="AC5" s="177" t="s">
        <v>197</v>
      </c>
      <c r="AD5" s="177"/>
      <c r="AE5" s="177"/>
      <c r="AF5" s="177"/>
      <c r="AG5" s="177"/>
      <c r="AH5" s="177"/>
      <c r="AI5" s="177"/>
      <c r="AJ5" s="177"/>
      <c r="AK5" s="177" t="s">
        <v>198</v>
      </c>
      <c r="AL5" s="177"/>
      <c r="AM5" s="177"/>
      <c r="AN5" s="177"/>
      <c r="AO5" s="177"/>
      <c r="AP5" s="177"/>
      <c r="AQ5" s="177"/>
      <c r="AR5" s="177"/>
      <c r="AS5" s="177" t="s">
        <v>199</v>
      </c>
      <c r="AT5" s="177"/>
      <c r="AU5" s="177"/>
      <c r="AV5" s="177"/>
      <c r="AW5" s="177"/>
      <c r="AX5" s="177"/>
      <c r="AY5" s="177"/>
      <c r="AZ5" s="178"/>
      <c r="BA5" s="271">
        <v>40</v>
      </c>
      <c r="BB5" s="274">
        <f>D7+BA5</f>
        <v>302</v>
      </c>
      <c r="BC5" s="275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271"/>
      <c r="BB6" s="274"/>
      <c r="BC6" s="275"/>
    </row>
    <row r="7" spans="1:55" ht="16.5" customHeight="1" thickBot="1" x14ac:dyDescent="0.4">
      <c r="A7" s="164" t="s">
        <v>12</v>
      </c>
      <c r="B7" s="167" t="s">
        <v>13</v>
      </c>
      <c r="C7" s="273" t="s">
        <v>14</v>
      </c>
      <c r="D7" s="220">
        <v>262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71"/>
      <c r="BB7" s="274"/>
      <c r="BC7" s="275"/>
    </row>
    <row r="8" spans="1:55" ht="30" customHeight="1" thickBot="1" x14ac:dyDescent="0.4">
      <c r="A8" s="165"/>
      <c r="B8" s="168"/>
      <c r="C8" s="273"/>
      <c r="D8" s="221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268" t="s">
        <v>200</v>
      </c>
      <c r="N8" s="269"/>
      <c r="O8" s="269"/>
      <c r="P8" s="269"/>
      <c r="Q8" s="269"/>
      <c r="R8" s="269"/>
      <c r="S8" s="269"/>
      <c r="T8" s="270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59" t="s">
        <v>94</v>
      </c>
      <c r="AD8" s="59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95" t="s">
        <v>106</v>
      </c>
      <c r="AL8" s="196"/>
      <c r="AM8" s="196"/>
      <c r="AN8" s="197"/>
      <c r="AO8" s="58" t="s">
        <v>101</v>
      </c>
      <c r="AP8" s="59" t="s">
        <v>91</v>
      </c>
      <c r="AQ8" s="59" t="s">
        <v>105</v>
      </c>
      <c r="AR8" s="59" t="s">
        <v>94</v>
      </c>
      <c r="AS8" s="73"/>
      <c r="AT8" s="74"/>
      <c r="AU8" s="74"/>
      <c r="AV8" s="74"/>
      <c r="AW8" s="74"/>
      <c r="AX8" s="74"/>
      <c r="AY8" s="74"/>
      <c r="AZ8" s="120"/>
      <c r="BA8" s="271" t="s">
        <v>129</v>
      </c>
      <c r="BB8" s="272" t="s">
        <v>147</v>
      </c>
      <c r="BC8" s="275"/>
    </row>
    <row r="9" spans="1:55" ht="39" customHeight="1" thickBot="1" x14ac:dyDescent="0.4">
      <c r="A9" s="166"/>
      <c r="B9" s="169"/>
      <c r="C9" s="273"/>
      <c r="D9" s="96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268" t="s">
        <v>100</v>
      </c>
      <c r="N9" s="269"/>
      <c r="O9" s="269"/>
      <c r="P9" s="269"/>
      <c r="Q9" s="269"/>
      <c r="R9" s="269"/>
      <c r="S9" s="269"/>
      <c r="T9" s="270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6" t="s">
        <v>95</v>
      </c>
      <c r="AD9" s="56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36" t="s">
        <v>83</v>
      </c>
      <c r="AL9" s="199"/>
      <c r="AM9" s="199"/>
      <c r="AN9" s="200"/>
      <c r="AO9" s="57" t="s">
        <v>92</v>
      </c>
      <c r="AP9" s="56" t="s">
        <v>83</v>
      </c>
      <c r="AQ9" s="56" t="s">
        <v>100</v>
      </c>
      <c r="AR9" s="56" t="s">
        <v>95</v>
      </c>
      <c r="AS9" s="73"/>
      <c r="AT9" s="74"/>
      <c r="AU9" s="74"/>
      <c r="AV9" s="74"/>
      <c r="AW9" s="74"/>
      <c r="AX9" s="74"/>
      <c r="AY9" s="74"/>
      <c r="AZ9" s="120"/>
      <c r="BA9" s="271"/>
      <c r="BB9" s="272"/>
      <c r="BC9" s="275"/>
    </row>
    <row r="10" spans="1:55" ht="15" customHeight="1" x14ac:dyDescent="0.35">
      <c r="A10" s="29">
        <v>820323205061</v>
      </c>
      <c r="B10" s="30" t="s">
        <v>20</v>
      </c>
      <c r="C10" s="6"/>
      <c r="D10" s="7">
        <v>246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201</v>
      </c>
      <c r="AT10" s="133"/>
      <c r="AU10" s="133"/>
      <c r="AV10" s="133"/>
      <c r="AW10" s="133"/>
      <c r="AX10" s="133"/>
      <c r="AY10" s="133"/>
      <c r="AZ10" s="134"/>
      <c r="BA10" s="37">
        <f t="shared" ref="BA10:BA37" si="5">SUM(E10:AZ10)</f>
        <v>40</v>
      </c>
      <c r="BB10" s="9">
        <f>BA10+D10+C10</f>
        <v>286</v>
      </c>
      <c r="BC10" s="10">
        <f>ROUND((BB10/BB$5)*100,0)</f>
        <v>95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208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40</v>
      </c>
      <c r="BB11" s="9">
        <f t="shared" ref="BB11:BB73" si="6">BA11+D11+C11</f>
        <v>248</v>
      </c>
      <c r="BC11" s="10">
        <f t="shared" ref="BC11:BC73" si="7">ROUND((BB11/BB$5)*100,0)</f>
        <v>82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254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 t="s">
        <v>124</v>
      </c>
      <c r="V12" s="62" t="str">
        <f t="shared" si="2"/>
        <v>a</v>
      </c>
      <c r="W12" s="62" t="str">
        <f t="shared" si="2"/>
        <v>a</v>
      </c>
      <c r="X12" s="62" t="str">
        <f t="shared" si="2"/>
        <v>a</v>
      </c>
      <c r="Y12" s="62" t="str">
        <f t="shared" si="2"/>
        <v>a</v>
      </c>
      <c r="Z12" s="62" t="str">
        <f t="shared" si="2"/>
        <v>a</v>
      </c>
      <c r="AA12" s="62" t="str">
        <f t="shared" si="2"/>
        <v>a</v>
      </c>
      <c r="AB12" s="63" t="str">
        <f t="shared" si="2"/>
        <v>a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32</v>
      </c>
      <c r="BB12" s="9">
        <f t="shared" si="6"/>
        <v>286</v>
      </c>
      <c r="BC12" s="10">
        <f t="shared" si="7"/>
        <v>95</v>
      </c>
    </row>
    <row r="13" spans="1:55" ht="15" customHeight="1" x14ac:dyDescent="0.35">
      <c r="A13" s="29">
        <v>820323205064</v>
      </c>
      <c r="B13" s="30" t="s">
        <v>23</v>
      </c>
      <c r="C13" s="123">
        <v>40</v>
      </c>
      <c r="D13" s="7">
        <v>230</v>
      </c>
      <c r="E13" s="61" t="s">
        <v>124</v>
      </c>
      <c r="F13" s="62" t="str">
        <f t="shared" si="8"/>
        <v>a</v>
      </c>
      <c r="G13" s="62" t="str">
        <f t="shared" si="8"/>
        <v>a</v>
      </c>
      <c r="H13" s="62" t="str">
        <f t="shared" si="8"/>
        <v>a</v>
      </c>
      <c r="I13" s="62" t="str">
        <f t="shared" si="8"/>
        <v>a</v>
      </c>
      <c r="J13" s="62" t="str">
        <f t="shared" si="8"/>
        <v>a</v>
      </c>
      <c r="K13" s="62" t="str">
        <f t="shared" si="8"/>
        <v>a</v>
      </c>
      <c r="L13" s="63" t="str">
        <f t="shared" si="8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0</v>
      </c>
      <c r="BB13" s="9">
        <f t="shared" si="6"/>
        <v>270</v>
      </c>
      <c r="BC13" s="10">
        <f t="shared" si="7"/>
        <v>89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222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40</v>
      </c>
      <c r="BB14" s="9">
        <f t="shared" si="6"/>
        <v>262</v>
      </c>
      <c r="BC14" s="10">
        <f t="shared" si="7"/>
        <v>87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216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 t="s">
        <v>124</v>
      </c>
      <c r="AL15" s="62" t="str">
        <f t="shared" si="4"/>
        <v>a</v>
      </c>
      <c r="AM15" s="62" t="str">
        <f t="shared" si="4"/>
        <v>a</v>
      </c>
      <c r="AN15" s="62" t="str">
        <f t="shared" si="4"/>
        <v>a</v>
      </c>
      <c r="AO15" s="62" t="str">
        <f t="shared" si="4"/>
        <v>a</v>
      </c>
      <c r="AP15" s="62" t="str">
        <f t="shared" si="4"/>
        <v>a</v>
      </c>
      <c r="AQ15" s="62" t="str">
        <f t="shared" si="4"/>
        <v>a</v>
      </c>
      <c r="AR15" s="63" t="str">
        <f t="shared" si="4"/>
        <v>a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32</v>
      </c>
      <c r="BB15" s="9">
        <f t="shared" si="6"/>
        <v>248</v>
      </c>
      <c r="BC15" s="10">
        <f t="shared" si="7"/>
        <v>82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195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40</v>
      </c>
      <c r="BB16" s="9">
        <f t="shared" si="6"/>
        <v>235</v>
      </c>
      <c r="BC16" s="10">
        <f t="shared" si="7"/>
        <v>78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256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 t="s">
        <v>124</v>
      </c>
      <c r="AL17" s="62" t="str">
        <f t="shared" si="4"/>
        <v>a</v>
      </c>
      <c r="AM17" s="62" t="str">
        <f t="shared" si="4"/>
        <v>a</v>
      </c>
      <c r="AN17" s="62" t="str">
        <f t="shared" si="4"/>
        <v>a</v>
      </c>
      <c r="AO17" s="62" t="str">
        <f t="shared" si="4"/>
        <v>a</v>
      </c>
      <c r="AP17" s="62" t="str">
        <f t="shared" si="4"/>
        <v>a</v>
      </c>
      <c r="AQ17" s="62" t="str">
        <f t="shared" si="4"/>
        <v>a</v>
      </c>
      <c r="AR17" s="63" t="str">
        <f t="shared" si="4"/>
        <v>a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32</v>
      </c>
      <c r="BB17" s="9">
        <f t="shared" si="6"/>
        <v>288</v>
      </c>
      <c r="BC17" s="10">
        <f t="shared" si="7"/>
        <v>95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220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 t="s">
        <v>124</v>
      </c>
      <c r="AL18" s="62" t="str">
        <f t="shared" si="4"/>
        <v>a</v>
      </c>
      <c r="AM18" s="62" t="str">
        <f t="shared" si="4"/>
        <v>a</v>
      </c>
      <c r="AN18" s="62" t="str">
        <f t="shared" si="4"/>
        <v>a</v>
      </c>
      <c r="AO18" s="62" t="str">
        <f t="shared" si="4"/>
        <v>a</v>
      </c>
      <c r="AP18" s="62" t="str">
        <f t="shared" si="4"/>
        <v>a</v>
      </c>
      <c r="AQ18" s="62" t="str">
        <f t="shared" si="4"/>
        <v>a</v>
      </c>
      <c r="AR18" s="63" t="str">
        <f t="shared" si="4"/>
        <v>a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24</v>
      </c>
      <c r="BB18" s="9">
        <f t="shared" si="6"/>
        <v>244</v>
      </c>
      <c r="BC18" s="10">
        <f t="shared" si="7"/>
        <v>81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220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40</v>
      </c>
      <c r="BB19" s="9">
        <f t="shared" si="6"/>
        <v>260</v>
      </c>
      <c r="BC19" s="10">
        <f t="shared" si="7"/>
        <v>86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262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40</v>
      </c>
      <c r="BB20" s="9">
        <f t="shared" si="6"/>
        <v>302</v>
      </c>
      <c r="BC20" s="10">
        <f t="shared" si="7"/>
        <v>100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250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40</v>
      </c>
      <c r="BB21" s="9">
        <f t="shared" si="6"/>
        <v>290</v>
      </c>
      <c r="BC21" s="10">
        <f t="shared" si="7"/>
        <v>96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262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302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256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296</v>
      </c>
      <c r="BC23" s="10">
        <f t="shared" si="7"/>
        <v>98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224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40</v>
      </c>
      <c r="BB24" s="9">
        <f t="shared" si="6"/>
        <v>264</v>
      </c>
      <c r="BC24" s="10">
        <f t="shared" si="7"/>
        <v>87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214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254</v>
      </c>
      <c r="BC25" s="10">
        <f t="shared" si="7"/>
        <v>84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227</v>
      </c>
      <c r="E26" s="61" t="s">
        <v>124</v>
      </c>
      <c r="F26" s="62" t="str">
        <f t="shared" si="8"/>
        <v>a</v>
      </c>
      <c r="G26" s="62" t="str">
        <f t="shared" si="8"/>
        <v>a</v>
      </c>
      <c r="H26" s="62" t="str">
        <f t="shared" si="8"/>
        <v>a</v>
      </c>
      <c r="I26" s="62" t="str">
        <f t="shared" si="8"/>
        <v>a</v>
      </c>
      <c r="J26" s="62" t="str">
        <f t="shared" si="8"/>
        <v>a</v>
      </c>
      <c r="K26" s="62" t="str">
        <f t="shared" si="8"/>
        <v>a</v>
      </c>
      <c r="L26" s="63" t="str">
        <f t="shared" si="8"/>
        <v>a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32</v>
      </c>
      <c r="BB26" s="9">
        <f t="shared" si="6"/>
        <v>259</v>
      </c>
      <c r="BC26" s="10">
        <f t="shared" si="7"/>
        <v>86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246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40</v>
      </c>
      <c r="BB27" s="9">
        <f t="shared" si="6"/>
        <v>286</v>
      </c>
      <c r="BC27" s="10">
        <f t="shared" si="7"/>
        <v>95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238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 t="s">
        <v>124</v>
      </c>
      <c r="AD28" s="62" t="str">
        <f t="shared" si="11"/>
        <v>a</v>
      </c>
      <c r="AE28" s="62" t="str">
        <f t="shared" si="11"/>
        <v>a</v>
      </c>
      <c r="AF28" s="62" t="str">
        <f t="shared" si="11"/>
        <v>a</v>
      </c>
      <c r="AG28" s="62" t="str">
        <f t="shared" si="11"/>
        <v>a</v>
      </c>
      <c r="AH28" s="62" t="str">
        <f t="shared" si="11"/>
        <v>a</v>
      </c>
      <c r="AI28" s="62" t="str">
        <f t="shared" si="11"/>
        <v>a</v>
      </c>
      <c r="AJ28" s="63" t="str">
        <f t="shared" si="11"/>
        <v>a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32</v>
      </c>
      <c r="BB28" s="9">
        <f t="shared" si="6"/>
        <v>270</v>
      </c>
      <c r="BC28" s="10">
        <f t="shared" si="7"/>
        <v>89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232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 t="s">
        <v>124</v>
      </c>
      <c r="N29" s="62" t="str">
        <f t="shared" si="9"/>
        <v>a</v>
      </c>
      <c r="O29" s="62" t="str">
        <f t="shared" si="9"/>
        <v>a</v>
      </c>
      <c r="P29" s="62" t="str">
        <f t="shared" si="9"/>
        <v>a</v>
      </c>
      <c r="Q29" s="62" t="str">
        <f t="shared" si="9"/>
        <v>a</v>
      </c>
      <c r="R29" s="62" t="str">
        <f t="shared" si="9"/>
        <v>a</v>
      </c>
      <c r="S29" s="62" t="str">
        <f t="shared" si="9"/>
        <v>a</v>
      </c>
      <c r="T29" s="63" t="str">
        <f t="shared" si="9"/>
        <v>a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 t="s">
        <v>124</v>
      </c>
      <c r="AL29" s="62" t="str">
        <f t="shared" si="12"/>
        <v>a</v>
      </c>
      <c r="AM29" s="62" t="str">
        <f t="shared" si="12"/>
        <v>a</v>
      </c>
      <c r="AN29" s="62" t="str">
        <f t="shared" si="12"/>
        <v>a</v>
      </c>
      <c r="AO29" s="62" t="str">
        <f t="shared" si="12"/>
        <v>a</v>
      </c>
      <c r="AP29" s="62" t="str">
        <f t="shared" si="12"/>
        <v>a</v>
      </c>
      <c r="AQ29" s="62" t="str">
        <f t="shared" si="12"/>
        <v>a</v>
      </c>
      <c r="AR29" s="63" t="str">
        <f t="shared" si="12"/>
        <v>a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24</v>
      </c>
      <c r="BB29" s="9">
        <f t="shared" si="6"/>
        <v>256</v>
      </c>
      <c r="BC29" s="10">
        <f t="shared" si="7"/>
        <v>85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248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40</v>
      </c>
      <c r="BB30" s="9">
        <f t="shared" si="6"/>
        <v>288</v>
      </c>
      <c r="BC30" s="10">
        <f t="shared" si="7"/>
        <v>95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238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40</v>
      </c>
      <c r="BB31" s="9">
        <f t="shared" si="6"/>
        <v>278</v>
      </c>
      <c r="BC31" s="10">
        <f t="shared" si="7"/>
        <v>92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229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40</v>
      </c>
      <c r="BB32" s="9">
        <f t="shared" si="6"/>
        <v>269</v>
      </c>
      <c r="BC32" s="10">
        <f t="shared" si="7"/>
        <v>89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240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40</v>
      </c>
      <c r="BB33" s="9">
        <f t="shared" si="6"/>
        <v>280</v>
      </c>
      <c r="BC33" s="10">
        <f t="shared" si="7"/>
        <v>93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207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40</v>
      </c>
      <c r="BB34" s="9">
        <f t="shared" si="6"/>
        <v>247</v>
      </c>
      <c r="BC34" s="10">
        <f t="shared" si="7"/>
        <v>82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262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302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209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40</v>
      </c>
      <c r="BB36" s="9">
        <f t="shared" si="6"/>
        <v>249</v>
      </c>
      <c r="BC36" s="10">
        <f t="shared" si="7"/>
        <v>82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262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302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214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40</v>
      </c>
      <c r="BB38" s="9">
        <f t="shared" si="6"/>
        <v>254</v>
      </c>
      <c r="BC38" s="10">
        <f t="shared" si="7"/>
        <v>84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230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 t="s">
        <v>124</v>
      </c>
      <c r="V39" s="62" t="str">
        <f t="shared" si="10"/>
        <v>a</v>
      </c>
      <c r="W39" s="62" t="str">
        <f t="shared" si="10"/>
        <v>a</v>
      </c>
      <c r="X39" s="62" t="str">
        <f t="shared" si="10"/>
        <v>a</v>
      </c>
      <c r="Y39" s="62" t="str">
        <f t="shared" si="10"/>
        <v>a</v>
      </c>
      <c r="Z39" s="62" t="str">
        <f t="shared" si="10"/>
        <v>a</v>
      </c>
      <c r="AA39" s="62" t="str">
        <f t="shared" si="10"/>
        <v>a</v>
      </c>
      <c r="AB39" s="63" t="str">
        <f t="shared" si="10"/>
        <v>a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32</v>
      </c>
      <c r="BB39" s="9">
        <f t="shared" si="6"/>
        <v>262</v>
      </c>
      <c r="BC39" s="10">
        <f t="shared" si="7"/>
        <v>87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224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 t="s">
        <v>124</v>
      </c>
      <c r="N40" s="62" t="str">
        <f t="shared" si="9"/>
        <v>a</v>
      </c>
      <c r="O40" s="62" t="str">
        <f t="shared" si="9"/>
        <v>a</v>
      </c>
      <c r="P40" s="62" t="str">
        <f t="shared" si="9"/>
        <v>a</v>
      </c>
      <c r="Q40" s="62" t="str">
        <f t="shared" si="9"/>
        <v>a</v>
      </c>
      <c r="R40" s="62" t="str">
        <f t="shared" si="9"/>
        <v>a</v>
      </c>
      <c r="S40" s="62" t="str">
        <f t="shared" si="9"/>
        <v>a</v>
      </c>
      <c r="T40" s="63" t="str">
        <f t="shared" si="9"/>
        <v>a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24</v>
      </c>
      <c r="BB40" s="9">
        <f t="shared" si="6"/>
        <v>248</v>
      </c>
      <c r="BC40" s="10">
        <f t="shared" si="7"/>
        <v>82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238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32</v>
      </c>
      <c r="BB41" s="9">
        <f t="shared" si="6"/>
        <v>270</v>
      </c>
      <c r="BC41" s="10">
        <f t="shared" si="7"/>
        <v>89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245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40</v>
      </c>
      <c r="BB42" s="9">
        <f t="shared" si="6"/>
        <v>285</v>
      </c>
      <c r="BC42" s="10">
        <f t="shared" si="7"/>
        <v>94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213</v>
      </c>
      <c r="E43" s="61" t="s">
        <v>124</v>
      </c>
      <c r="F43" s="62" t="str">
        <f t="shared" si="13"/>
        <v>a</v>
      </c>
      <c r="G43" s="62" t="str">
        <f t="shared" si="13"/>
        <v>a</v>
      </c>
      <c r="H43" s="62" t="str">
        <f t="shared" si="13"/>
        <v>a</v>
      </c>
      <c r="I43" s="62" t="str">
        <f t="shared" si="13"/>
        <v>a</v>
      </c>
      <c r="J43" s="62" t="str">
        <f t="shared" si="13"/>
        <v>a</v>
      </c>
      <c r="K43" s="62" t="str">
        <f t="shared" si="13"/>
        <v>a</v>
      </c>
      <c r="L43" s="63" t="str">
        <f t="shared" si="13"/>
        <v>a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32</v>
      </c>
      <c r="BB43" s="9">
        <f t="shared" si="6"/>
        <v>245</v>
      </c>
      <c r="BC43" s="10">
        <f t="shared" si="7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200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240</v>
      </c>
      <c r="BC44" s="10">
        <f t="shared" si="7"/>
        <v>79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238</v>
      </c>
      <c r="E45" s="61" t="s">
        <v>124</v>
      </c>
      <c r="F45" s="62" t="str">
        <f t="shared" si="19"/>
        <v>a</v>
      </c>
      <c r="G45" s="62" t="str">
        <f t="shared" si="19"/>
        <v>a</v>
      </c>
      <c r="H45" s="62" t="str">
        <f t="shared" si="19"/>
        <v>a</v>
      </c>
      <c r="I45" s="62" t="str">
        <f t="shared" si="19"/>
        <v>a</v>
      </c>
      <c r="J45" s="62" t="str">
        <f t="shared" si="19"/>
        <v>a</v>
      </c>
      <c r="K45" s="62" t="str">
        <f t="shared" si="19"/>
        <v>a</v>
      </c>
      <c r="L45" s="63" t="str">
        <f t="shared" si="19"/>
        <v>a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32</v>
      </c>
      <c r="BB45" s="9">
        <f t="shared" si="6"/>
        <v>270</v>
      </c>
      <c r="BC45" s="10">
        <f t="shared" si="7"/>
        <v>89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232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40</v>
      </c>
      <c r="BB46" s="9">
        <f t="shared" si="6"/>
        <v>272</v>
      </c>
      <c r="BC46" s="10">
        <f t="shared" si="7"/>
        <v>90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232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 t="s">
        <v>124</v>
      </c>
      <c r="V47" s="62" t="str">
        <f t="shared" si="16"/>
        <v>a</v>
      </c>
      <c r="W47" s="62" t="str">
        <f t="shared" si="16"/>
        <v>a</v>
      </c>
      <c r="X47" s="62" t="str">
        <f t="shared" si="16"/>
        <v>a</v>
      </c>
      <c r="Y47" s="62" t="str">
        <f t="shared" si="16"/>
        <v>a</v>
      </c>
      <c r="Z47" s="62" t="str">
        <f t="shared" si="16"/>
        <v>a</v>
      </c>
      <c r="AA47" s="62" t="str">
        <f t="shared" si="16"/>
        <v>a</v>
      </c>
      <c r="AB47" s="63" t="str">
        <f t="shared" si="16"/>
        <v>a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32</v>
      </c>
      <c r="BB47" s="9">
        <f t="shared" si="6"/>
        <v>264</v>
      </c>
      <c r="BC47" s="10">
        <f t="shared" si="7"/>
        <v>87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218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 t="s">
        <v>124</v>
      </c>
      <c r="AL48" s="62" t="str">
        <f t="shared" si="18"/>
        <v>a</v>
      </c>
      <c r="AM48" s="62" t="str">
        <f t="shared" si="18"/>
        <v>a</v>
      </c>
      <c r="AN48" s="62" t="str">
        <f t="shared" si="18"/>
        <v>a</v>
      </c>
      <c r="AO48" s="62" t="str">
        <f t="shared" si="18"/>
        <v>a</v>
      </c>
      <c r="AP48" s="62" t="str">
        <f t="shared" si="18"/>
        <v>a</v>
      </c>
      <c r="AQ48" s="62" t="str">
        <f t="shared" si="18"/>
        <v>a</v>
      </c>
      <c r="AR48" s="63" t="str">
        <f t="shared" si="18"/>
        <v>a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32</v>
      </c>
      <c r="BB48" s="9">
        <f t="shared" si="6"/>
        <v>250</v>
      </c>
      <c r="BC48" s="10">
        <f t="shared" si="7"/>
        <v>83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246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286</v>
      </c>
      <c r="BC49" s="10">
        <f t="shared" si="7"/>
        <v>95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248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40</v>
      </c>
      <c r="BB50" s="9">
        <f t="shared" si="6"/>
        <v>288</v>
      </c>
      <c r="BC50" s="10">
        <f t="shared" si="7"/>
        <v>95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232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272</v>
      </c>
      <c r="BC51" s="10">
        <f t="shared" si="7"/>
        <v>90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244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40</v>
      </c>
      <c r="BB52" s="9">
        <f t="shared" si="6"/>
        <v>284</v>
      </c>
      <c r="BC52" s="10">
        <f t="shared" si="7"/>
        <v>94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246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 t="s">
        <v>124</v>
      </c>
      <c r="V53" s="62" t="str">
        <f t="shared" si="16"/>
        <v>a</v>
      </c>
      <c r="W53" s="62" t="str">
        <f t="shared" si="16"/>
        <v>a</v>
      </c>
      <c r="X53" s="62" t="str">
        <f t="shared" si="16"/>
        <v>a</v>
      </c>
      <c r="Y53" s="62" t="str">
        <f t="shared" si="16"/>
        <v>a</v>
      </c>
      <c r="Z53" s="62" t="str">
        <f t="shared" si="16"/>
        <v>a</v>
      </c>
      <c r="AA53" s="62" t="str">
        <f t="shared" si="16"/>
        <v>a</v>
      </c>
      <c r="AB53" s="63" t="str">
        <f t="shared" si="16"/>
        <v>a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32</v>
      </c>
      <c r="BB53" s="9">
        <f t="shared" si="6"/>
        <v>278</v>
      </c>
      <c r="BC53" s="10">
        <f t="shared" si="7"/>
        <v>92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232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 t="s">
        <v>124</v>
      </c>
      <c r="N54" s="62" t="str">
        <f t="shared" si="15"/>
        <v>a</v>
      </c>
      <c r="O54" s="62" t="str">
        <f t="shared" si="15"/>
        <v>a</v>
      </c>
      <c r="P54" s="62" t="str">
        <f t="shared" si="15"/>
        <v>a</v>
      </c>
      <c r="Q54" s="62" t="str">
        <f t="shared" si="15"/>
        <v>a</v>
      </c>
      <c r="R54" s="62" t="str">
        <f t="shared" si="15"/>
        <v>a</v>
      </c>
      <c r="S54" s="62" t="str">
        <f t="shared" si="15"/>
        <v>a</v>
      </c>
      <c r="T54" s="63" t="str">
        <f t="shared" si="15"/>
        <v>a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32</v>
      </c>
      <c r="BB54" s="9">
        <f t="shared" si="6"/>
        <v>264</v>
      </c>
      <c r="BC54" s="10">
        <f t="shared" si="7"/>
        <v>87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238</v>
      </c>
      <c r="E55" s="61" t="s">
        <v>124</v>
      </c>
      <c r="F55" s="62" t="str">
        <f t="shared" si="19"/>
        <v>a</v>
      </c>
      <c r="G55" s="62" t="str">
        <f t="shared" si="19"/>
        <v>a</v>
      </c>
      <c r="H55" s="62" t="str">
        <f t="shared" si="19"/>
        <v>a</v>
      </c>
      <c r="I55" s="62" t="str">
        <f t="shared" si="19"/>
        <v>a</v>
      </c>
      <c r="J55" s="62" t="str">
        <f t="shared" si="19"/>
        <v>a</v>
      </c>
      <c r="K55" s="62" t="str">
        <f t="shared" si="19"/>
        <v>a</v>
      </c>
      <c r="L55" s="63" t="str">
        <f t="shared" si="19"/>
        <v>a</v>
      </c>
      <c r="M55" s="61" t="s">
        <v>124</v>
      </c>
      <c r="N55" s="62" t="str">
        <f t="shared" si="15"/>
        <v>a</v>
      </c>
      <c r="O55" s="62" t="str">
        <f t="shared" si="15"/>
        <v>a</v>
      </c>
      <c r="P55" s="62" t="str">
        <f t="shared" si="15"/>
        <v>a</v>
      </c>
      <c r="Q55" s="62" t="str">
        <f t="shared" si="15"/>
        <v>a</v>
      </c>
      <c r="R55" s="62" t="str">
        <f t="shared" si="15"/>
        <v>a</v>
      </c>
      <c r="S55" s="62" t="str">
        <f t="shared" si="15"/>
        <v>a</v>
      </c>
      <c r="T55" s="63" t="str">
        <f t="shared" si="15"/>
        <v>a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16</v>
      </c>
      <c r="BB55" s="9">
        <f t="shared" si="6"/>
        <v>254</v>
      </c>
      <c r="BC55" s="10">
        <f t="shared" si="7"/>
        <v>84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246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40</v>
      </c>
      <c r="BB56" s="9">
        <f t="shared" si="6"/>
        <v>286</v>
      </c>
      <c r="BC56" s="10">
        <f t="shared" si="7"/>
        <v>95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222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40</v>
      </c>
      <c r="BB57" s="9">
        <f t="shared" si="6"/>
        <v>262</v>
      </c>
      <c r="BC57" s="10">
        <f t="shared" si="7"/>
        <v>87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246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40</v>
      </c>
      <c r="BB58" s="9">
        <f t="shared" si="6"/>
        <v>286</v>
      </c>
      <c r="BC58" s="10">
        <f t="shared" si="7"/>
        <v>95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246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40</v>
      </c>
      <c r="BB59" s="9">
        <f t="shared" si="6"/>
        <v>286</v>
      </c>
      <c r="BC59" s="10">
        <f t="shared" si="7"/>
        <v>95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202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 t="s">
        <v>124</v>
      </c>
      <c r="V60" s="62" t="str">
        <f t="shared" si="21"/>
        <v>a</v>
      </c>
      <c r="W60" s="62" t="str">
        <f t="shared" si="21"/>
        <v>a</v>
      </c>
      <c r="X60" s="62" t="str">
        <f t="shared" si="21"/>
        <v>a</v>
      </c>
      <c r="Y60" s="62" t="str">
        <f t="shared" si="21"/>
        <v>a</v>
      </c>
      <c r="Z60" s="62" t="str">
        <f t="shared" si="21"/>
        <v>a</v>
      </c>
      <c r="AA60" s="62" t="str">
        <f t="shared" si="21"/>
        <v>a</v>
      </c>
      <c r="AB60" s="63" t="str">
        <f t="shared" si="21"/>
        <v>a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24</v>
      </c>
      <c r="BB60" s="9">
        <f t="shared" si="6"/>
        <v>226</v>
      </c>
      <c r="BC60" s="10">
        <f t="shared" si="7"/>
        <v>75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246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40</v>
      </c>
      <c r="BB61" s="9">
        <f t="shared" si="6"/>
        <v>286</v>
      </c>
      <c r="BC61" s="10">
        <f t="shared" si="7"/>
        <v>95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180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 t="s">
        <v>124</v>
      </c>
      <c r="V62" s="62" t="str">
        <f t="shared" si="21"/>
        <v>a</v>
      </c>
      <c r="W62" s="62" t="str">
        <f t="shared" si="21"/>
        <v>a</v>
      </c>
      <c r="X62" s="62" t="str">
        <f t="shared" si="21"/>
        <v>a</v>
      </c>
      <c r="Y62" s="62" t="str">
        <f t="shared" si="21"/>
        <v>a</v>
      </c>
      <c r="Z62" s="62" t="str">
        <f t="shared" si="21"/>
        <v>a</v>
      </c>
      <c r="AA62" s="62" t="str">
        <f t="shared" si="21"/>
        <v>a</v>
      </c>
      <c r="AB62" s="63" t="str">
        <f t="shared" si="21"/>
        <v>a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32</v>
      </c>
      <c r="BB62" s="9">
        <f t="shared" si="6"/>
        <v>212</v>
      </c>
      <c r="BC62" s="10">
        <f t="shared" si="7"/>
        <v>70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199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40</v>
      </c>
      <c r="BB63" s="9">
        <f t="shared" si="6"/>
        <v>239</v>
      </c>
      <c r="BC63" s="10">
        <f t="shared" si="7"/>
        <v>79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220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40</v>
      </c>
      <c r="BB64" s="9">
        <f t="shared" si="6"/>
        <v>260</v>
      </c>
      <c r="BC64" s="10">
        <f t="shared" si="7"/>
        <v>86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216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40</v>
      </c>
      <c r="BB65" s="9">
        <f t="shared" si="6"/>
        <v>256</v>
      </c>
      <c r="BC65" s="10">
        <f t="shared" si="7"/>
        <v>85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254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40</v>
      </c>
      <c r="BB66" s="9">
        <f t="shared" si="6"/>
        <v>294</v>
      </c>
      <c r="BC66" s="10">
        <f t="shared" si="7"/>
        <v>97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206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40</v>
      </c>
      <c r="BB67" s="9">
        <f t="shared" si="6"/>
        <v>246</v>
      </c>
      <c r="BC67" s="10">
        <f t="shared" si="7"/>
        <v>81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230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 t="s">
        <v>124</v>
      </c>
      <c r="AL68" s="62" t="str">
        <f t="shared" si="23"/>
        <v>a</v>
      </c>
      <c r="AM68" s="62" t="str">
        <f t="shared" si="23"/>
        <v>a</v>
      </c>
      <c r="AN68" s="62" t="str">
        <f t="shared" si="23"/>
        <v>a</v>
      </c>
      <c r="AO68" s="62" t="str">
        <f t="shared" si="23"/>
        <v>a</v>
      </c>
      <c r="AP68" s="62" t="str">
        <f t="shared" si="23"/>
        <v>a</v>
      </c>
      <c r="AQ68" s="62" t="str">
        <f t="shared" si="23"/>
        <v>a</v>
      </c>
      <c r="AR68" s="63" t="str">
        <f t="shared" si="23"/>
        <v>a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32</v>
      </c>
      <c r="BB68" s="9">
        <f t="shared" si="6"/>
        <v>262</v>
      </c>
      <c r="BC68" s="10">
        <f t="shared" si="7"/>
        <v>87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251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291</v>
      </c>
      <c r="BC69" s="10">
        <f t="shared" si="7"/>
        <v>96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194</v>
      </c>
      <c r="E70" s="61" t="s">
        <v>124</v>
      </c>
      <c r="F70" s="62" t="str">
        <f t="shared" si="24"/>
        <v>a</v>
      </c>
      <c r="G70" s="62" t="str">
        <f t="shared" si="24"/>
        <v>a</v>
      </c>
      <c r="H70" s="62" t="str">
        <f t="shared" si="24"/>
        <v>a</v>
      </c>
      <c r="I70" s="62" t="str">
        <f t="shared" si="24"/>
        <v>a</v>
      </c>
      <c r="J70" s="62" t="str">
        <f t="shared" si="24"/>
        <v>a</v>
      </c>
      <c r="K70" s="62" t="str">
        <f t="shared" si="24"/>
        <v>a</v>
      </c>
      <c r="L70" s="63" t="str">
        <f t="shared" si="24"/>
        <v>a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32</v>
      </c>
      <c r="BB70" s="9">
        <f t="shared" si="6"/>
        <v>226</v>
      </c>
      <c r="BC70" s="10">
        <f t="shared" si="7"/>
        <v>75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222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40</v>
      </c>
      <c r="BB71" s="9">
        <f t="shared" si="6"/>
        <v>262</v>
      </c>
      <c r="BC71" s="10">
        <f t="shared" si="7"/>
        <v>87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208</v>
      </c>
      <c r="E72" s="61" t="s">
        <v>124</v>
      </c>
      <c r="F72" s="62" t="str">
        <f t="shared" si="24"/>
        <v>a</v>
      </c>
      <c r="G72" s="62" t="str">
        <f t="shared" si="24"/>
        <v>a</v>
      </c>
      <c r="H72" s="62" t="str">
        <f t="shared" si="24"/>
        <v>a</v>
      </c>
      <c r="I72" s="62" t="str">
        <f t="shared" si="24"/>
        <v>a</v>
      </c>
      <c r="J72" s="62" t="str">
        <f t="shared" si="24"/>
        <v>a</v>
      </c>
      <c r="K72" s="62" t="str">
        <f t="shared" si="24"/>
        <v>a</v>
      </c>
      <c r="L72" s="63" t="str">
        <f t="shared" si="24"/>
        <v>a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 t="s">
        <v>124</v>
      </c>
      <c r="AL72" s="62" t="str">
        <f t="shared" si="23"/>
        <v>a</v>
      </c>
      <c r="AM72" s="62" t="str">
        <f t="shared" si="23"/>
        <v>a</v>
      </c>
      <c r="AN72" s="62" t="str">
        <f t="shared" si="23"/>
        <v>a</v>
      </c>
      <c r="AO72" s="62" t="str">
        <f t="shared" si="23"/>
        <v>a</v>
      </c>
      <c r="AP72" s="62" t="str">
        <f t="shared" si="23"/>
        <v>a</v>
      </c>
      <c r="AQ72" s="62" t="str">
        <f t="shared" si="23"/>
        <v>a</v>
      </c>
      <c r="AR72" s="63" t="str">
        <f t="shared" si="23"/>
        <v>a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24</v>
      </c>
      <c r="BB72" s="9">
        <f t="shared" si="6"/>
        <v>232</v>
      </c>
      <c r="BC72" s="10">
        <f t="shared" si="7"/>
        <v>77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250</v>
      </c>
      <c r="E73" s="61" t="s">
        <v>124</v>
      </c>
      <c r="F73" s="62" t="str">
        <f t="shared" si="24"/>
        <v>a</v>
      </c>
      <c r="G73" s="62" t="str">
        <f t="shared" si="24"/>
        <v>a</v>
      </c>
      <c r="H73" s="62" t="str">
        <f t="shared" si="24"/>
        <v>a</v>
      </c>
      <c r="I73" s="62" t="str">
        <f t="shared" si="24"/>
        <v>a</v>
      </c>
      <c r="J73" s="62" t="str">
        <f t="shared" si="24"/>
        <v>a</v>
      </c>
      <c r="K73" s="62" t="str">
        <f t="shared" si="24"/>
        <v>a</v>
      </c>
      <c r="L73" s="63" t="str">
        <f t="shared" si="24"/>
        <v>a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32</v>
      </c>
      <c r="BB73" s="9">
        <f t="shared" si="6"/>
        <v>282</v>
      </c>
      <c r="BC73" s="10">
        <f t="shared" si="7"/>
        <v>93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10</v>
      </c>
      <c r="F74" s="50">
        <f t="shared" ref="F74:AR74" si="25">COUNTIF(F10:F73,"a")</f>
        <v>10</v>
      </c>
      <c r="G74" s="50">
        <f t="shared" si="25"/>
        <v>10</v>
      </c>
      <c r="H74" s="50">
        <f t="shared" si="25"/>
        <v>10</v>
      </c>
      <c r="I74" s="50">
        <f t="shared" si="25"/>
        <v>10</v>
      </c>
      <c r="J74" s="50">
        <f t="shared" si="25"/>
        <v>10</v>
      </c>
      <c r="K74" s="50">
        <f t="shared" si="25"/>
        <v>10</v>
      </c>
      <c r="L74" s="50">
        <f t="shared" si="25"/>
        <v>10</v>
      </c>
      <c r="M74" s="50">
        <f t="shared" si="25"/>
        <v>6</v>
      </c>
      <c r="N74" s="50">
        <f t="shared" si="25"/>
        <v>6</v>
      </c>
      <c r="O74" s="50">
        <f t="shared" si="25"/>
        <v>6</v>
      </c>
      <c r="P74" s="50">
        <f t="shared" si="25"/>
        <v>6</v>
      </c>
      <c r="Q74" s="50">
        <f t="shared" si="25"/>
        <v>6</v>
      </c>
      <c r="R74" s="50">
        <f t="shared" si="25"/>
        <v>6</v>
      </c>
      <c r="S74" s="50">
        <f t="shared" si="25"/>
        <v>6</v>
      </c>
      <c r="T74" s="50">
        <f t="shared" si="25"/>
        <v>6</v>
      </c>
      <c r="U74" s="50">
        <f t="shared" si="25"/>
        <v>9</v>
      </c>
      <c r="V74" s="50">
        <f t="shared" si="25"/>
        <v>9</v>
      </c>
      <c r="W74" s="50">
        <f t="shared" si="25"/>
        <v>9</v>
      </c>
      <c r="X74" s="50">
        <f t="shared" si="25"/>
        <v>9</v>
      </c>
      <c r="Y74" s="50">
        <f t="shared" si="25"/>
        <v>9</v>
      </c>
      <c r="Z74" s="50">
        <f t="shared" si="25"/>
        <v>9</v>
      </c>
      <c r="AA74" s="50">
        <f t="shared" si="25"/>
        <v>9</v>
      </c>
      <c r="AB74" s="50">
        <f t="shared" si="25"/>
        <v>9</v>
      </c>
      <c r="AC74" s="50">
        <f t="shared" si="25"/>
        <v>2</v>
      </c>
      <c r="AD74" s="50">
        <f t="shared" si="25"/>
        <v>2</v>
      </c>
      <c r="AE74" s="50">
        <f t="shared" si="25"/>
        <v>2</v>
      </c>
      <c r="AF74" s="50">
        <f t="shared" si="25"/>
        <v>2</v>
      </c>
      <c r="AG74" s="50">
        <f t="shared" si="25"/>
        <v>2</v>
      </c>
      <c r="AH74" s="50">
        <f t="shared" si="25"/>
        <v>2</v>
      </c>
      <c r="AI74" s="50">
        <f t="shared" si="25"/>
        <v>2</v>
      </c>
      <c r="AJ74" s="50">
        <f t="shared" si="25"/>
        <v>2</v>
      </c>
      <c r="AK74" s="50">
        <f t="shared" si="25"/>
        <v>8</v>
      </c>
      <c r="AL74" s="50">
        <f t="shared" si="25"/>
        <v>8</v>
      </c>
      <c r="AM74" s="50">
        <f t="shared" si="25"/>
        <v>8</v>
      </c>
      <c r="AN74" s="50">
        <f t="shared" si="25"/>
        <v>8</v>
      </c>
      <c r="AO74" s="50">
        <f t="shared" si="25"/>
        <v>8</v>
      </c>
      <c r="AP74" s="50">
        <f t="shared" si="25"/>
        <v>8</v>
      </c>
      <c r="AQ74" s="50">
        <f t="shared" si="25"/>
        <v>8</v>
      </c>
      <c r="AR74" s="50">
        <f t="shared" si="25"/>
        <v>8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26.5" customHeight="1" thickBot="1" x14ac:dyDescent="0.4">
      <c r="A75" s="88"/>
      <c r="B75" s="89"/>
      <c r="C75" s="89"/>
      <c r="D75" s="89"/>
      <c r="E75" s="77" t="s">
        <v>83</v>
      </c>
      <c r="F75" s="78" t="s">
        <v>93</v>
      </c>
      <c r="G75" s="78" t="s">
        <v>95</v>
      </c>
      <c r="H75" s="78" t="s">
        <v>85</v>
      </c>
      <c r="I75" s="204" t="s">
        <v>98</v>
      </c>
      <c r="J75" s="205"/>
      <c r="K75" s="205"/>
      <c r="L75" s="206"/>
      <c r="M75" s="268" t="s">
        <v>100</v>
      </c>
      <c r="N75" s="269"/>
      <c r="O75" s="269"/>
      <c r="P75" s="269"/>
      <c r="Q75" s="269"/>
      <c r="R75" s="269"/>
      <c r="S75" s="269"/>
      <c r="T75" s="270"/>
      <c r="U75" s="129" t="s">
        <v>108</v>
      </c>
      <c r="V75" s="130"/>
      <c r="W75" s="130"/>
      <c r="X75" s="131"/>
      <c r="Y75" s="56" t="s">
        <v>93</v>
      </c>
      <c r="Z75" s="56" t="s">
        <v>83</v>
      </c>
      <c r="AA75" s="56" t="s">
        <v>85</v>
      </c>
      <c r="AB75" s="79" t="s">
        <v>92</v>
      </c>
      <c r="AC75" s="56" t="s">
        <v>95</v>
      </c>
      <c r="AD75" s="56" t="s">
        <v>85</v>
      </c>
      <c r="AE75" s="56" t="s">
        <v>83</v>
      </c>
      <c r="AF75" s="56" t="s">
        <v>93</v>
      </c>
      <c r="AG75" s="56" t="s">
        <v>83</v>
      </c>
      <c r="AH75" s="56" t="s">
        <v>104</v>
      </c>
      <c r="AI75" s="56" t="s">
        <v>92</v>
      </c>
      <c r="AJ75" s="79" t="s">
        <v>95</v>
      </c>
      <c r="AK75" s="236" t="s">
        <v>83</v>
      </c>
      <c r="AL75" s="199"/>
      <c r="AM75" s="199"/>
      <c r="AN75" s="200"/>
      <c r="AO75" s="57" t="s">
        <v>92</v>
      </c>
      <c r="AP75" s="56" t="s">
        <v>83</v>
      </c>
      <c r="AQ75" s="56" t="s">
        <v>100</v>
      </c>
      <c r="AR75" s="56" t="s">
        <v>95</v>
      </c>
      <c r="AS75" s="99"/>
      <c r="AT75" s="99"/>
      <c r="AU75" s="99"/>
      <c r="AV75" s="99"/>
      <c r="AW75" s="99"/>
      <c r="AX75" s="99"/>
      <c r="AY75" s="99"/>
      <c r="AZ75" s="124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95"/>
      <c r="J76" s="196"/>
      <c r="K76" s="196"/>
      <c r="L76" s="264"/>
      <c r="M76" s="265"/>
      <c r="N76" s="266"/>
      <c r="O76" s="266"/>
      <c r="P76" s="266"/>
      <c r="Q76" s="266"/>
      <c r="R76" s="266"/>
      <c r="S76" s="266"/>
      <c r="T76" s="267"/>
      <c r="U76" s="195"/>
      <c r="V76" s="196"/>
      <c r="W76" s="196"/>
      <c r="X76" s="264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95"/>
      <c r="AL76" s="196"/>
      <c r="AM76" s="196"/>
      <c r="AN76" s="264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2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9"/>
    <mergeCell ref="D7:D8"/>
    <mergeCell ref="I8:L8"/>
    <mergeCell ref="M8:T8"/>
    <mergeCell ref="U8:X8"/>
    <mergeCell ref="AK8:AN8"/>
    <mergeCell ref="BA8:BA9"/>
    <mergeCell ref="BB8:BB9"/>
    <mergeCell ref="I9:L9"/>
    <mergeCell ref="M9:T9"/>
    <mergeCell ref="U9:X9"/>
    <mergeCell ref="AK9:AN9"/>
    <mergeCell ref="AS10:AZ42"/>
    <mergeCell ref="AS43:AZ73"/>
    <mergeCell ref="A74:D74"/>
    <mergeCell ref="I75:L75"/>
    <mergeCell ref="M75:T75"/>
    <mergeCell ref="U75:X75"/>
    <mergeCell ref="AK75:AN75"/>
    <mergeCell ref="A80:H80"/>
    <mergeCell ref="AR80:BC80"/>
    <mergeCell ref="A76:D76"/>
    <mergeCell ref="I76:L76"/>
    <mergeCell ref="M76:T76"/>
    <mergeCell ref="U76:X76"/>
    <mergeCell ref="AK76:AN76"/>
    <mergeCell ref="A79:I79"/>
  </mergeCells>
  <conditionalFormatting sqref="BC1:BC73">
    <cfRule type="cellIs" dxfId="29" priority="1" operator="lessThan">
      <formula>75</formula>
    </cfRule>
  </conditionalFormatting>
  <conditionalFormatting sqref="BC10:BC73">
    <cfRule type="cellIs" dxfId="28" priority="3" operator="lessThan">
      <formula>75</formula>
    </cfRule>
  </conditionalFormatting>
  <conditionalFormatting sqref="BC80">
    <cfRule type="cellIs" dxfId="27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0C62-44A0-425B-99ED-E3FAE984EFC2}">
  <dimension ref="A1:BC80"/>
  <sheetViews>
    <sheetView view="pageBreakPreview" topLeftCell="A2" zoomScale="70" zoomScaleNormal="70" zoomScaleSheetLayoutView="70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202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203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204</v>
      </c>
      <c r="F5" s="177"/>
      <c r="G5" s="177"/>
      <c r="H5" s="177"/>
      <c r="I5" s="177"/>
      <c r="J5" s="177"/>
      <c r="K5" s="177"/>
      <c r="L5" s="177"/>
      <c r="M5" s="177" t="s">
        <v>205</v>
      </c>
      <c r="N5" s="177"/>
      <c r="O5" s="177"/>
      <c r="P5" s="177"/>
      <c r="Q5" s="177"/>
      <c r="R5" s="177"/>
      <c r="S5" s="177"/>
      <c r="T5" s="177"/>
      <c r="U5" s="177" t="s">
        <v>206</v>
      </c>
      <c r="V5" s="177"/>
      <c r="W5" s="177"/>
      <c r="X5" s="177"/>
      <c r="Y5" s="177"/>
      <c r="Z5" s="177"/>
      <c r="AA5" s="177"/>
      <c r="AB5" s="177"/>
      <c r="AC5" s="177" t="s">
        <v>207</v>
      </c>
      <c r="AD5" s="177"/>
      <c r="AE5" s="177"/>
      <c r="AF5" s="177"/>
      <c r="AG5" s="177"/>
      <c r="AH5" s="177"/>
      <c r="AI5" s="177"/>
      <c r="AJ5" s="177"/>
      <c r="AK5" s="177" t="s">
        <v>208</v>
      </c>
      <c r="AL5" s="177"/>
      <c r="AM5" s="177"/>
      <c r="AN5" s="177"/>
      <c r="AO5" s="177"/>
      <c r="AP5" s="177"/>
      <c r="AQ5" s="177"/>
      <c r="AR5" s="177"/>
      <c r="AS5" s="177" t="s">
        <v>209</v>
      </c>
      <c r="AT5" s="177"/>
      <c r="AU5" s="177"/>
      <c r="AV5" s="177"/>
      <c r="AW5" s="177"/>
      <c r="AX5" s="177"/>
      <c r="AY5" s="177"/>
      <c r="AZ5" s="177"/>
      <c r="BA5" s="157">
        <v>40</v>
      </c>
      <c r="BB5" s="179">
        <f>D7+BA5</f>
        <v>342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54">
        <v>302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181"/>
      <c r="BC7" s="182"/>
    </row>
    <row r="8" spans="1:55" ht="30" customHeight="1" thickBot="1" x14ac:dyDescent="0.4">
      <c r="A8" s="165"/>
      <c r="B8" s="168"/>
      <c r="C8" s="171"/>
      <c r="D8" s="255"/>
      <c r="E8" s="95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95" t="s">
        <v>94</v>
      </c>
      <c r="N8" s="122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277" t="s">
        <v>200</v>
      </c>
      <c r="V8" s="278"/>
      <c r="W8" s="278"/>
      <c r="X8" s="278"/>
      <c r="Y8" s="278"/>
      <c r="Z8" s="278"/>
      <c r="AA8" s="278"/>
      <c r="AB8" s="279"/>
      <c r="AC8" s="59" t="s">
        <v>94</v>
      </c>
      <c r="AD8" s="59" t="s">
        <v>91</v>
      </c>
      <c r="AE8" s="59" t="s">
        <v>94</v>
      </c>
      <c r="AF8" s="59" t="s">
        <v>96</v>
      </c>
      <c r="AG8" s="59" t="s">
        <v>101</v>
      </c>
      <c r="AH8" s="59" t="s">
        <v>99</v>
      </c>
      <c r="AI8" s="59" t="s">
        <v>91</v>
      </c>
      <c r="AJ8" s="59" t="s">
        <v>92</v>
      </c>
      <c r="AK8" s="195" t="s">
        <v>106</v>
      </c>
      <c r="AL8" s="196"/>
      <c r="AM8" s="196"/>
      <c r="AN8" s="197"/>
      <c r="AO8" s="58" t="s">
        <v>101</v>
      </c>
      <c r="AP8" s="59" t="s">
        <v>105</v>
      </c>
      <c r="AQ8" s="59" t="s">
        <v>94</v>
      </c>
      <c r="AR8" s="59" t="s">
        <v>91</v>
      </c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78" t="s">
        <v>95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268" t="s">
        <v>100</v>
      </c>
      <c r="V9" s="269"/>
      <c r="W9" s="269"/>
      <c r="X9" s="269"/>
      <c r="Y9" s="269"/>
      <c r="Z9" s="269"/>
      <c r="AA9" s="269"/>
      <c r="AB9" s="270"/>
      <c r="AC9" s="56" t="s">
        <v>95</v>
      </c>
      <c r="AD9" s="56" t="s">
        <v>83</v>
      </c>
      <c r="AE9" s="56" t="s">
        <v>95</v>
      </c>
      <c r="AF9" s="56" t="s">
        <v>85</v>
      </c>
      <c r="AG9" s="56" t="s">
        <v>92</v>
      </c>
      <c r="AH9" s="56" t="s">
        <v>104</v>
      </c>
      <c r="AI9" s="56" t="s">
        <v>83</v>
      </c>
      <c r="AJ9" s="56" t="s">
        <v>93</v>
      </c>
      <c r="AK9" s="236" t="s">
        <v>83</v>
      </c>
      <c r="AL9" s="199"/>
      <c r="AM9" s="199"/>
      <c r="AN9" s="200"/>
      <c r="AO9" s="57" t="s">
        <v>92</v>
      </c>
      <c r="AP9" s="56" t="s">
        <v>100</v>
      </c>
      <c r="AQ9" s="56" t="s">
        <v>95</v>
      </c>
      <c r="AR9" s="56" t="s">
        <v>83</v>
      </c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286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5">SUM(E10:AZ10)</f>
        <v>40</v>
      </c>
      <c r="BB10" s="9">
        <f>BA10+D10+C10</f>
        <v>326</v>
      </c>
      <c r="BC10" s="10">
        <f>ROUND((BB10/BB$5)*100,0)</f>
        <v>95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248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40</v>
      </c>
      <c r="BB11" s="9">
        <f t="shared" ref="BB11:BB73" si="6">BA11+D11+C11</f>
        <v>288</v>
      </c>
      <c r="BC11" s="10">
        <f t="shared" ref="BC11:BC73" si="7">ROUND((BB11/BB$5)*100,0)</f>
        <v>84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286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40</v>
      </c>
      <c r="BB12" s="9">
        <f t="shared" si="6"/>
        <v>326</v>
      </c>
      <c r="BC12" s="10">
        <f t="shared" si="7"/>
        <v>95</v>
      </c>
    </row>
    <row r="13" spans="1:55" ht="15" customHeight="1" x14ac:dyDescent="0.35">
      <c r="A13" s="29">
        <v>820323205064</v>
      </c>
      <c r="B13" s="30" t="s">
        <v>23</v>
      </c>
      <c r="C13" s="11">
        <v>40</v>
      </c>
      <c r="D13" s="7">
        <v>270</v>
      </c>
      <c r="E13" s="61" t="s">
        <v>124</v>
      </c>
      <c r="F13" s="62" t="str">
        <f t="shared" si="8"/>
        <v>a</v>
      </c>
      <c r="G13" s="62" t="str">
        <f t="shared" si="8"/>
        <v>a</v>
      </c>
      <c r="H13" s="62" t="str">
        <f t="shared" si="8"/>
        <v>a</v>
      </c>
      <c r="I13" s="62" t="str">
        <f t="shared" si="8"/>
        <v>a</v>
      </c>
      <c r="J13" s="62" t="str">
        <f t="shared" si="8"/>
        <v>a</v>
      </c>
      <c r="K13" s="62" t="str">
        <f t="shared" si="8"/>
        <v>a</v>
      </c>
      <c r="L13" s="63" t="str">
        <f t="shared" si="8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0</v>
      </c>
      <c r="BB13" s="9">
        <f t="shared" si="6"/>
        <v>310</v>
      </c>
      <c r="BC13" s="10">
        <f t="shared" si="7"/>
        <v>91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262</v>
      </c>
      <c r="E14" s="61" t="s">
        <v>124</v>
      </c>
      <c r="F14" s="62" t="str">
        <f t="shared" si="8"/>
        <v>a</v>
      </c>
      <c r="G14" s="62" t="str">
        <f t="shared" si="8"/>
        <v>a</v>
      </c>
      <c r="H14" s="62" t="str">
        <f t="shared" si="8"/>
        <v>a</v>
      </c>
      <c r="I14" s="62" t="str">
        <f t="shared" si="8"/>
        <v>a</v>
      </c>
      <c r="J14" s="62" t="str">
        <f t="shared" si="8"/>
        <v>a</v>
      </c>
      <c r="K14" s="62" t="str">
        <f t="shared" si="8"/>
        <v>a</v>
      </c>
      <c r="L14" s="63" t="str">
        <f t="shared" si="8"/>
        <v>a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32</v>
      </c>
      <c r="BB14" s="9">
        <f t="shared" si="6"/>
        <v>294</v>
      </c>
      <c r="BC14" s="10">
        <f t="shared" si="7"/>
        <v>86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248</v>
      </c>
      <c r="E15" s="61" t="s">
        <v>124</v>
      </c>
      <c r="F15" s="62" t="str">
        <f t="shared" si="8"/>
        <v>a</v>
      </c>
      <c r="G15" s="62" t="str">
        <f t="shared" si="8"/>
        <v>a</v>
      </c>
      <c r="H15" s="62" t="str">
        <f t="shared" si="8"/>
        <v>a</v>
      </c>
      <c r="I15" s="62" t="str">
        <f t="shared" si="8"/>
        <v>a</v>
      </c>
      <c r="J15" s="62" t="str">
        <f t="shared" si="8"/>
        <v>a</v>
      </c>
      <c r="K15" s="62" t="str">
        <f t="shared" si="8"/>
        <v>a</v>
      </c>
      <c r="L15" s="63" t="str">
        <f t="shared" si="8"/>
        <v>a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32</v>
      </c>
      <c r="BB15" s="9">
        <f t="shared" si="6"/>
        <v>280</v>
      </c>
      <c r="BC15" s="10">
        <f t="shared" si="7"/>
        <v>82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235</v>
      </c>
      <c r="E16" s="61">
        <v>1</v>
      </c>
      <c r="F16" s="62">
        <f t="shared" si="8"/>
        <v>1</v>
      </c>
      <c r="G16" s="62"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40</v>
      </c>
      <c r="BB16" s="9">
        <f t="shared" si="6"/>
        <v>275</v>
      </c>
      <c r="BC16" s="10">
        <f t="shared" si="7"/>
        <v>80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288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40</v>
      </c>
      <c r="BB17" s="9">
        <f t="shared" si="6"/>
        <v>328</v>
      </c>
      <c r="BC17" s="10">
        <f t="shared" si="7"/>
        <v>96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244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32</v>
      </c>
      <c r="BB18" s="9">
        <f t="shared" si="6"/>
        <v>276</v>
      </c>
      <c r="BC18" s="10">
        <f t="shared" si="7"/>
        <v>81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260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62" t="str">
        <f t="shared" si="1"/>
        <v>a</v>
      </c>
      <c r="R19" s="62" t="str">
        <f t="shared" si="1"/>
        <v>a</v>
      </c>
      <c r="S19" s="62" t="str">
        <f t="shared" si="1"/>
        <v>a</v>
      </c>
      <c r="T19" s="63" t="str">
        <f t="shared" si="1"/>
        <v>a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32</v>
      </c>
      <c r="BB19" s="9">
        <f t="shared" si="6"/>
        <v>292</v>
      </c>
      <c r="BC19" s="10">
        <f t="shared" si="7"/>
        <v>85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302</v>
      </c>
      <c r="E20" s="61" t="s">
        <v>124</v>
      </c>
      <c r="F20" s="62" t="str">
        <f t="shared" si="8"/>
        <v>a</v>
      </c>
      <c r="G20" s="62" t="str">
        <f t="shared" si="8"/>
        <v>a</v>
      </c>
      <c r="H20" s="62" t="str">
        <f t="shared" si="8"/>
        <v>a</v>
      </c>
      <c r="I20" s="62" t="str">
        <f t="shared" si="8"/>
        <v>a</v>
      </c>
      <c r="J20" s="62" t="str">
        <f t="shared" si="8"/>
        <v>a</v>
      </c>
      <c r="K20" s="62" t="str">
        <f t="shared" si="8"/>
        <v>a</v>
      </c>
      <c r="L20" s="63" t="str">
        <f t="shared" si="8"/>
        <v>a</v>
      </c>
      <c r="M20" s="61" t="s">
        <v>124</v>
      </c>
      <c r="N20" s="62" t="str">
        <f t="shared" si="1"/>
        <v>a</v>
      </c>
      <c r="O20" s="62" t="str">
        <f t="shared" si="1"/>
        <v>a</v>
      </c>
      <c r="P20" s="62" t="str">
        <f t="shared" si="1"/>
        <v>a</v>
      </c>
      <c r="Q20" s="62" t="str">
        <f t="shared" si="1"/>
        <v>a</v>
      </c>
      <c r="R20" s="62" t="str">
        <f t="shared" si="1"/>
        <v>a</v>
      </c>
      <c r="S20" s="62" t="str">
        <f t="shared" si="1"/>
        <v>a</v>
      </c>
      <c r="T20" s="63" t="str">
        <f t="shared" si="1"/>
        <v>a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24</v>
      </c>
      <c r="BB20" s="9">
        <f t="shared" si="6"/>
        <v>326</v>
      </c>
      <c r="BC20" s="10">
        <f t="shared" si="7"/>
        <v>95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290</v>
      </c>
      <c r="E21" s="61" t="s">
        <v>124</v>
      </c>
      <c r="F21" s="62" t="str">
        <f t="shared" si="8"/>
        <v>a</v>
      </c>
      <c r="G21" s="62" t="str">
        <f t="shared" si="8"/>
        <v>a</v>
      </c>
      <c r="H21" s="62" t="str">
        <f t="shared" si="8"/>
        <v>a</v>
      </c>
      <c r="I21" s="62" t="str">
        <f t="shared" si="8"/>
        <v>a</v>
      </c>
      <c r="J21" s="62" t="str">
        <f t="shared" si="8"/>
        <v>a</v>
      </c>
      <c r="K21" s="62" t="str">
        <f t="shared" si="8"/>
        <v>a</v>
      </c>
      <c r="L21" s="63" t="str">
        <f t="shared" si="8"/>
        <v>a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32</v>
      </c>
      <c r="BB21" s="9">
        <f t="shared" si="6"/>
        <v>322</v>
      </c>
      <c r="BC21" s="10">
        <f t="shared" si="7"/>
        <v>94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302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342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296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336</v>
      </c>
      <c r="BC23" s="10">
        <f t="shared" si="7"/>
        <v>98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264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 t="s">
        <v>124</v>
      </c>
      <c r="V24" s="62" t="str">
        <f t="shared" si="2"/>
        <v>a</v>
      </c>
      <c r="W24" s="62" t="str">
        <f t="shared" si="2"/>
        <v>a</v>
      </c>
      <c r="X24" s="62" t="str">
        <f t="shared" si="2"/>
        <v>a</v>
      </c>
      <c r="Y24" s="62" t="str">
        <f t="shared" si="2"/>
        <v>a</v>
      </c>
      <c r="Z24" s="62" t="str">
        <f t="shared" si="2"/>
        <v>a</v>
      </c>
      <c r="AA24" s="62" t="str">
        <f t="shared" si="2"/>
        <v>a</v>
      </c>
      <c r="AB24" s="63" t="str">
        <f t="shared" si="2"/>
        <v>a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32</v>
      </c>
      <c r="BB24" s="9">
        <f t="shared" si="6"/>
        <v>296</v>
      </c>
      <c r="BC24" s="10">
        <f t="shared" si="7"/>
        <v>87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254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294</v>
      </c>
      <c r="BC25" s="10">
        <f t="shared" si="7"/>
        <v>86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259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40</v>
      </c>
      <c r="BB26" s="9">
        <f t="shared" si="6"/>
        <v>299</v>
      </c>
      <c r="BC26" s="10">
        <f t="shared" si="7"/>
        <v>87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286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40</v>
      </c>
      <c r="BB27" s="9">
        <f t="shared" si="6"/>
        <v>326</v>
      </c>
      <c r="BC27" s="10">
        <f t="shared" si="7"/>
        <v>95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270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40</v>
      </c>
      <c r="BB28" s="9">
        <f t="shared" si="6"/>
        <v>310</v>
      </c>
      <c r="BC28" s="10">
        <f t="shared" si="7"/>
        <v>91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256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 t="s">
        <v>124</v>
      </c>
      <c r="AL29" s="62" t="str">
        <f t="shared" si="12"/>
        <v>a</v>
      </c>
      <c r="AM29" s="62" t="str">
        <f t="shared" si="12"/>
        <v>a</v>
      </c>
      <c r="AN29" s="62" t="str">
        <f t="shared" si="12"/>
        <v>a</v>
      </c>
      <c r="AO29" s="62" t="str">
        <f t="shared" si="12"/>
        <v>a</v>
      </c>
      <c r="AP29" s="62" t="str">
        <f t="shared" si="12"/>
        <v>a</v>
      </c>
      <c r="AQ29" s="62" t="str">
        <f t="shared" si="12"/>
        <v>a</v>
      </c>
      <c r="AR29" s="63" t="str">
        <f t="shared" si="12"/>
        <v>a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32</v>
      </c>
      <c r="BB29" s="9">
        <f t="shared" si="6"/>
        <v>288</v>
      </c>
      <c r="BC29" s="10">
        <f t="shared" si="7"/>
        <v>84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288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40</v>
      </c>
      <c r="BB30" s="9">
        <f t="shared" si="6"/>
        <v>328</v>
      </c>
      <c r="BC30" s="10">
        <f t="shared" si="7"/>
        <v>96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278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40</v>
      </c>
      <c r="BB31" s="9">
        <f t="shared" si="6"/>
        <v>318</v>
      </c>
      <c r="BC31" s="10">
        <f t="shared" si="7"/>
        <v>93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269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 t="s">
        <v>124</v>
      </c>
      <c r="AD32" s="62" t="str">
        <f t="shared" si="11"/>
        <v>a</v>
      </c>
      <c r="AE32" s="62" t="str">
        <f t="shared" si="11"/>
        <v>a</v>
      </c>
      <c r="AF32" s="62" t="str">
        <f t="shared" si="11"/>
        <v>a</v>
      </c>
      <c r="AG32" s="62" t="str">
        <f t="shared" si="11"/>
        <v>a</v>
      </c>
      <c r="AH32" s="62" t="str">
        <f t="shared" si="11"/>
        <v>a</v>
      </c>
      <c r="AI32" s="62" t="str">
        <f t="shared" si="11"/>
        <v>a</v>
      </c>
      <c r="AJ32" s="63" t="str">
        <f t="shared" si="11"/>
        <v>a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32</v>
      </c>
      <c r="BB32" s="9">
        <f t="shared" si="6"/>
        <v>301</v>
      </c>
      <c r="BC32" s="10">
        <f t="shared" si="7"/>
        <v>88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280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40</v>
      </c>
      <c r="BB33" s="9">
        <f t="shared" si="6"/>
        <v>320</v>
      </c>
      <c r="BC33" s="10">
        <f t="shared" si="7"/>
        <v>94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247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40</v>
      </c>
      <c r="BB34" s="9">
        <f t="shared" si="6"/>
        <v>287</v>
      </c>
      <c r="BC34" s="10">
        <f t="shared" si="7"/>
        <v>84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302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342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249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40</v>
      </c>
      <c r="BB36" s="9">
        <f t="shared" si="6"/>
        <v>289</v>
      </c>
      <c r="BC36" s="10">
        <f t="shared" si="7"/>
        <v>85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302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342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254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40</v>
      </c>
      <c r="BB38" s="9">
        <f t="shared" si="6"/>
        <v>294</v>
      </c>
      <c r="BC38" s="10">
        <f t="shared" si="7"/>
        <v>86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262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40</v>
      </c>
      <c r="BB39" s="9">
        <f t="shared" si="6"/>
        <v>302</v>
      </c>
      <c r="BC39" s="10">
        <f t="shared" si="7"/>
        <v>88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248</v>
      </c>
      <c r="E40" s="61" t="s">
        <v>124</v>
      </c>
      <c r="F40" s="62" t="str">
        <f t="shared" si="13"/>
        <v>a</v>
      </c>
      <c r="G40" s="62" t="str">
        <f t="shared" si="13"/>
        <v>a</v>
      </c>
      <c r="H40" s="62" t="str">
        <f t="shared" si="13"/>
        <v>a</v>
      </c>
      <c r="I40" s="62" t="str">
        <f t="shared" si="13"/>
        <v>a</v>
      </c>
      <c r="J40" s="62" t="str">
        <f t="shared" si="13"/>
        <v>a</v>
      </c>
      <c r="K40" s="62" t="str">
        <f t="shared" si="13"/>
        <v>a</v>
      </c>
      <c r="L40" s="63" t="str">
        <f t="shared" si="13"/>
        <v>a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32</v>
      </c>
      <c r="BB40" s="9">
        <f t="shared" si="6"/>
        <v>280</v>
      </c>
      <c r="BC40" s="10">
        <f t="shared" si="7"/>
        <v>82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270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 t="s">
        <v>124</v>
      </c>
      <c r="N41" s="62" t="str">
        <f t="shared" si="9"/>
        <v>a</v>
      </c>
      <c r="O41" s="62" t="str">
        <f t="shared" si="9"/>
        <v>a</v>
      </c>
      <c r="P41" s="62" t="str">
        <f t="shared" si="9"/>
        <v>a</v>
      </c>
      <c r="Q41" s="62" t="str">
        <f t="shared" si="9"/>
        <v>a</v>
      </c>
      <c r="R41" s="62" t="str">
        <f t="shared" si="9"/>
        <v>a</v>
      </c>
      <c r="S41" s="62" t="str">
        <f t="shared" si="9"/>
        <v>a</v>
      </c>
      <c r="T41" s="63" t="str">
        <f t="shared" si="9"/>
        <v>a</v>
      </c>
      <c r="U41" s="61" t="s">
        <v>124</v>
      </c>
      <c r="V41" s="62" t="str">
        <f t="shared" si="10"/>
        <v>a</v>
      </c>
      <c r="W41" s="62" t="str">
        <f t="shared" si="10"/>
        <v>a</v>
      </c>
      <c r="X41" s="62" t="str">
        <f t="shared" si="10"/>
        <v>a</v>
      </c>
      <c r="Y41" s="62"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20</v>
      </c>
      <c r="BB41" s="9">
        <f t="shared" si="6"/>
        <v>290</v>
      </c>
      <c r="BC41" s="10">
        <f t="shared" si="7"/>
        <v>85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285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40</v>
      </c>
      <c r="BB42" s="9">
        <f t="shared" si="6"/>
        <v>325</v>
      </c>
      <c r="BC42" s="10">
        <f t="shared" si="7"/>
        <v>95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245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 t="s">
        <v>124</v>
      </c>
      <c r="AD43" s="62" t="str">
        <f t="shared" si="17"/>
        <v>a</v>
      </c>
      <c r="AE43" s="62" t="str">
        <f t="shared" si="17"/>
        <v>a</v>
      </c>
      <c r="AF43" s="62" t="str">
        <f t="shared" si="17"/>
        <v>a</v>
      </c>
      <c r="AG43" s="62" t="str">
        <f t="shared" si="17"/>
        <v>a</v>
      </c>
      <c r="AH43" s="62" t="str">
        <f t="shared" si="17"/>
        <v>a</v>
      </c>
      <c r="AI43" s="62" t="str">
        <f t="shared" si="17"/>
        <v>a</v>
      </c>
      <c r="AJ43" s="63" t="str">
        <f t="shared" si="17"/>
        <v>a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32</v>
      </c>
      <c r="BB43" s="9">
        <f t="shared" si="6"/>
        <v>277</v>
      </c>
      <c r="BC43" s="10">
        <f t="shared" si="7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240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280</v>
      </c>
      <c r="BC44" s="10">
        <f t="shared" si="7"/>
        <v>82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270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 t="s">
        <v>124</v>
      </c>
      <c r="N45" s="62" t="str">
        <f t="shared" si="15"/>
        <v>a</v>
      </c>
      <c r="O45" s="62" t="str">
        <f t="shared" si="15"/>
        <v>a</v>
      </c>
      <c r="P45" s="62" t="str">
        <f t="shared" si="15"/>
        <v>a</v>
      </c>
      <c r="Q45" s="62" t="str">
        <f t="shared" si="15"/>
        <v>a</v>
      </c>
      <c r="R45" s="62" t="str">
        <f t="shared" si="15"/>
        <v>a</v>
      </c>
      <c r="S45" s="62" t="str">
        <f t="shared" si="15"/>
        <v>a</v>
      </c>
      <c r="T45" s="63" t="str">
        <f t="shared" si="15"/>
        <v>a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32</v>
      </c>
      <c r="BB45" s="9">
        <f t="shared" si="6"/>
        <v>302</v>
      </c>
      <c r="BC45" s="10">
        <f t="shared" si="7"/>
        <v>88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272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40</v>
      </c>
      <c r="BB46" s="9">
        <f t="shared" si="6"/>
        <v>312</v>
      </c>
      <c r="BC46" s="10">
        <f t="shared" si="7"/>
        <v>91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264</v>
      </c>
      <c r="E47" s="61" t="s">
        <v>124</v>
      </c>
      <c r="F47" s="62" t="str">
        <f t="shared" si="19"/>
        <v>a</v>
      </c>
      <c r="G47" s="62" t="str">
        <f t="shared" si="19"/>
        <v>a</v>
      </c>
      <c r="H47" s="62" t="str">
        <f t="shared" si="19"/>
        <v>a</v>
      </c>
      <c r="I47" s="62" t="str">
        <f t="shared" si="19"/>
        <v>a</v>
      </c>
      <c r="J47" s="62" t="str">
        <f t="shared" si="19"/>
        <v>a</v>
      </c>
      <c r="K47" s="62" t="str">
        <f t="shared" si="19"/>
        <v>a</v>
      </c>
      <c r="L47" s="63" t="str">
        <f t="shared" si="19"/>
        <v>a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32</v>
      </c>
      <c r="BB47" s="9">
        <f t="shared" si="6"/>
        <v>296</v>
      </c>
      <c r="BC47" s="10">
        <f t="shared" si="7"/>
        <v>87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250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 t="s">
        <v>124</v>
      </c>
      <c r="AD48" s="62" t="str">
        <f t="shared" si="17"/>
        <v>a</v>
      </c>
      <c r="AE48" s="62" t="str">
        <f t="shared" si="17"/>
        <v>a</v>
      </c>
      <c r="AF48" s="62" t="str">
        <f t="shared" si="17"/>
        <v>a</v>
      </c>
      <c r="AG48" s="62" t="str">
        <f t="shared" si="17"/>
        <v>a</v>
      </c>
      <c r="AH48" s="62" t="str">
        <f t="shared" si="17"/>
        <v>a</v>
      </c>
      <c r="AI48" s="62" t="str">
        <f t="shared" si="17"/>
        <v>a</v>
      </c>
      <c r="AJ48" s="63" t="str">
        <f t="shared" si="17"/>
        <v>a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32</v>
      </c>
      <c r="BB48" s="9">
        <f t="shared" si="6"/>
        <v>282</v>
      </c>
      <c r="BC48" s="10">
        <f t="shared" si="7"/>
        <v>82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286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326</v>
      </c>
      <c r="BC49" s="10">
        <f t="shared" si="7"/>
        <v>95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288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40</v>
      </c>
      <c r="BB50" s="9">
        <f t="shared" si="6"/>
        <v>328</v>
      </c>
      <c r="BC50" s="10">
        <f t="shared" si="7"/>
        <v>96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272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312</v>
      </c>
      <c r="BC51" s="10">
        <f t="shared" si="7"/>
        <v>91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284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40</v>
      </c>
      <c r="BB52" s="9">
        <f t="shared" si="6"/>
        <v>324</v>
      </c>
      <c r="BC52" s="10">
        <f t="shared" si="7"/>
        <v>95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278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 t="s">
        <v>124</v>
      </c>
      <c r="AD53" s="62" t="str">
        <f t="shared" si="17"/>
        <v>a</v>
      </c>
      <c r="AE53" s="62" t="str">
        <f t="shared" si="17"/>
        <v>a</v>
      </c>
      <c r="AF53" s="62" t="str">
        <f t="shared" si="17"/>
        <v>a</v>
      </c>
      <c r="AG53" s="62" t="str">
        <f t="shared" si="17"/>
        <v>a</v>
      </c>
      <c r="AH53" s="62" t="str">
        <f t="shared" si="17"/>
        <v>a</v>
      </c>
      <c r="AI53" s="62" t="str">
        <f t="shared" si="17"/>
        <v>a</v>
      </c>
      <c r="AJ53" s="63" t="str">
        <f t="shared" si="17"/>
        <v>a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32</v>
      </c>
      <c r="BB53" s="9">
        <f t="shared" si="6"/>
        <v>310</v>
      </c>
      <c r="BC53" s="10">
        <f t="shared" si="7"/>
        <v>91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264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40</v>
      </c>
      <c r="BB54" s="9">
        <f t="shared" si="6"/>
        <v>304</v>
      </c>
      <c r="BC54" s="10">
        <f t="shared" si="7"/>
        <v>89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254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40</v>
      </c>
      <c r="BB55" s="9">
        <f t="shared" si="6"/>
        <v>294</v>
      </c>
      <c r="BC55" s="10">
        <f t="shared" si="7"/>
        <v>86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286</v>
      </c>
      <c r="E56" s="61" t="s">
        <v>124</v>
      </c>
      <c r="F56" s="62" t="str">
        <f t="shared" si="19"/>
        <v>a</v>
      </c>
      <c r="G56" s="62" t="str">
        <f t="shared" si="19"/>
        <v>a</v>
      </c>
      <c r="H56" s="62" t="str">
        <f t="shared" si="19"/>
        <v>a</v>
      </c>
      <c r="I56" s="62" t="str">
        <f t="shared" si="19"/>
        <v>a</v>
      </c>
      <c r="J56" s="62" t="str">
        <f t="shared" si="19"/>
        <v>a</v>
      </c>
      <c r="K56" s="62" t="str">
        <f t="shared" si="19"/>
        <v>a</v>
      </c>
      <c r="L56" s="63" t="str">
        <f t="shared" si="19"/>
        <v>a</v>
      </c>
      <c r="M56" s="61" t="s">
        <v>124</v>
      </c>
      <c r="N56" s="62" t="str">
        <f t="shared" si="15"/>
        <v>a</v>
      </c>
      <c r="O56" s="62" t="str">
        <f t="shared" si="15"/>
        <v>a</v>
      </c>
      <c r="P56" s="62" t="str">
        <f t="shared" si="15"/>
        <v>a</v>
      </c>
      <c r="Q56" s="62" t="str">
        <f t="shared" si="15"/>
        <v>a</v>
      </c>
      <c r="R56" s="62" t="str">
        <f t="shared" si="15"/>
        <v>a</v>
      </c>
      <c r="S56" s="62" t="str">
        <f t="shared" si="15"/>
        <v>a</v>
      </c>
      <c r="T56" s="63" t="str">
        <f t="shared" si="15"/>
        <v>a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24</v>
      </c>
      <c r="BB56" s="9">
        <f t="shared" si="6"/>
        <v>310</v>
      </c>
      <c r="BC56" s="10">
        <f t="shared" si="7"/>
        <v>91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262</v>
      </c>
      <c r="E57" s="61" t="s">
        <v>124</v>
      </c>
      <c r="F57" s="62" t="str">
        <f t="shared" si="19"/>
        <v>a</v>
      </c>
      <c r="G57" s="62" t="str">
        <f t="shared" si="19"/>
        <v>a</v>
      </c>
      <c r="H57" s="62" t="str">
        <f t="shared" si="19"/>
        <v>a</v>
      </c>
      <c r="I57" s="62" t="str">
        <f t="shared" si="19"/>
        <v>a</v>
      </c>
      <c r="J57" s="62" t="str">
        <f t="shared" si="19"/>
        <v>a</v>
      </c>
      <c r="K57" s="62" t="str">
        <f t="shared" si="19"/>
        <v>a</v>
      </c>
      <c r="L57" s="63" t="str">
        <f t="shared" si="19"/>
        <v>a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32</v>
      </c>
      <c r="BB57" s="9">
        <f t="shared" si="6"/>
        <v>294</v>
      </c>
      <c r="BC57" s="10">
        <f t="shared" si="7"/>
        <v>86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286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40</v>
      </c>
      <c r="BB58" s="9">
        <f t="shared" si="6"/>
        <v>326</v>
      </c>
      <c r="BC58" s="10">
        <f t="shared" si="7"/>
        <v>95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286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40</v>
      </c>
      <c r="BB59" s="9">
        <f t="shared" si="6"/>
        <v>326</v>
      </c>
      <c r="BC59" s="10">
        <f t="shared" si="7"/>
        <v>95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226</v>
      </c>
      <c r="E60" s="61" t="s">
        <v>124</v>
      </c>
      <c r="F60" s="62" t="str">
        <f t="shared" ref="F60:L73" si="24">E60</f>
        <v>a</v>
      </c>
      <c r="G60" s="62" t="str">
        <f t="shared" si="24"/>
        <v>a</v>
      </c>
      <c r="H60" s="62" t="str">
        <f t="shared" si="24"/>
        <v>a</v>
      </c>
      <c r="I60" s="62"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28</v>
      </c>
      <c r="BB60" s="9">
        <f t="shared" si="6"/>
        <v>254</v>
      </c>
      <c r="BC60" s="10">
        <f t="shared" si="7"/>
        <v>74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286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40</v>
      </c>
      <c r="BB61" s="9">
        <f t="shared" si="6"/>
        <v>326</v>
      </c>
      <c r="BC61" s="10">
        <f t="shared" si="7"/>
        <v>95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212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32</v>
      </c>
      <c r="BB62" s="9">
        <f t="shared" si="6"/>
        <v>244</v>
      </c>
      <c r="BC62" s="10">
        <f t="shared" si="7"/>
        <v>71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239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>
        <v>1</v>
      </c>
      <c r="V63" s="62">
        <f t="shared" si="21"/>
        <v>1</v>
      </c>
      <c r="W63" s="62">
        <f t="shared" si="21"/>
        <v>1</v>
      </c>
      <c r="X63" s="62">
        <f t="shared" si="21"/>
        <v>1</v>
      </c>
      <c r="Y63" s="62">
        <f t="shared" si="21"/>
        <v>1</v>
      </c>
      <c r="Z63" s="62">
        <f t="shared" si="21"/>
        <v>1</v>
      </c>
      <c r="AA63" s="62">
        <f t="shared" si="21"/>
        <v>1</v>
      </c>
      <c r="AB63" s="63">
        <f t="shared" si="21"/>
        <v>1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40</v>
      </c>
      <c r="BB63" s="9">
        <f t="shared" si="6"/>
        <v>279</v>
      </c>
      <c r="BC63" s="10">
        <f t="shared" si="7"/>
        <v>82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260</v>
      </c>
      <c r="E64" s="61" t="s">
        <v>124</v>
      </c>
      <c r="F64" s="62" t="str">
        <f t="shared" si="24"/>
        <v>a</v>
      </c>
      <c r="G64" s="62" t="str">
        <f t="shared" si="24"/>
        <v>a</v>
      </c>
      <c r="H64" s="62" t="str">
        <f t="shared" si="24"/>
        <v>a</v>
      </c>
      <c r="I64" s="62"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36</v>
      </c>
      <c r="BB64" s="9">
        <f t="shared" si="6"/>
        <v>296</v>
      </c>
      <c r="BC64" s="10">
        <f t="shared" si="7"/>
        <v>87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256</v>
      </c>
      <c r="E65" s="61" t="s">
        <v>124</v>
      </c>
      <c r="F65" s="62" t="str">
        <f t="shared" si="24"/>
        <v>a</v>
      </c>
      <c r="G65" s="62" t="str">
        <f t="shared" si="24"/>
        <v>a</v>
      </c>
      <c r="H65" s="62" t="str">
        <f t="shared" si="24"/>
        <v>a</v>
      </c>
      <c r="I65" s="62"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36</v>
      </c>
      <c r="BB65" s="9">
        <f t="shared" si="6"/>
        <v>292</v>
      </c>
      <c r="BC65" s="10">
        <f t="shared" si="7"/>
        <v>85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294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 t="s">
        <v>124</v>
      </c>
      <c r="AD66" s="62" t="str">
        <f t="shared" si="22"/>
        <v>a</v>
      </c>
      <c r="AE66" s="62" t="str">
        <f t="shared" si="22"/>
        <v>a</v>
      </c>
      <c r="AF66" s="62" t="str">
        <f t="shared" si="22"/>
        <v>a</v>
      </c>
      <c r="AG66" s="62" t="str">
        <f t="shared" si="22"/>
        <v>a</v>
      </c>
      <c r="AH66" s="62" t="str">
        <f t="shared" si="22"/>
        <v>a</v>
      </c>
      <c r="AI66" s="62" t="str">
        <f t="shared" si="22"/>
        <v>a</v>
      </c>
      <c r="AJ66" s="63" t="str">
        <f t="shared" si="22"/>
        <v>a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32</v>
      </c>
      <c r="BB66" s="9">
        <f t="shared" si="6"/>
        <v>326</v>
      </c>
      <c r="BC66" s="10">
        <f t="shared" si="7"/>
        <v>95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246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40</v>
      </c>
      <c r="BB67" s="9">
        <f t="shared" si="6"/>
        <v>286</v>
      </c>
      <c r="BC67" s="10">
        <f t="shared" si="7"/>
        <v>84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262</v>
      </c>
      <c r="E68" s="61" t="s">
        <v>124</v>
      </c>
      <c r="F68" s="62" t="str">
        <f t="shared" si="24"/>
        <v>a</v>
      </c>
      <c r="G68" s="62" t="str">
        <f t="shared" si="24"/>
        <v>a</v>
      </c>
      <c r="H68" s="62" t="str">
        <f t="shared" si="24"/>
        <v>a</v>
      </c>
      <c r="I68" s="62"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36</v>
      </c>
      <c r="BB68" s="9">
        <f t="shared" si="6"/>
        <v>298</v>
      </c>
      <c r="BC68" s="10">
        <f t="shared" si="7"/>
        <v>87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291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331</v>
      </c>
      <c r="BC69" s="10">
        <f t="shared" si="7"/>
        <v>97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226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 t="s">
        <v>124</v>
      </c>
      <c r="AD70" s="62" t="str">
        <f t="shared" si="22"/>
        <v>a</v>
      </c>
      <c r="AE70" s="62" t="str">
        <f t="shared" si="22"/>
        <v>a</v>
      </c>
      <c r="AF70" s="62" t="str">
        <f t="shared" si="22"/>
        <v>a</v>
      </c>
      <c r="AG70" s="62" t="str">
        <f t="shared" si="22"/>
        <v>a</v>
      </c>
      <c r="AH70" s="62" t="str">
        <f t="shared" si="22"/>
        <v>a</v>
      </c>
      <c r="AI70" s="62" t="str">
        <f t="shared" si="22"/>
        <v>a</v>
      </c>
      <c r="AJ70" s="63" t="str">
        <f t="shared" si="22"/>
        <v>a</v>
      </c>
      <c r="AK70" s="61" t="s">
        <v>124</v>
      </c>
      <c r="AL70" s="62" t="str">
        <f t="shared" si="23"/>
        <v>a</v>
      </c>
      <c r="AM70" s="62" t="str">
        <f t="shared" si="23"/>
        <v>a</v>
      </c>
      <c r="AN70" s="62" t="str">
        <f t="shared" si="23"/>
        <v>a</v>
      </c>
      <c r="AO70" s="62" t="str">
        <f t="shared" si="23"/>
        <v>a</v>
      </c>
      <c r="AP70" s="62" t="str">
        <f t="shared" si="23"/>
        <v>a</v>
      </c>
      <c r="AQ70" s="62" t="str">
        <f t="shared" si="23"/>
        <v>a</v>
      </c>
      <c r="AR70" s="63" t="str">
        <f t="shared" si="23"/>
        <v>a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24</v>
      </c>
      <c r="BB70" s="9">
        <f t="shared" si="6"/>
        <v>250</v>
      </c>
      <c r="BC70" s="10">
        <f t="shared" si="7"/>
        <v>73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262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40</v>
      </c>
      <c r="BB71" s="9">
        <f t="shared" si="6"/>
        <v>302</v>
      </c>
      <c r="BC71" s="10">
        <f t="shared" si="7"/>
        <v>88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232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40</v>
      </c>
      <c r="BB72" s="9">
        <f t="shared" si="6"/>
        <v>272</v>
      </c>
      <c r="BC72" s="10">
        <f t="shared" si="7"/>
        <v>80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282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40</v>
      </c>
      <c r="BB73" s="9">
        <f t="shared" si="6"/>
        <v>322</v>
      </c>
      <c r="BC73" s="10">
        <f t="shared" si="7"/>
        <v>94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14</v>
      </c>
      <c r="F74" s="50">
        <f t="shared" ref="F74:AR74" si="25">COUNTIF(F10:F73,"a")</f>
        <v>14</v>
      </c>
      <c r="G74" s="50">
        <f t="shared" si="25"/>
        <v>14</v>
      </c>
      <c r="H74" s="50">
        <f t="shared" si="25"/>
        <v>14</v>
      </c>
      <c r="I74" s="50">
        <f t="shared" si="25"/>
        <v>10</v>
      </c>
      <c r="J74" s="50">
        <f t="shared" si="25"/>
        <v>10</v>
      </c>
      <c r="K74" s="50">
        <f t="shared" si="25"/>
        <v>10</v>
      </c>
      <c r="L74" s="50">
        <f t="shared" si="25"/>
        <v>10</v>
      </c>
      <c r="M74" s="50">
        <f t="shared" si="25"/>
        <v>9</v>
      </c>
      <c r="N74" s="50">
        <f t="shared" si="25"/>
        <v>9</v>
      </c>
      <c r="O74" s="50">
        <f t="shared" si="25"/>
        <v>9</v>
      </c>
      <c r="P74" s="50">
        <f t="shared" si="25"/>
        <v>9</v>
      </c>
      <c r="Q74" s="50">
        <f t="shared" si="25"/>
        <v>9</v>
      </c>
      <c r="R74" s="50">
        <f t="shared" si="25"/>
        <v>9</v>
      </c>
      <c r="S74" s="50">
        <f t="shared" si="25"/>
        <v>9</v>
      </c>
      <c r="T74" s="50">
        <f t="shared" si="25"/>
        <v>9</v>
      </c>
      <c r="U74" s="50">
        <f t="shared" si="25"/>
        <v>3</v>
      </c>
      <c r="V74" s="50">
        <f t="shared" si="25"/>
        <v>3</v>
      </c>
      <c r="W74" s="50">
        <f t="shared" si="25"/>
        <v>3</v>
      </c>
      <c r="X74" s="50">
        <f t="shared" si="25"/>
        <v>3</v>
      </c>
      <c r="Y74" s="50">
        <f t="shared" si="25"/>
        <v>2</v>
      </c>
      <c r="Z74" s="50">
        <f t="shared" si="25"/>
        <v>2</v>
      </c>
      <c r="AA74" s="50">
        <f t="shared" si="25"/>
        <v>2</v>
      </c>
      <c r="AB74" s="50">
        <f t="shared" si="25"/>
        <v>2</v>
      </c>
      <c r="AC74" s="50">
        <f t="shared" si="25"/>
        <v>7</v>
      </c>
      <c r="AD74" s="50">
        <f t="shared" si="25"/>
        <v>7</v>
      </c>
      <c r="AE74" s="50">
        <f t="shared" si="25"/>
        <v>7</v>
      </c>
      <c r="AF74" s="50">
        <f t="shared" si="25"/>
        <v>7</v>
      </c>
      <c r="AG74" s="50">
        <f t="shared" si="25"/>
        <v>7</v>
      </c>
      <c r="AH74" s="50">
        <f t="shared" si="25"/>
        <v>7</v>
      </c>
      <c r="AI74" s="50">
        <f t="shared" si="25"/>
        <v>7</v>
      </c>
      <c r="AJ74" s="50">
        <f t="shared" si="25"/>
        <v>7</v>
      </c>
      <c r="AK74" s="50">
        <f t="shared" si="25"/>
        <v>3</v>
      </c>
      <c r="AL74" s="50">
        <f t="shared" si="25"/>
        <v>3</v>
      </c>
      <c r="AM74" s="50">
        <f t="shared" si="25"/>
        <v>3</v>
      </c>
      <c r="AN74" s="50">
        <f t="shared" si="25"/>
        <v>3</v>
      </c>
      <c r="AO74" s="50">
        <f t="shared" si="25"/>
        <v>3</v>
      </c>
      <c r="AP74" s="50">
        <f t="shared" si="25"/>
        <v>3</v>
      </c>
      <c r="AQ74" s="50">
        <f t="shared" si="25"/>
        <v>3</v>
      </c>
      <c r="AR74" s="50">
        <f t="shared" si="25"/>
        <v>3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R75" si="26">F9</f>
        <v>PA</v>
      </c>
      <c r="G75" s="102" t="str">
        <f t="shared" si="26"/>
        <v>BB</v>
      </c>
      <c r="H75" s="102" t="str">
        <f t="shared" si="26"/>
        <v>VP</v>
      </c>
      <c r="I75" s="204" t="s">
        <v>98</v>
      </c>
      <c r="J75" s="205"/>
      <c r="K75" s="205"/>
      <c r="L75" s="206"/>
      <c r="M75" s="102" t="str">
        <f t="shared" si="26"/>
        <v>BB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160" t="s">
        <v>107</v>
      </c>
      <c r="S75" s="130"/>
      <c r="T75" s="161"/>
      <c r="U75" s="268" t="s">
        <v>100</v>
      </c>
      <c r="V75" s="269"/>
      <c r="W75" s="269"/>
      <c r="X75" s="269"/>
      <c r="Y75" s="269"/>
      <c r="Z75" s="269"/>
      <c r="AA75" s="269"/>
      <c r="AB75" s="270"/>
      <c r="AC75" s="102" t="str">
        <f t="shared" si="26"/>
        <v>BB</v>
      </c>
      <c r="AD75" s="102" t="str">
        <f t="shared" si="26"/>
        <v>SG</v>
      </c>
      <c r="AE75" s="102" t="str">
        <f t="shared" si="26"/>
        <v>BB</v>
      </c>
      <c r="AF75" s="102" t="str">
        <f t="shared" si="26"/>
        <v>VP</v>
      </c>
      <c r="AG75" s="102" t="str">
        <f t="shared" si="26"/>
        <v>NS</v>
      </c>
      <c r="AH75" s="102" t="str">
        <f t="shared" si="26"/>
        <v>SS</v>
      </c>
      <c r="AI75" s="102" t="str">
        <f t="shared" si="26"/>
        <v>SG</v>
      </c>
      <c r="AJ75" s="102" t="str">
        <f t="shared" si="26"/>
        <v>PA</v>
      </c>
      <c r="AK75" s="236" t="s">
        <v>83</v>
      </c>
      <c r="AL75" s="199"/>
      <c r="AM75" s="199"/>
      <c r="AN75" s="200"/>
      <c r="AO75" s="102" t="str">
        <f t="shared" si="26"/>
        <v>NS</v>
      </c>
      <c r="AP75" s="102" t="str">
        <f t="shared" si="26"/>
        <v>NPK</v>
      </c>
      <c r="AQ75" s="102" t="str">
        <f t="shared" si="26"/>
        <v>BB</v>
      </c>
      <c r="AR75" s="102" t="str">
        <f t="shared" si="26"/>
        <v>SG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8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7:A9"/>
    <mergeCell ref="B7:B9"/>
    <mergeCell ref="C7:C8"/>
    <mergeCell ref="D7:D8"/>
    <mergeCell ref="I8:L8"/>
    <mergeCell ref="BA8:BA9"/>
    <mergeCell ref="BB8:BB9"/>
    <mergeCell ref="I9:L9"/>
    <mergeCell ref="R9:T9"/>
    <mergeCell ref="AS6:AZ6"/>
    <mergeCell ref="R8:T8"/>
    <mergeCell ref="AK8:AN8"/>
    <mergeCell ref="AK9:AN9"/>
    <mergeCell ref="U8:AB8"/>
    <mergeCell ref="U9:AB9"/>
    <mergeCell ref="I75:L75"/>
    <mergeCell ref="A74:D74"/>
    <mergeCell ref="A76:D76"/>
    <mergeCell ref="A79:I79"/>
    <mergeCell ref="A80:H80"/>
    <mergeCell ref="AR80:BC80"/>
    <mergeCell ref="R75:T75"/>
    <mergeCell ref="U75:AB75"/>
    <mergeCell ref="AK75:AN75"/>
    <mergeCell ref="AS10:AZ42"/>
    <mergeCell ref="AS43:AZ73"/>
  </mergeCells>
  <conditionalFormatting sqref="BC1:BC73">
    <cfRule type="cellIs" dxfId="26" priority="1" operator="lessThan">
      <formula>75</formula>
    </cfRule>
  </conditionalFormatting>
  <conditionalFormatting sqref="BC10:BC73">
    <cfRule type="cellIs" dxfId="25" priority="3" operator="lessThan">
      <formula>75</formula>
    </cfRule>
  </conditionalFormatting>
  <conditionalFormatting sqref="BC80">
    <cfRule type="cellIs" dxfId="24" priority="2" operator="lessThan">
      <formula>75</formula>
    </cfRule>
  </conditionalFormatting>
  <pageMargins left="0.11811023622047245" right="0" top="0.55118110236220474" bottom="0.15748031496062992" header="0.11811023622047245" footer="0.11811023622047245"/>
  <pageSetup paperSize="9" scale="75" orientation="landscape" r:id="rId1"/>
  <rowBreaks count="1" manualBreakCount="1">
    <brk id="42" max="5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8DA4-80D4-49D9-BE98-4319AFE4F671}">
  <dimension ref="A1:BC80"/>
  <sheetViews>
    <sheetView view="pageBreakPreview" topLeftCell="A2" zoomScale="85" zoomScaleNormal="70" zoomScaleSheetLayoutView="85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210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217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211</v>
      </c>
      <c r="F5" s="177"/>
      <c r="G5" s="177"/>
      <c r="H5" s="177"/>
      <c r="I5" s="177"/>
      <c r="J5" s="177"/>
      <c r="K5" s="177"/>
      <c r="L5" s="177"/>
      <c r="M5" s="177" t="s">
        <v>212</v>
      </c>
      <c r="N5" s="177"/>
      <c r="O5" s="177"/>
      <c r="P5" s="177"/>
      <c r="Q5" s="177"/>
      <c r="R5" s="177"/>
      <c r="S5" s="177"/>
      <c r="T5" s="177"/>
      <c r="U5" s="177" t="s">
        <v>213</v>
      </c>
      <c r="V5" s="177"/>
      <c r="W5" s="177"/>
      <c r="X5" s="177"/>
      <c r="Y5" s="177"/>
      <c r="Z5" s="177"/>
      <c r="AA5" s="177"/>
      <c r="AB5" s="177"/>
      <c r="AC5" s="177" t="s">
        <v>214</v>
      </c>
      <c r="AD5" s="177"/>
      <c r="AE5" s="177"/>
      <c r="AF5" s="177"/>
      <c r="AG5" s="177"/>
      <c r="AH5" s="177"/>
      <c r="AI5" s="177"/>
      <c r="AJ5" s="177"/>
      <c r="AK5" s="177" t="s">
        <v>215</v>
      </c>
      <c r="AL5" s="177"/>
      <c r="AM5" s="177"/>
      <c r="AN5" s="177"/>
      <c r="AO5" s="177"/>
      <c r="AP5" s="177"/>
      <c r="AQ5" s="177"/>
      <c r="AR5" s="177"/>
      <c r="AS5" s="177" t="s">
        <v>216</v>
      </c>
      <c r="AT5" s="177"/>
      <c r="AU5" s="177"/>
      <c r="AV5" s="177"/>
      <c r="AW5" s="177"/>
      <c r="AX5" s="177"/>
      <c r="AY5" s="177"/>
      <c r="AZ5" s="177"/>
      <c r="BA5" s="157">
        <v>40</v>
      </c>
      <c r="BB5" s="179">
        <f>D7+BA5</f>
        <v>382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172">
        <v>342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181"/>
      <c r="BC7" s="182"/>
    </row>
    <row r="8" spans="1:55" ht="30" customHeight="1" thickBot="1" x14ac:dyDescent="0.4">
      <c r="A8" s="165"/>
      <c r="B8" s="168"/>
      <c r="C8" s="171"/>
      <c r="D8" s="173"/>
      <c r="E8" s="95" t="s">
        <v>91</v>
      </c>
      <c r="F8" s="76" t="s">
        <v>96</v>
      </c>
      <c r="G8" s="76" t="s">
        <v>94</v>
      </c>
      <c r="H8" s="59" t="s">
        <v>92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59" t="s">
        <v>94</v>
      </c>
      <c r="AD8" s="76" t="s">
        <v>96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95" t="s">
        <v>106</v>
      </c>
      <c r="AL8" s="196"/>
      <c r="AM8" s="196"/>
      <c r="AN8" s="197"/>
      <c r="AO8" s="129" t="s">
        <v>218</v>
      </c>
      <c r="AP8" s="130"/>
      <c r="AQ8" s="130"/>
      <c r="AR8" s="161"/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83</v>
      </c>
      <c r="F9" s="78" t="s">
        <v>85</v>
      </c>
      <c r="G9" s="78" t="s">
        <v>95</v>
      </c>
      <c r="H9" s="56" t="s">
        <v>93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6" t="s">
        <v>95</v>
      </c>
      <c r="AD9" s="78" t="s">
        <v>85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236" t="s">
        <v>83</v>
      </c>
      <c r="AL9" s="199"/>
      <c r="AM9" s="199"/>
      <c r="AN9" s="200"/>
      <c r="AO9" s="57"/>
      <c r="AP9" s="57"/>
      <c r="AQ9" s="56"/>
      <c r="AR9" s="56"/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326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5">SUM(E10:AZ10)</f>
        <v>40</v>
      </c>
      <c r="BB10" s="9">
        <f>BA10+D10+C10</f>
        <v>366</v>
      </c>
      <c r="BC10" s="10">
        <f>ROUND((BB10/BB$5)*100,0)</f>
        <v>96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288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40</v>
      </c>
      <c r="BB11" s="9">
        <f t="shared" ref="BB11:BB73" si="6">BA11+D11+C11</f>
        <v>328</v>
      </c>
      <c r="BC11" s="10">
        <f t="shared" ref="BC11:BC73" si="7">ROUND((BB11/BB$5)*100,0)</f>
        <v>86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326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 t="s">
        <v>124</v>
      </c>
      <c r="N12" s="62" t="str">
        <f t="shared" si="1"/>
        <v>a</v>
      </c>
      <c r="O12" s="62" t="str">
        <f t="shared" si="1"/>
        <v>a</v>
      </c>
      <c r="P12" s="62" t="str">
        <f t="shared" si="1"/>
        <v>a</v>
      </c>
      <c r="Q12" s="62" t="str">
        <f t="shared" si="1"/>
        <v>a</v>
      </c>
      <c r="R12" s="62" t="str">
        <f t="shared" si="1"/>
        <v>a</v>
      </c>
      <c r="S12" s="62" t="str">
        <f t="shared" si="1"/>
        <v>a</v>
      </c>
      <c r="T12" s="63" t="str">
        <f t="shared" si="1"/>
        <v>a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32</v>
      </c>
      <c r="BB12" s="9">
        <f t="shared" si="6"/>
        <v>358</v>
      </c>
      <c r="BC12" s="10">
        <f t="shared" si="7"/>
        <v>94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310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40</v>
      </c>
      <c r="BB13" s="9">
        <f t="shared" si="6"/>
        <v>350</v>
      </c>
      <c r="BC13" s="10">
        <f t="shared" si="7"/>
        <v>92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294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 t="s">
        <v>124</v>
      </c>
      <c r="N14" s="62" t="str">
        <f t="shared" si="1"/>
        <v>a</v>
      </c>
      <c r="O14" s="62" t="str">
        <f t="shared" si="1"/>
        <v>a</v>
      </c>
      <c r="P14" s="62" t="str">
        <f t="shared" si="1"/>
        <v>a</v>
      </c>
      <c r="Q14" s="62"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 t="s">
        <v>124</v>
      </c>
      <c r="V14" s="62" t="str">
        <f t="shared" si="2"/>
        <v>a</v>
      </c>
      <c r="W14" s="62" t="str">
        <f t="shared" si="2"/>
        <v>a</v>
      </c>
      <c r="X14" s="62" t="str">
        <f t="shared" si="2"/>
        <v>a</v>
      </c>
      <c r="Y14" s="62" t="str">
        <f t="shared" si="2"/>
        <v>a</v>
      </c>
      <c r="Z14" s="62" t="str">
        <f t="shared" si="2"/>
        <v>a</v>
      </c>
      <c r="AA14" s="62" t="str">
        <f t="shared" si="2"/>
        <v>a</v>
      </c>
      <c r="AB14" s="63" t="str">
        <f t="shared" si="2"/>
        <v>a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28</v>
      </c>
      <c r="BB14" s="9">
        <f t="shared" si="6"/>
        <v>322</v>
      </c>
      <c r="BC14" s="10">
        <f t="shared" si="7"/>
        <v>84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280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62" t="str">
        <f t="shared" si="1"/>
        <v>a</v>
      </c>
      <c r="R15" s="62" t="str">
        <f t="shared" si="1"/>
        <v>a</v>
      </c>
      <c r="S15" s="62" t="str">
        <f t="shared" si="1"/>
        <v>a</v>
      </c>
      <c r="T15" s="63" t="str">
        <f t="shared" si="1"/>
        <v>a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61" t="s">
        <v>124</v>
      </c>
      <c r="AD15" s="62" t="str">
        <f t="shared" si="3"/>
        <v>a</v>
      </c>
      <c r="AE15" s="62" t="str">
        <f t="shared" si="3"/>
        <v>a</v>
      </c>
      <c r="AF15" s="62" t="str">
        <f t="shared" si="3"/>
        <v>a</v>
      </c>
      <c r="AG15" s="62" t="str">
        <f t="shared" si="3"/>
        <v>a</v>
      </c>
      <c r="AH15" s="62" t="str">
        <f t="shared" si="3"/>
        <v>a</v>
      </c>
      <c r="AI15" s="62" t="str">
        <f t="shared" si="3"/>
        <v>a</v>
      </c>
      <c r="AJ15" s="63" t="str">
        <f t="shared" si="3"/>
        <v>a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16</v>
      </c>
      <c r="BB15" s="9">
        <f t="shared" si="6"/>
        <v>296</v>
      </c>
      <c r="BC15" s="10">
        <f t="shared" si="7"/>
        <v>77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275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40</v>
      </c>
      <c r="BB16" s="9">
        <f t="shared" si="6"/>
        <v>315</v>
      </c>
      <c r="BC16" s="10">
        <f t="shared" si="7"/>
        <v>82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328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40</v>
      </c>
      <c r="BB17" s="9">
        <f t="shared" si="6"/>
        <v>368</v>
      </c>
      <c r="BC17" s="10">
        <f t="shared" si="7"/>
        <v>96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276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40</v>
      </c>
      <c r="BB18" s="9">
        <f t="shared" si="6"/>
        <v>316</v>
      </c>
      <c r="BC18" s="10">
        <f t="shared" si="7"/>
        <v>83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292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40</v>
      </c>
      <c r="BB19" s="9">
        <f t="shared" si="6"/>
        <v>332</v>
      </c>
      <c r="BC19" s="10">
        <f t="shared" si="7"/>
        <v>87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326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40</v>
      </c>
      <c r="BB20" s="9">
        <f t="shared" si="6"/>
        <v>366</v>
      </c>
      <c r="BC20" s="10">
        <f t="shared" si="7"/>
        <v>96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322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40</v>
      </c>
      <c r="BB21" s="9">
        <f t="shared" si="6"/>
        <v>362</v>
      </c>
      <c r="BC21" s="10">
        <f t="shared" si="7"/>
        <v>95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342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382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336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376</v>
      </c>
      <c r="BC23" s="10">
        <f t="shared" si="7"/>
        <v>98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296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40</v>
      </c>
      <c r="BB24" s="9">
        <f t="shared" si="6"/>
        <v>336</v>
      </c>
      <c r="BC24" s="10">
        <f t="shared" si="7"/>
        <v>88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294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334</v>
      </c>
      <c r="BC25" s="10">
        <f t="shared" si="7"/>
        <v>87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299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40</v>
      </c>
      <c r="BB26" s="9">
        <f t="shared" si="6"/>
        <v>339</v>
      </c>
      <c r="BC26" s="10">
        <f t="shared" si="7"/>
        <v>89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326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 t="s">
        <v>124</v>
      </c>
      <c r="N27" s="62" t="str">
        <f t="shared" si="9"/>
        <v>a</v>
      </c>
      <c r="O27" s="62" t="str">
        <f t="shared" si="9"/>
        <v>a</v>
      </c>
      <c r="P27" s="62" t="str">
        <f t="shared" si="9"/>
        <v>a</v>
      </c>
      <c r="Q27" s="62" t="str">
        <f t="shared" si="9"/>
        <v>a</v>
      </c>
      <c r="R27" s="62" t="str">
        <f t="shared" si="9"/>
        <v>a</v>
      </c>
      <c r="S27" s="62" t="str">
        <f t="shared" si="9"/>
        <v>a</v>
      </c>
      <c r="T27" s="63" t="str">
        <f t="shared" si="9"/>
        <v>a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32</v>
      </c>
      <c r="BB27" s="9">
        <f t="shared" si="6"/>
        <v>358</v>
      </c>
      <c r="BC27" s="10">
        <f t="shared" si="7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310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>
        <v>1</v>
      </c>
      <c r="AD28" s="62">
        <f t="shared" si="11"/>
        <v>1</v>
      </c>
      <c r="AE28" s="62">
        <f t="shared" si="11"/>
        <v>1</v>
      </c>
      <c r="AF28" s="62">
        <f t="shared" si="11"/>
        <v>1</v>
      </c>
      <c r="AG28" s="62">
        <f t="shared" si="11"/>
        <v>1</v>
      </c>
      <c r="AH28" s="62">
        <f t="shared" si="11"/>
        <v>1</v>
      </c>
      <c r="AI28" s="62">
        <f t="shared" si="11"/>
        <v>1</v>
      </c>
      <c r="AJ28" s="63">
        <f t="shared" si="11"/>
        <v>1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40</v>
      </c>
      <c r="BB28" s="9">
        <f t="shared" si="6"/>
        <v>350</v>
      </c>
      <c r="BC28" s="10">
        <f t="shared" si="7"/>
        <v>92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288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 t="s">
        <v>124</v>
      </c>
      <c r="V29" s="62" t="str">
        <f t="shared" si="10"/>
        <v>a</v>
      </c>
      <c r="W29" s="62" t="str">
        <f t="shared" si="10"/>
        <v>a</v>
      </c>
      <c r="X29" s="62" t="str">
        <f t="shared" si="10"/>
        <v>a</v>
      </c>
      <c r="Y29" s="62" t="str">
        <f t="shared" si="10"/>
        <v>a</v>
      </c>
      <c r="Z29" s="62" t="str">
        <f t="shared" si="10"/>
        <v>a</v>
      </c>
      <c r="AA29" s="62" t="str">
        <f t="shared" si="10"/>
        <v>a</v>
      </c>
      <c r="AB29" s="63" t="str">
        <f t="shared" si="10"/>
        <v>a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32</v>
      </c>
      <c r="BB29" s="9">
        <f t="shared" si="6"/>
        <v>320</v>
      </c>
      <c r="BC29" s="10">
        <f t="shared" si="7"/>
        <v>84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328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>
        <v>1</v>
      </c>
      <c r="V30" s="62">
        <f t="shared" si="10"/>
        <v>1</v>
      </c>
      <c r="W30" s="62">
        <f t="shared" si="10"/>
        <v>1</v>
      </c>
      <c r="X30" s="62">
        <f t="shared" si="10"/>
        <v>1</v>
      </c>
      <c r="Y30" s="62">
        <f t="shared" si="10"/>
        <v>1</v>
      </c>
      <c r="Z30" s="62">
        <f t="shared" si="10"/>
        <v>1</v>
      </c>
      <c r="AA30" s="62">
        <f t="shared" si="10"/>
        <v>1</v>
      </c>
      <c r="AB30" s="63">
        <f t="shared" si="10"/>
        <v>1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40</v>
      </c>
      <c r="BB30" s="9">
        <f t="shared" si="6"/>
        <v>368</v>
      </c>
      <c r="BC30" s="10">
        <f t="shared" si="7"/>
        <v>96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318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40</v>
      </c>
      <c r="BB31" s="9">
        <f t="shared" si="6"/>
        <v>358</v>
      </c>
      <c r="BC31" s="10">
        <f t="shared" si="7"/>
        <v>94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301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 t="s">
        <v>124</v>
      </c>
      <c r="V32" s="62" t="str">
        <f t="shared" si="10"/>
        <v>a</v>
      </c>
      <c r="W32" s="62" t="str">
        <f t="shared" si="10"/>
        <v>a</v>
      </c>
      <c r="X32" s="62" t="str">
        <f t="shared" si="10"/>
        <v>a</v>
      </c>
      <c r="Y32" s="62" t="str">
        <f t="shared" si="10"/>
        <v>a</v>
      </c>
      <c r="Z32" s="62" t="str">
        <f t="shared" si="10"/>
        <v>a</v>
      </c>
      <c r="AA32" s="62" t="str">
        <f t="shared" si="10"/>
        <v>a</v>
      </c>
      <c r="AB32" s="63" t="str">
        <f t="shared" si="10"/>
        <v>a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32</v>
      </c>
      <c r="BB32" s="9">
        <f t="shared" si="6"/>
        <v>333</v>
      </c>
      <c r="BC32" s="10">
        <f t="shared" si="7"/>
        <v>87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320</v>
      </c>
      <c r="E33" s="61">
        <v>1</v>
      </c>
      <c r="F33" s="62">
        <f t="shared" si="13"/>
        <v>1</v>
      </c>
      <c r="G33" s="62">
        <f t="shared" si="13"/>
        <v>1</v>
      </c>
      <c r="H33" s="62">
        <f t="shared" si="13"/>
        <v>1</v>
      </c>
      <c r="I33" s="62">
        <f t="shared" si="13"/>
        <v>1</v>
      </c>
      <c r="J33" s="62">
        <f t="shared" si="13"/>
        <v>1</v>
      </c>
      <c r="K33" s="62">
        <f t="shared" si="13"/>
        <v>1</v>
      </c>
      <c r="L33" s="63">
        <f t="shared" si="13"/>
        <v>1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40</v>
      </c>
      <c r="BB33" s="9">
        <f t="shared" si="6"/>
        <v>360</v>
      </c>
      <c r="BC33" s="10">
        <f t="shared" si="7"/>
        <v>94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287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>
        <v>1</v>
      </c>
      <c r="V34" s="62">
        <f t="shared" si="10"/>
        <v>1</v>
      </c>
      <c r="W34" s="62">
        <f t="shared" si="10"/>
        <v>1</v>
      </c>
      <c r="X34" s="62">
        <f t="shared" si="10"/>
        <v>1</v>
      </c>
      <c r="Y34" s="62">
        <f t="shared" si="10"/>
        <v>1</v>
      </c>
      <c r="Z34" s="62">
        <f t="shared" si="10"/>
        <v>1</v>
      </c>
      <c r="AA34" s="62">
        <f t="shared" si="10"/>
        <v>1</v>
      </c>
      <c r="AB34" s="63">
        <f t="shared" si="10"/>
        <v>1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40</v>
      </c>
      <c r="BB34" s="9">
        <f t="shared" si="6"/>
        <v>327</v>
      </c>
      <c r="BC34" s="10">
        <f t="shared" si="7"/>
        <v>86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342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382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289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40</v>
      </c>
      <c r="BB36" s="9">
        <f t="shared" si="6"/>
        <v>329</v>
      </c>
      <c r="BC36" s="10">
        <f t="shared" si="7"/>
        <v>86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342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382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294</v>
      </c>
      <c r="E38" s="61" t="s">
        <v>124</v>
      </c>
      <c r="F38" s="62" t="str">
        <f t="shared" si="13"/>
        <v>a</v>
      </c>
      <c r="G38" s="62" t="str">
        <f t="shared" si="13"/>
        <v>a</v>
      </c>
      <c r="H38" s="62" t="str">
        <f t="shared" si="13"/>
        <v>a</v>
      </c>
      <c r="I38" s="62" t="str">
        <f t="shared" si="13"/>
        <v>a</v>
      </c>
      <c r="J38" s="62" t="str">
        <f t="shared" si="13"/>
        <v>a</v>
      </c>
      <c r="K38" s="62" t="str">
        <f t="shared" si="13"/>
        <v>a</v>
      </c>
      <c r="L38" s="63" t="str">
        <f t="shared" si="13"/>
        <v>a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>
        <v>1</v>
      </c>
      <c r="V38" s="62">
        <f t="shared" si="10"/>
        <v>1</v>
      </c>
      <c r="W38" s="62">
        <f t="shared" si="10"/>
        <v>1</v>
      </c>
      <c r="X38" s="62">
        <f t="shared" si="10"/>
        <v>1</v>
      </c>
      <c r="Y38" s="62">
        <f t="shared" si="10"/>
        <v>1</v>
      </c>
      <c r="Z38" s="62">
        <f t="shared" si="10"/>
        <v>1</v>
      </c>
      <c r="AA38" s="62">
        <f t="shared" si="10"/>
        <v>1</v>
      </c>
      <c r="AB38" s="63">
        <f t="shared" si="10"/>
        <v>1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32</v>
      </c>
      <c r="BB38" s="9">
        <f t="shared" si="6"/>
        <v>326</v>
      </c>
      <c r="BC38" s="10">
        <f t="shared" si="7"/>
        <v>85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302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>
        <v>1</v>
      </c>
      <c r="V39" s="62">
        <f t="shared" si="10"/>
        <v>1</v>
      </c>
      <c r="W39" s="62">
        <f t="shared" si="10"/>
        <v>1</v>
      </c>
      <c r="X39" s="62">
        <f t="shared" si="10"/>
        <v>1</v>
      </c>
      <c r="Y39" s="62">
        <f t="shared" si="10"/>
        <v>1</v>
      </c>
      <c r="Z39" s="62">
        <f t="shared" si="10"/>
        <v>1</v>
      </c>
      <c r="AA39" s="62">
        <f t="shared" si="10"/>
        <v>1</v>
      </c>
      <c r="AB39" s="63">
        <f t="shared" si="10"/>
        <v>1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 t="s">
        <v>124</v>
      </c>
      <c r="AL39" s="62" t="str">
        <f t="shared" si="12"/>
        <v>a</v>
      </c>
      <c r="AM39" s="62" t="str">
        <f t="shared" si="12"/>
        <v>a</v>
      </c>
      <c r="AN39" s="62" t="str">
        <f t="shared" si="12"/>
        <v>a</v>
      </c>
      <c r="AO39" s="62" t="str">
        <f t="shared" si="12"/>
        <v>a</v>
      </c>
      <c r="AP39" s="62" t="str">
        <f t="shared" si="12"/>
        <v>a</v>
      </c>
      <c r="AQ39" s="62" t="str">
        <f t="shared" si="12"/>
        <v>a</v>
      </c>
      <c r="AR39" s="63" t="str">
        <f t="shared" si="12"/>
        <v>a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32</v>
      </c>
      <c r="BB39" s="9">
        <f t="shared" si="6"/>
        <v>334</v>
      </c>
      <c r="BC39" s="10">
        <f t="shared" si="7"/>
        <v>87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280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 t="s">
        <v>124</v>
      </c>
      <c r="AD40" s="62" t="str">
        <f t="shared" si="11"/>
        <v>a</v>
      </c>
      <c r="AE40" s="62" t="str">
        <f t="shared" si="11"/>
        <v>a</v>
      </c>
      <c r="AF40" s="62" t="str">
        <f t="shared" si="11"/>
        <v>a</v>
      </c>
      <c r="AG40" s="62" t="str">
        <f t="shared" si="11"/>
        <v>a</v>
      </c>
      <c r="AH40" s="62" t="str">
        <f t="shared" si="11"/>
        <v>a</v>
      </c>
      <c r="AI40" s="62" t="str">
        <f t="shared" si="11"/>
        <v>a</v>
      </c>
      <c r="AJ40" s="63" t="str">
        <f t="shared" si="11"/>
        <v>a</v>
      </c>
      <c r="AK40" s="61" t="s">
        <v>124</v>
      </c>
      <c r="AL40" s="62" t="str">
        <f t="shared" si="12"/>
        <v>a</v>
      </c>
      <c r="AM40" s="62" t="str">
        <f t="shared" si="12"/>
        <v>a</v>
      </c>
      <c r="AN40" s="62" t="str">
        <f t="shared" si="12"/>
        <v>a</v>
      </c>
      <c r="AO40" s="62" t="str">
        <f t="shared" si="12"/>
        <v>a</v>
      </c>
      <c r="AP40" s="62" t="str">
        <f t="shared" si="12"/>
        <v>a</v>
      </c>
      <c r="AQ40" s="62" t="str">
        <f t="shared" si="12"/>
        <v>a</v>
      </c>
      <c r="AR40" s="63" t="str">
        <f t="shared" si="12"/>
        <v>a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24</v>
      </c>
      <c r="BB40" s="9">
        <f t="shared" si="6"/>
        <v>304</v>
      </c>
      <c r="BC40" s="10">
        <f t="shared" si="7"/>
        <v>80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290</v>
      </c>
      <c r="E41" s="61">
        <v>1</v>
      </c>
      <c r="F41" s="62">
        <f t="shared" si="13"/>
        <v>1</v>
      </c>
      <c r="G41" s="62">
        <f t="shared" si="13"/>
        <v>1</v>
      </c>
      <c r="H41" s="62">
        <f t="shared" si="13"/>
        <v>1</v>
      </c>
      <c r="I41" s="62">
        <f t="shared" si="13"/>
        <v>1</v>
      </c>
      <c r="J41" s="62">
        <f t="shared" si="13"/>
        <v>1</v>
      </c>
      <c r="K41" s="62">
        <f t="shared" si="13"/>
        <v>1</v>
      </c>
      <c r="L41" s="63">
        <f t="shared" si="13"/>
        <v>1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40</v>
      </c>
      <c r="BB41" s="9">
        <f t="shared" si="6"/>
        <v>330</v>
      </c>
      <c r="BC41" s="10">
        <f t="shared" si="7"/>
        <v>86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325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>
        <v>1</v>
      </c>
      <c r="V42" s="62">
        <f t="shared" ref="V42:AB57" si="16">U42</f>
        <v>1</v>
      </c>
      <c r="W42" s="62">
        <f t="shared" si="16"/>
        <v>1</v>
      </c>
      <c r="X42" s="62">
        <f t="shared" si="16"/>
        <v>1</v>
      </c>
      <c r="Y42" s="62">
        <f t="shared" si="16"/>
        <v>1</v>
      </c>
      <c r="Z42" s="62">
        <f t="shared" si="16"/>
        <v>1</v>
      </c>
      <c r="AA42" s="62">
        <f t="shared" si="16"/>
        <v>1</v>
      </c>
      <c r="AB42" s="63">
        <f t="shared" si="16"/>
        <v>1</v>
      </c>
      <c r="AC42" s="61">
        <v>1</v>
      </c>
      <c r="AD42" s="62">
        <f t="shared" ref="AD42:AJ57" si="17">AC42</f>
        <v>1</v>
      </c>
      <c r="AE42" s="62">
        <f t="shared" si="17"/>
        <v>1</v>
      </c>
      <c r="AF42" s="62">
        <f t="shared" si="17"/>
        <v>1</v>
      </c>
      <c r="AG42" s="62">
        <f t="shared" si="17"/>
        <v>1</v>
      </c>
      <c r="AH42" s="62">
        <f t="shared" si="17"/>
        <v>1</v>
      </c>
      <c r="AI42" s="62">
        <f t="shared" si="17"/>
        <v>1</v>
      </c>
      <c r="AJ42" s="63">
        <f t="shared" si="17"/>
        <v>1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40</v>
      </c>
      <c r="BB42" s="9">
        <f t="shared" si="6"/>
        <v>365</v>
      </c>
      <c r="BC42" s="10">
        <f t="shared" si="7"/>
        <v>96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277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 t="s">
        <v>124</v>
      </c>
      <c r="AD43" s="62" t="str">
        <f t="shared" si="17"/>
        <v>a</v>
      </c>
      <c r="AE43" s="62" t="str">
        <f t="shared" si="17"/>
        <v>a</v>
      </c>
      <c r="AF43" s="62" t="str">
        <f t="shared" si="17"/>
        <v>a</v>
      </c>
      <c r="AG43" s="62" t="str">
        <f t="shared" si="17"/>
        <v>a</v>
      </c>
      <c r="AH43" s="62" t="str">
        <f t="shared" si="17"/>
        <v>a</v>
      </c>
      <c r="AI43" s="62" t="str">
        <f t="shared" si="17"/>
        <v>a</v>
      </c>
      <c r="AJ43" s="63" t="str">
        <f t="shared" si="17"/>
        <v>a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32</v>
      </c>
      <c r="BB43" s="9">
        <f t="shared" si="6"/>
        <v>309</v>
      </c>
      <c r="BC43" s="10">
        <f t="shared" si="7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280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320</v>
      </c>
      <c r="BC44" s="10">
        <f t="shared" si="7"/>
        <v>84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302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40</v>
      </c>
      <c r="BB45" s="9">
        <f t="shared" si="6"/>
        <v>342</v>
      </c>
      <c r="BC45" s="10">
        <f t="shared" si="7"/>
        <v>90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312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 t="s">
        <v>124</v>
      </c>
      <c r="V46" s="62" t="str">
        <f t="shared" si="16"/>
        <v>a</v>
      </c>
      <c r="W46" s="62" t="str">
        <f t="shared" si="16"/>
        <v>a</v>
      </c>
      <c r="X46" s="62" t="str">
        <f t="shared" si="16"/>
        <v>a</v>
      </c>
      <c r="Y46" s="62" t="str">
        <f t="shared" si="16"/>
        <v>a</v>
      </c>
      <c r="Z46" s="62" t="str">
        <f t="shared" si="16"/>
        <v>a</v>
      </c>
      <c r="AA46" s="62" t="str">
        <f t="shared" si="16"/>
        <v>a</v>
      </c>
      <c r="AB46" s="63" t="str">
        <f t="shared" si="16"/>
        <v>a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32</v>
      </c>
      <c r="BB46" s="9">
        <f t="shared" si="6"/>
        <v>344</v>
      </c>
      <c r="BC46" s="10">
        <f t="shared" si="7"/>
        <v>90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296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40</v>
      </c>
      <c r="BB47" s="9">
        <f t="shared" si="6"/>
        <v>336</v>
      </c>
      <c r="BC47" s="10">
        <f t="shared" si="7"/>
        <v>88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282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 t="s">
        <v>124</v>
      </c>
      <c r="N48" s="62" t="str">
        <f t="shared" si="15"/>
        <v>a</v>
      </c>
      <c r="O48" s="62" t="str">
        <f t="shared" si="15"/>
        <v>a</v>
      </c>
      <c r="P48" s="62" t="str">
        <f t="shared" si="15"/>
        <v>a</v>
      </c>
      <c r="Q48" s="62" t="str">
        <f t="shared" si="15"/>
        <v>a</v>
      </c>
      <c r="R48" s="62" t="str">
        <f t="shared" si="15"/>
        <v>a</v>
      </c>
      <c r="S48" s="62" t="str">
        <f t="shared" si="15"/>
        <v>a</v>
      </c>
      <c r="T48" s="63" t="str">
        <f t="shared" si="15"/>
        <v>a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32</v>
      </c>
      <c r="BB48" s="9">
        <f t="shared" si="6"/>
        <v>314</v>
      </c>
      <c r="BC48" s="10">
        <f t="shared" si="7"/>
        <v>82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326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366</v>
      </c>
      <c r="BC49" s="10">
        <f t="shared" si="7"/>
        <v>96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328</v>
      </c>
      <c r="E50" s="61" t="s">
        <v>124</v>
      </c>
      <c r="F50" s="62" t="str">
        <f t="shared" si="19"/>
        <v>a</v>
      </c>
      <c r="G50" s="62" t="str">
        <f t="shared" si="19"/>
        <v>a</v>
      </c>
      <c r="H50" s="62" t="str">
        <f t="shared" si="19"/>
        <v>a</v>
      </c>
      <c r="I50" s="62" t="str">
        <f t="shared" si="19"/>
        <v>a</v>
      </c>
      <c r="J50" s="62" t="str">
        <f t="shared" si="19"/>
        <v>a</v>
      </c>
      <c r="K50" s="62" t="str">
        <f t="shared" si="19"/>
        <v>a</v>
      </c>
      <c r="L50" s="63" t="str">
        <f t="shared" si="19"/>
        <v>a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>
        <v>1</v>
      </c>
      <c r="V50" s="62">
        <f t="shared" si="16"/>
        <v>1</v>
      </c>
      <c r="W50" s="62">
        <f t="shared" si="16"/>
        <v>1</v>
      </c>
      <c r="X50" s="62">
        <f t="shared" si="16"/>
        <v>1</v>
      </c>
      <c r="Y50" s="62">
        <f t="shared" si="16"/>
        <v>1</v>
      </c>
      <c r="Z50" s="62">
        <f t="shared" si="16"/>
        <v>1</v>
      </c>
      <c r="AA50" s="62">
        <f t="shared" si="16"/>
        <v>1</v>
      </c>
      <c r="AB50" s="63">
        <f t="shared" si="16"/>
        <v>1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32</v>
      </c>
      <c r="BB50" s="9">
        <f t="shared" si="6"/>
        <v>360</v>
      </c>
      <c r="BC50" s="10">
        <f t="shared" si="7"/>
        <v>94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312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352</v>
      </c>
      <c r="BC51" s="10">
        <f t="shared" si="7"/>
        <v>92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324</v>
      </c>
      <c r="E52" s="61">
        <v>1</v>
      </c>
      <c r="F52" s="62">
        <f t="shared" si="19"/>
        <v>1</v>
      </c>
      <c r="G52" s="62">
        <f t="shared" si="19"/>
        <v>1</v>
      </c>
      <c r="H52" s="62">
        <f t="shared" si="19"/>
        <v>1</v>
      </c>
      <c r="I52" s="62">
        <f t="shared" si="19"/>
        <v>1</v>
      </c>
      <c r="J52" s="62">
        <f t="shared" si="19"/>
        <v>1</v>
      </c>
      <c r="K52" s="62">
        <f t="shared" si="19"/>
        <v>1</v>
      </c>
      <c r="L52" s="63">
        <f t="shared" si="19"/>
        <v>1</v>
      </c>
      <c r="M52" s="61" t="s">
        <v>124</v>
      </c>
      <c r="N52" s="62" t="str">
        <f t="shared" si="15"/>
        <v>a</v>
      </c>
      <c r="O52" s="62" t="str">
        <f t="shared" si="15"/>
        <v>a</v>
      </c>
      <c r="P52" s="62" t="str">
        <f t="shared" si="15"/>
        <v>a</v>
      </c>
      <c r="Q52" s="62" t="str">
        <f t="shared" si="15"/>
        <v>a</v>
      </c>
      <c r="R52" s="62" t="str">
        <f t="shared" si="15"/>
        <v>a</v>
      </c>
      <c r="S52" s="62" t="str">
        <f t="shared" si="15"/>
        <v>a</v>
      </c>
      <c r="T52" s="63" t="str">
        <f t="shared" si="15"/>
        <v>a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32</v>
      </c>
      <c r="BB52" s="9">
        <f t="shared" si="6"/>
        <v>356</v>
      </c>
      <c r="BC52" s="10">
        <f t="shared" si="7"/>
        <v>93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310</v>
      </c>
      <c r="E53" s="61" t="s">
        <v>124</v>
      </c>
      <c r="F53" s="62" t="str">
        <f t="shared" si="19"/>
        <v>a</v>
      </c>
      <c r="G53" s="62" t="str">
        <f t="shared" si="19"/>
        <v>a</v>
      </c>
      <c r="H53" s="62" t="str">
        <f t="shared" si="19"/>
        <v>a</v>
      </c>
      <c r="I53" s="62" t="str">
        <f t="shared" si="19"/>
        <v>a</v>
      </c>
      <c r="J53" s="62" t="str">
        <f t="shared" si="19"/>
        <v>a</v>
      </c>
      <c r="K53" s="62" t="str">
        <f t="shared" si="19"/>
        <v>a</v>
      </c>
      <c r="L53" s="63" t="str">
        <f t="shared" si="19"/>
        <v>a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 t="s">
        <v>124</v>
      </c>
      <c r="AD53" s="62" t="str">
        <f t="shared" si="17"/>
        <v>a</v>
      </c>
      <c r="AE53" s="62" t="str">
        <f t="shared" si="17"/>
        <v>a</v>
      </c>
      <c r="AF53" s="62" t="str">
        <f t="shared" si="17"/>
        <v>a</v>
      </c>
      <c r="AG53" s="62" t="str">
        <f t="shared" si="17"/>
        <v>a</v>
      </c>
      <c r="AH53" s="62" t="str">
        <f t="shared" si="17"/>
        <v>a</v>
      </c>
      <c r="AI53" s="62" t="str">
        <f t="shared" si="17"/>
        <v>a</v>
      </c>
      <c r="AJ53" s="63" t="str">
        <f t="shared" si="17"/>
        <v>a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24</v>
      </c>
      <c r="BB53" s="9">
        <f t="shared" si="6"/>
        <v>334</v>
      </c>
      <c r="BC53" s="10">
        <f t="shared" si="7"/>
        <v>87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304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 t="s">
        <v>124</v>
      </c>
      <c r="N54" s="62" t="str">
        <f t="shared" si="15"/>
        <v>a</v>
      </c>
      <c r="O54" s="62" t="str">
        <f t="shared" si="15"/>
        <v>a</v>
      </c>
      <c r="P54" s="62" t="str">
        <f t="shared" si="15"/>
        <v>a</v>
      </c>
      <c r="Q54" s="62" t="str">
        <f t="shared" si="15"/>
        <v>a</v>
      </c>
      <c r="R54" s="62" t="str">
        <f t="shared" si="15"/>
        <v>a</v>
      </c>
      <c r="S54" s="62" t="str">
        <f t="shared" si="15"/>
        <v>a</v>
      </c>
      <c r="T54" s="63" t="str">
        <f t="shared" si="15"/>
        <v>a</v>
      </c>
      <c r="U54" s="61">
        <v>1</v>
      </c>
      <c r="V54" s="62">
        <f t="shared" si="16"/>
        <v>1</v>
      </c>
      <c r="W54" s="62">
        <f t="shared" si="16"/>
        <v>1</v>
      </c>
      <c r="X54" s="62">
        <f t="shared" si="16"/>
        <v>1</v>
      </c>
      <c r="Y54" s="62">
        <f t="shared" si="16"/>
        <v>1</v>
      </c>
      <c r="Z54" s="62">
        <f t="shared" si="16"/>
        <v>1</v>
      </c>
      <c r="AA54" s="62">
        <f t="shared" si="16"/>
        <v>1</v>
      </c>
      <c r="AB54" s="63">
        <f t="shared" si="16"/>
        <v>1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32</v>
      </c>
      <c r="BB54" s="9">
        <f t="shared" si="6"/>
        <v>336</v>
      </c>
      <c r="BC54" s="10">
        <f t="shared" si="7"/>
        <v>88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294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>
        <v>1</v>
      </c>
      <c r="V55" s="62">
        <f t="shared" si="16"/>
        <v>1</v>
      </c>
      <c r="W55" s="62">
        <f t="shared" si="16"/>
        <v>1</v>
      </c>
      <c r="X55" s="62">
        <f t="shared" si="16"/>
        <v>1</v>
      </c>
      <c r="Y55" s="62">
        <f t="shared" si="16"/>
        <v>1</v>
      </c>
      <c r="Z55" s="62">
        <f t="shared" si="16"/>
        <v>1</v>
      </c>
      <c r="AA55" s="62">
        <f t="shared" si="16"/>
        <v>1</v>
      </c>
      <c r="AB55" s="63">
        <f t="shared" si="16"/>
        <v>1</v>
      </c>
      <c r="AC55" s="61" t="s">
        <v>124</v>
      </c>
      <c r="AD55" s="62" t="str">
        <f t="shared" si="17"/>
        <v>a</v>
      </c>
      <c r="AE55" s="62" t="str">
        <f t="shared" si="17"/>
        <v>a</v>
      </c>
      <c r="AF55" s="62" t="str">
        <f t="shared" si="17"/>
        <v>a</v>
      </c>
      <c r="AG55" s="62" t="str">
        <f t="shared" si="17"/>
        <v>a</v>
      </c>
      <c r="AH55" s="62" t="str">
        <f t="shared" si="17"/>
        <v>a</v>
      </c>
      <c r="AI55" s="62" t="str">
        <f t="shared" si="17"/>
        <v>a</v>
      </c>
      <c r="AJ55" s="63" t="str">
        <f t="shared" si="17"/>
        <v>a</v>
      </c>
      <c r="AK55" s="61" t="s">
        <v>124</v>
      </c>
      <c r="AL55" s="62" t="str">
        <f t="shared" si="18"/>
        <v>a</v>
      </c>
      <c r="AM55" s="62" t="str">
        <f t="shared" si="18"/>
        <v>a</v>
      </c>
      <c r="AN55" s="62" t="str">
        <f t="shared" si="18"/>
        <v>a</v>
      </c>
      <c r="AO55" s="62" t="str">
        <f t="shared" si="18"/>
        <v>a</v>
      </c>
      <c r="AP55" s="62" t="str">
        <f t="shared" si="18"/>
        <v>a</v>
      </c>
      <c r="AQ55" s="62" t="str">
        <f t="shared" si="18"/>
        <v>a</v>
      </c>
      <c r="AR55" s="63" t="str">
        <f t="shared" si="18"/>
        <v>a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24</v>
      </c>
      <c r="BB55" s="9">
        <f t="shared" si="6"/>
        <v>318</v>
      </c>
      <c r="BC55" s="10">
        <f t="shared" si="7"/>
        <v>83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310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40</v>
      </c>
      <c r="BB56" s="9">
        <f t="shared" si="6"/>
        <v>350</v>
      </c>
      <c r="BC56" s="10">
        <f t="shared" si="7"/>
        <v>92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294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>
        <v>1</v>
      </c>
      <c r="N57" s="62">
        <f t="shared" si="15"/>
        <v>1</v>
      </c>
      <c r="O57" s="62">
        <f t="shared" si="15"/>
        <v>1</v>
      </c>
      <c r="P57" s="62">
        <f t="shared" si="15"/>
        <v>1</v>
      </c>
      <c r="Q57" s="62">
        <f t="shared" si="15"/>
        <v>1</v>
      </c>
      <c r="R57" s="62">
        <f t="shared" si="15"/>
        <v>1</v>
      </c>
      <c r="S57" s="62">
        <f t="shared" si="15"/>
        <v>1</v>
      </c>
      <c r="T57" s="63">
        <f t="shared" si="15"/>
        <v>1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40</v>
      </c>
      <c r="BB57" s="9">
        <f t="shared" si="6"/>
        <v>334</v>
      </c>
      <c r="BC57" s="10">
        <f t="shared" si="7"/>
        <v>87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326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40</v>
      </c>
      <c r="BB58" s="9">
        <f t="shared" si="6"/>
        <v>366</v>
      </c>
      <c r="BC58" s="10">
        <f t="shared" si="7"/>
        <v>96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326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>
        <v>1</v>
      </c>
      <c r="V59" s="62">
        <f t="shared" si="21"/>
        <v>1</v>
      </c>
      <c r="W59" s="62">
        <f t="shared" si="21"/>
        <v>1</v>
      </c>
      <c r="X59" s="62">
        <f t="shared" si="21"/>
        <v>1</v>
      </c>
      <c r="Y59" s="62">
        <f t="shared" si="21"/>
        <v>1</v>
      </c>
      <c r="Z59" s="62">
        <f t="shared" si="21"/>
        <v>1</v>
      </c>
      <c r="AA59" s="62">
        <f t="shared" si="21"/>
        <v>1</v>
      </c>
      <c r="AB59" s="63">
        <f t="shared" si="21"/>
        <v>1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40</v>
      </c>
      <c r="BB59" s="9">
        <f t="shared" si="6"/>
        <v>366</v>
      </c>
      <c r="BC59" s="10">
        <f t="shared" si="7"/>
        <v>96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254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 t="s">
        <v>124</v>
      </c>
      <c r="N60" s="62" t="str">
        <f t="shared" si="20"/>
        <v>a</v>
      </c>
      <c r="O60" s="62" t="str">
        <f t="shared" si="20"/>
        <v>a</v>
      </c>
      <c r="P60" s="62" t="str">
        <f t="shared" si="20"/>
        <v>a</v>
      </c>
      <c r="Q60" s="62" t="str">
        <f t="shared" si="20"/>
        <v>a</v>
      </c>
      <c r="R60" s="62" t="str">
        <f t="shared" si="20"/>
        <v>a</v>
      </c>
      <c r="S60" s="62" t="str">
        <f t="shared" si="20"/>
        <v>a</v>
      </c>
      <c r="T60" s="63" t="str">
        <f t="shared" si="20"/>
        <v>a</v>
      </c>
      <c r="U60" s="61" t="s">
        <v>124</v>
      </c>
      <c r="V60" s="62" t="str">
        <f t="shared" si="21"/>
        <v>a</v>
      </c>
      <c r="W60" s="62" t="str">
        <f t="shared" si="21"/>
        <v>a</v>
      </c>
      <c r="X60" s="62" t="str">
        <f t="shared" si="21"/>
        <v>a</v>
      </c>
      <c r="Y60" s="62" t="str">
        <f t="shared" si="21"/>
        <v>a</v>
      </c>
      <c r="Z60" s="62" t="str">
        <f t="shared" si="21"/>
        <v>a</v>
      </c>
      <c r="AA60" s="62" t="str">
        <f t="shared" si="21"/>
        <v>a</v>
      </c>
      <c r="AB60" s="63" t="str">
        <f t="shared" si="21"/>
        <v>a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24</v>
      </c>
      <c r="BB60" s="9">
        <f t="shared" si="6"/>
        <v>278</v>
      </c>
      <c r="BC60" s="10">
        <f t="shared" si="7"/>
        <v>73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326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 t="s">
        <v>124</v>
      </c>
      <c r="N61" s="62" t="str">
        <f t="shared" si="20"/>
        <v>a</v>
      </c>
      <c r="O61" s="62" t="str">
        <f t="shared" si="20"/>
        <v>a</v>
      </c>
      <c r="P61" s="62" t="str">
        <f t="shared" si="20"/>
        <v>a</v>
      </c>
      <c r="Q61" s="62" t="str">
        <f t="shared" si="20"/>
        <v>a</v>
      </c>
      <c r="R61" s="62" t="str">
        <f t="shared" si="20"/>
        <v>a</v>
      </c>
      <c r="S61" s="62" t="str">
        <f t="shared" si="20"/>
        <v>a</v>
      </c>
      <c r="T61" s="63" t="str">
        <f t="shared" si="20"/>
        <v>a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32</v>
      </c>
      <c r="BB61" s="9">
        <f t="shared" si="6"/>
        <v>358</v>
      </c>
      <c r="BC61" s="10">
        <f t="shared" si="7"/>
        <v>94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244</v>
      </c>
      <c r="E62" s="61">
        <v>1</v>
      </c>
      <c r="F62" s="62">
        <f t="shared" si="24"/>
        <v>1</v>
      </c>
      <c r="G62" s="62">
        <f t="shared" si="24"/>
        <v>1</v>
      </c>
      <c r="H62" s="62">
        <f t="shared" si="24"/>
        <v>1</v>
      </c>
      <c r="I62" s="62">
        <f t="shared" si="24"/>
        <v>1</v>
      </c>
      <c r="J62" s="62">
        <f t="shared" si="24"/>
        <v>1</v>
      </c>
      <c r="K62" s="62">
        <f t="shared" si="24"/>
        <v>1</v>
      </c>
      <c r="L62" s="63">
        <f t="shared" si="24"/>
        <v>1</v>
      </c>
      <c r="M62" s="61">
        <v>1</v>
      </c>
      <c r="N62" s="62">
        <f t="shared" si="20"/>
        <v>1</v>
      </c>
      <c r="O62" s="62">
        <f t="shared" si="20"/>
        <v>1</v>
      </c>
      <c r="P62" s="62">
        <f t="shared" si="20"/>
        <v>1</v>
      </c>
      <c r="Q62" s="62">
        <f t="shared" si="20"/>
        <v>1</v>
      </c>
      <c r="R62" s="62">
        <f t="shared" si="20"/>
        <v>1</v>
      </c>
      <c r="S62" s="62">
        <f t="shared" si="20"/>
        <v>1</v>
      </c>
      <c r="T62" s="63">
        <f t="shared" si="20"/>
        <v>1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>
        <v>1</v>
      </c>
      <c r="AD62" s="62">
        <f t="shared" si="22"/>
        <v>1</v>
      </c>
      <c r="AE62" s="62">
        <f t="shared" si="22"/>
        <v>1</v>
      </c>
      <c r="AF62" s="62">
        <f t="shared" si="22"/>
        <v>1</v>
      </c>
      <c r="AG62" s="62">
        <f t="shared" si="22"/>
        <v>1</v>
      </c>
      <c r="AH62" s="62">
        <f t="shared" si="22"/>
        <v>1</v>
      </c>
      <c r="AI62" s="62">
        <f t="shared" si="22"/>
        <v>1</v>
      </c>
      <c r="AJ62" s="63">
        <f t="shared" si="22"/>
        <v>1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40</v>
      </c>
      <c r="BB62" s="9">
        <f t="shared" si="6"/>
        <v>284</v>
      </c>
      <c r="BC62" s="10">
        <f t="shared" si="7"/>
        <v>74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279</v>
      </c>
      <c r="E63" s="61" t="s">
        <v>124</v>
      </c>
      <c r="F63" s="62" t="str">
        <f t="shared" si="24"/>
        <v>a</v>
      </c>
      <c r="G63" s="62" t="str">
        <f t="shared" si="24"/>
        <v>a</v>
      </c>
      <c r="H63" s="62" t="str">
        <f t="shared" si="24"/>
        <v>a</v>
      </c>
      <c r="I63" s="62" t="str">
        <f t="shared" si="24"/>
        <v>a</v>
      </c>
      <c r="J63" s="62" t="str">
        <f t="shared" si="24"/>
        <v>a</v>
      </c>
      <c r="K63" s="62" t="str">
        <f t="shared" si="24"/>
        <v>a</v>
      </c>
      <c r="L63" s="63" t="str">
        <f t="shared" si="24"/>
        <v>a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 t="s">
        <v>124</v>
      </c>
      <c r="V63" s="62" t="str">
        <f t="shared" si="21"/>
        <v>a</v>
      </c>
      <c r="W63" s="62" t="str">
        <f t="shared" si="21"/>
        <v>a</v>
      </c>
      <c r="X63" s="62" t="str">
        <f t="shared" si="21"/>
        <v>a</v>
      </c>
      <c r="Y63" s="62" t="str">
        <f t="shared" si="21"/>
        <v>a</v>
      </c>
      <c r="Z63" s="62" t="str">
        <f t="shared" si="21"/>
        <v>a</v>
      </c>
      <c r="AA63" s="62" t="str">
        <f t="shared" si="21"/>
        <v>a</v>
      </c>
      <c r="AB63" s="63" t="str">
        <f t="shared" si="21"/>
        <v>a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24</v>
      </c>
      <c r="BB63" s="9">
        <f t="shared" si="6"/>
        <v>303</v>
      </c>
      <c r="BC63" s="10">
        <f t="shared" si="7"/>
        <v>79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296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40</v>
      </c>
      <c r="BB64" s="9">
        <f t="shared" si="6"/>
        <v>336</v>
      </c>
      <c r="BC64" s="10">
        <f t="shared" si="7"/>
        <v>88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292</v>
      </c>
      <c r="E65" s="61" t="s">
        <v>124</v>
      </c>
      <c r="F65" s="62" t="str">
        <f t="shared" si="24"/>
        <v>a</v>
      </c>
      <c r="G65" s="62" t="str">
        <f t="shared" si="24"/>
        <v>a</v>
      </c>
      <c r="H65" s="62" t="str">
        <f t="shared" si="24"/>
        <v>a</v>
      </c>
      <c r="I65" s="62" t="str">
        <f t="shared" si="24"/>
        <v>a</v>
      </c>
      <c r="J65" s="62" t="str">
        <f t="shared" si="24"/>
        <v>a</v>
      </c>
      <c r="K65" s="62" t="str">
        <f t="shared" si="24"/>
        <v>a</v>
      </c>
      <c r="L65" s="63" t="str">
        <f t="shared" si="24"/>
        <v>a</v>
      </c>
      <c r="M65" s="61">
        <v>1</v>
      </c>
      <c r="N65" s="62">
        <f t="shared" si="20"/>
        <v>1</v>
      </c>
      <c r="O65" s="62">
        <f t="shared" si="20"/>
        <v>1</v>
      </c>
      <c r="P65" s="62">
        <f t="shared" si="20"/>
        <v>1</v>
      </c>
      <c r="Q65" s="62">
        <f t="shared" si="20"/>
        <v>1</v>
      </c>
      <c r="R65" s="62">
        <f t="shared" si="20"/>
        <v>1</v>
      </c>
      <c r="S65" s="62">
        <f t="shared" si="20"/>
        <v>1</v>
      </c>
      <c r="T65" s="63">
        <f t="shared" si="20"/>
        <v>1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 t="s">
        <v>124</v>
      </c>
      <c r="AL65" s="62" t="str">
        <f t="shared" si="23"/>
        <v>a</v>
      </c>
      <c r="AM65" s="62" t="str">
        <f t="shared" si="23"/>
        <v>a</v>
      </c>
      <c r="AN65" s="62" t="str">
        <f t="shared" si="23"/>
        <v>a</v>
      </c>
      <c r="AO65" s="62" t="str">
        <f t="shared" si="23"/>
        <v>a</v>
      </c>
      <c r="AP65" s="62" t="str">
        <f t="shared" si="23"/>
        <v>a</v>
      </c>
      <c r="AQ65" s="62" t="str">
        <f t="shared" si="23"/>
        <v>a</v>
      </c>
      <c r="AR65" s="63" t="str">
        <f t="shared" si="23"/>
        <v>a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24</v>
      </c>
      <c r="BB65" s="9">
        <f t="shared" si="6"/>
        <v>316</v>
      </c>
      <c r="BC65" s="10">
        <f t="shared" si="7"/>
        <v>83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326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>
        <v>1</v>
      </c>
      <c r="AD66" s="62">
        <f t="shared" si="22"/>
        <v>1</v>
      </c>
      <c r="AE66" s="62">
        <f t="shared" si="22"/>
        <v>1</v>
      </c>
      <c r="AF66" s="62">
        <f t="shared" si="22"/>
        <v>1</v>
      </c>
      <c r="AG66" s="62">
        <f t="shared" si="22"/>
        <v>1</v>
      </c>
      <c r="AH66" s="62">
        <f t="shared" si="22"/>
        <v>1</v>
      </c>
      <c r="AI66" s="62">
        <f t="shared" si="22"/>
        <v>1</v>
      </c>
      <c r="AJ66" s="63">
        <f t="shared" si="22"/>
        <v>1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40</v>
      </c>
      <c r="BB66" s="9">
        <f t="shared" si="6"/>
        <v>366</v>
      </c>
      <c r="BC66" s="10">
        <f t="shared" si="7"/>
        <v>96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286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>
        <v>1</v>
      </c>
      <c r="V67" s="62">
        <f t="shared" si="21"/>
        <v>1</v>
      </c>
      <c r="W67" s="62">
        <f t="shared" si="21"/>
        <v>1</v>
      </c>
      <c r="X67" s="62">
        <f t="shared" si="21"/>
        <v>1</v>
      </c>
      <c r="Y67" s="62">
        <f t="shared" si="21"/>
        <v>1</v>
      </c>
      <c r="Z67" s="62">
        <f t="shared" si="21"/>
        <v>1</v>
      </c>
      <c r="AA67" s="62">
        <f t="shared" si="21"/>
        <v>1</v>
      </c>
      <c r="AB67" s="63">
        <f t="shared" si="21"/>
        <v>1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40</v>
      </c>
      <c r="BB67" s="9">
        <f t="shared" si="6"/>
        <v>326</v>
      </c>
      <c r="BC67" s="10">
        <f t="shared" si="7"/>
        <v>85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298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>
        <v>1</v>
      </c>
      <c r="N68" s="62">
        <f t="shared" si="20"/>
        <v>1</v>
      </c>
      <c r="O68" s="62">
        <f t="shared" si="20"/>
        <v>1</v>
      </c>
      <c r="P68" s="62">
        <f t="shared" si="20"/>
        <v>1</v>
      </c>
      <c r="Q68" s="62">
        <f t="shared" si="20"/>
        <v>1</v>
      </c>
      <c r="R68" s="62">
        <f t="shared" si="20"/>
        <v>1</v>
      </c>
      <c r="S68" s="62">
        <f t="shared" si="20"/>
        <v>1</v>
      </c>
      <c r="T68" s="63">
        <f t="shared" si="20"/>
        <v>1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>
        <v>1</v>
      </c>
      <c r="AD68" s="62">
        <f t="shared" si="22"/>
        <v>1</v>
      </c>
      <c r="AE68" s="62">
        <f t="shared" si="22"/>
        <v>1</v>
      </c>
      <c r="AF68" s="62">
        <f t="shared" si="22"/>
        <v>1</v>
      </c>
      <c r="AG68" s="62">
        <f t="shared" si="22"/>
        <v>1</v>
      </c>
      <c r="AH68" s="62">
        <f t="shared" si="22"/>
        <v>1</v>
      </c>
      <c r="AI68" s="62">
        <f t="shared" si="22"/>
        <v>1</v>
      </c>
      <c r="AJ68" s="63">
        <f t="shared" si="22"/>
        <v>1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40</v>
      </c>
      <c r="BB68" s="9">
        <f t="shared" si="6"/>
        <v>338</v>
      </c>
      <c r="BC68" s="10">
        <f t="shared" si="7"/>
        <v>88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331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371</v>
      </c>
      <c r="BC69" s="10">
        <f t="shared" si="7"/>
        <v>97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250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40</v>
      </c>
      <c r="BB70" s="9">
        <f t="shared" si="6"/>
        <v>290</v>
      </c>
      <c r="BC70" s="10">
        <f t="shared" si="7"/>
        <v>76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302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 t="s">
        <v>124</v>
      </c>
      <c r="N71" s="62" t="str">
        <f t="shared" si="20"/>
        <v>a</v>
      </c>
      <c r="O71" s="62" t="str">
        <f t="shared" si="20"/>
        <v>a</v>
      </c>
      <c r="P71" s="62" t="str">
        <f t="shared" si="20"/>
        <v>a</v>
      </c>
      <c r="Q71" s="62" t="str">
        <f t="shared" si="20"/>
        <v>a</v>
      </c>
      <c r="R71" s="62" t="str">
        <f t="shared" si="20"/>
        <v>a</v>
      </c>
      <c r="S71" s="62" t="str">
        <f t="shared" si="20"/>
        <v>a</v>
      </c>
      <c r="T71" s="63" t="str">
        <f t="shared" si="20"/>
        <v>a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32</v>
      </c>
      <c r="BB71" s="9">
        <f t="shared" si="6"/>
        <v>334</v>
      </c>
      <c r="BC71" s="10">
        <f t="shared" si="7"/>
        <v>87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272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 t="s">
        <v>124</v>
      </c>
      <c r="AL72" s="62" t="str">
        <f t="shared" si="23"/>
        <v>a</v>
      </c>
      <c r="AM72" s="62" t="str">
        <f t="shared" si="23"/>
        <v>a</v>
      </c>
      <c r="AN72" s="62" t="str">
        <f t="shared" si="23"/>
        <v>a</v>
      </c>
      <c r="AO72" s="62" t="str">
        <f t="shared" si="23"/>
        <v>a</v>
      </c>
      <c r="AP72" s="62" t="str">
        <f t="shared" si="23"/>
        <v>a</v>
      </c>
      <c r="AQ72" s="62" t="str">
        <f t="shared" si="23"/>
        <v>a</v>
      </c>
      <c r="AR72" s="63" t="str">
        <f t="shared" si="23"/>
        <v>a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32</v>
      </c>
      <c r="BB72" s="9">
        <f t="shared" si="6"/>
        <v>304</v>
      </c>
      <c r="BC72" s="10">
        <f t="shared" si="7"/>
        <v>80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322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>
        <v>1</v>
      </c>
      <c r="V73" s="62">
        <f t="shared" si="21"/>
        <v>1</v>
      </c>
      <c r="W73" s="62">
        <f t="shared" si="21"/>
        <v>1</v>
      </c>
      <c r="X73" s="62">
        <f t="shared" si="21"/>
        <v>1</v>
      </c>
      <c r="Y73" s="62">
        <f t="shared" si="21"/>
        <v>1</v>
      </c>
      <c r="Z73" s="62">
        <f t="shared" si="21"/>
        <v>1</v>
      </c>
      <c r="AA73" s="62">
        <f t="shared" si="21"/>
        <v>1</v>
      </c>
      <c r="AB73" s="63">
        <f t="shared" si="21"/>
        <v>1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40</v>
      </c>
      <c r="BB73" s="9">
        <f t="shared" si="6"/>
        <v>362</v>
      </c>
      <c r="BC73" s="10">
        <f t="shared" si="7"/>
        <v>95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5</v>
      </c>
      <c r="F74" s="50">
        <f t="shared" ref="F74:AR74" si="25">COUNTIF(F10:F73,"a")</f>
        <v>5</v>
      </c>
      <c r="G74" s="50">
        <f t="shared" si="25"/>
        <v>5</v>
      </c>
      <c r="H74" s="50">
        <f t="shared" si="25"/>
        <v>5</v>
      </c>
      <c r="I74" s="50">
        <f t="shared" si="25"/>
        <v>5</v>
      </c>
      <c r="J74" s="50">
        <f t="shared" si="25"/>
        <v>5</v>
      </c>
      <c r="K74" s="50">
        <f t="shared" si="25"/>
        <v>5</v>
      </c>
      <c r="L74" s="50">
        <f t="shared" si="25"/>
        <v>5</v>
      </c>
      <c r="M74" s="50">
        <f t="shared" si="25"/>
        <v>10</v>
      </c>
      <c r="N74" s="50">
        <f t="shared" si="25"/>
        <v>10</v>
      </c>
      <c r="O74" s="50">
        <f t="shared" si="25"/>
        <v>10</v>
      </c>
      <c r="P74" s="50">
        <f t="shared" si="25"/>
        <v>10</v>
      </c>
      <c r="Q74" s="50">
        <f t="shared" si="25"/>
        <v>9</v>
      </c>
      <c r="R74" s="50">
        <f t="shared" si="25"/>
        <v>9</v>
      </c>
      <c r="S74" s="50">
        <f t="shared" si="25"/>
        <v>9</v>
      </c>
      <c r="T74" s="50">
        <f t="shared" si="25"/>
        <v>9</v>
      </c>
      <c r="U74" s="50">
        <f t="shared" si="25"/>
        <v>7</v>
      </c>
      <c r="V74" s="50">
        <f t="shared" si="25"/>
        <v>7</v>
      </c>
      <c r="W74" s="50">
        <f t="shared" si="25"/>
        <v>7</v>
      </c>
      <c r="X74" s="50">
        <f t="shared" si="25"/>
        <v>7</v>
      </c>
      <c r="Y74" s="50">
        <f t="shared" si="25"/>
        <v>7</v>
      </c>
      <c r="Z74" s="50">
        <f t="shared" si="25"/>
        <v>7</v>
      </c>
      <c r="AA74" s="50">
        <f t="shared" si="25"/>
        <v>7</v>
      </c>
      <c r="AB74" s="50">
        <f t="shared" si="25"/>
        <v>7</v>
      </c>
      <c r="AC74" s="50">
        <f t="shared" si="25"/>
        <v>5</v>
      </c>
      <c r="AD74" s="50">
        <f t="shared" si="25"/>
        <v>5</v>
      </c>
      <c r="AE74" s="50">
        <f t="shared" si="25"/>
        <v>5</v>
      </c>
      <c r="AF74" s="50">
        <f t="shared" si="25"/>
        <v>5</v>
      </c>
      <c r="AG74" s="50">
        <f t="shared" si="25"/>
        <v>5</v>
      </c>
      <c r="AH74" s="50">
        <f t="shared" si="25"/>
        <v>5</v>
      </c>
      <c r="AI74" s="50">
        <f t="shared" si="25"/>
        <v>5</v>
      </c>
      <c r="AJ74" s="50">
        <f t="shared" si="25"/>
        <v>5</v>
      </c>
      <c r="AK74" s="50">
        <f t="shared" si="25"/>
        <v>5</v>
      </c>
      <c r="AL74" s="50">
        <f t="shared" si="25"/>
        <v>5</v>
      </c>
      <c r="AM74" s="50">
        <f t="shared" si="25"/>
        <v>5</v>
      </c>
      <c r="AN74" s="50">
        <f t="shared" si="25"/>
        <v>5</v>
      </c>
      <c r="AO74" s="50">
        <f t="shared" si="25"/>
        <v>5</v>
      </c>
      <c r="AP74" s="50">
        <f t="shared" si="25"/>
        <v>5</v>
      </c>
      <c r="AQ74" s="50">
        <f t="shared" si="25"/>
        <v>5</v>
      </c>
      <c r="AR74" s="50">
        <f t="shared" si="25"/>
        <v>5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J75" si="26">F9</f>
        <v>VP</v>
      </c>
      <c r="G75" s="102" t="str">
        <f t="shared" si="26"/>
        <v>BB</v>
      </c>
      <c r="H75" s="102" t="str">
        <f t="shared" si="26"/>
        <v>PA</v>
      </c>
      <c r="I75" s="204" t="s">
        <v>98</v>
      </c>
      <c r="J75" s="205"/>
      <c r="K75" s="205"/>
      <c r="L75" s="206"/>
      <c r="M75" s="102" t="str">
        <f t="shared" si="26"/>
        <v>SJ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102" t="str">
        <f t="shared" si="26"/>
        <v>NS</v>
      </c>
      <c r="R75" s="160" t="s">
        <v>107</v>
      </c>
      <c r="S75" s="130"/>
      <c r="T75" s="161"/>
      <c r="U75" s="129" t="s">
        <v>108</v>
      </c>
      <c r="V75" s="130"/>
      <c r="W75" s="130"/>
      <c r="X75" s="131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BB</v>
      </c>
      <c r="AD75" s="102" t="str">
        <f t="shared" si="26"/>
        <v>VP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236" t="s">
        <v>83</v>
      </c>
      <c r="AL75" s="199"/>
      <c r="AM75" s="199"/>
      <c r="AN75" s="200"/>
      <c r="AO75" s="57"/>
      <c r="AP75" s="57"/>
      <c r="AQ75" s="56"/>
      <c r="AR75" s="56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9">
    <mergeCell ref="AS10:AZ42"/>
    <mergeCell ref="AS43:AZ73"/>
    <mergeCell ref="I75:L75"/>
    <mergeCell ref="R75:T75"/>
    <mergeCell ref="U75:X75"/>
    <mergeCell ref="AK75:AN75"/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U8:X8"/>
    <mergeCell ref="AO8:AR8"/>
    <mergeCell ref="AK8:AN8"/>
    <mergeCell ref="AK9:AN9"/>
    <mergeCell ref="BA8:BA9"/>
    <mergeCell ref="BB8:BB9"/>
    <mergeCell ref="I9:L9"/>
    <mergeCell ref="R9:T9"/>
    <mergeCell ref="U9:X9"/>
    <mergeCell ref="A74:D74"/>
    <mergeCell ref="A76:D76"/>
    <mergeCell ref="A79:I79"/>
    <mergeCell ref="A80:H80"/>
    <mergeCell ref="AR80:BC80"/>
  </mergeCells>
  <conditionalFormatting sqref="BC1:BC73">
    <cfRule type="cellIs" dxfId="23" priority="1" operator="lessThan">
      <formula>75</formula>
    </cfRule>
  </conditionalFormatting>
  <conditionalFormatting sqref="BC10:BC73">
    <cfRule type="cellIs" dxfId="22" priority="3" operator="lessThan">
      <formula>75</formula>
    </cfRule>
  </conditionalFormatting>
  <conditionalFormatting sqref="BC80">
    <cfRule type="cellIs" dxfId="21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r:id="rId1"/>
  <rowBreaks count="1" manualBreakCount="1">
    <brk id="42" max="5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63F3-60E0-4E73-9410-8C3BB6DFFF23}">
  <dimension ref="A1:BC80"/>
  <sheetViews>
    <sheetView view="pageBreakPreview" topLeftCell="B1" zoomScale="85" zoomScaleNormal="70" zoomScaleSheetLayoutView="85" workbookViewId="0">
      <selection activeCell="AC10" sqref="AC10:AJ42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226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227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219</v>
      </c>
      <c r="F5" s="177"/>
      <c r="G5" s="177"/>
      <c r="H5" s="177"/>
      <c r="I5" s="177"/>
      <c r="J5" s="177"/>
      <c r="K5" s="177"/>
      <c r="L5" s="177"/>
      <c r="M5" s="177" t="s">
        <v>220</v>
      </c>
      <c r="N5" s="177"/>
      <c r="O5" s="177"/>
      <c r="P5" s="177"/>
      <c r="Q5" s="177"/>
      <c r="R5" s="177"/>
      <c r="S5" s="177"/>
      <c r="T5" s="177"/>
      <c r="U5" s="177" t="s">
        <v>221</v>
      </c>
      <c r="V5" s="177"/>
      <c r="W5" s="177"/>
      <c r="X5" s="177"/>
      <c r="Y5" s="177"/>
      <c r="Z5" s="177"/>
      <c r="AA5" s="177"/>
      <c r="AB5" s="177"/>
      <c r="AC5" s="177" t="s">
        <v>222</v>
      </c>
      <c r="AD5" s="177"/>
      <c r="AE5" s="177"/>
      <c r="AF5" s="177"/>
      <c r="AG5" s="177"/>
      <c r="AH5" s="177"/>
      <c r="AI5" s="177"/>
      <c r="AJ5" s="177"/>
      <c r="AK5" s="177" t="s">
        <v>223</v>
      </c>
      <c r="AL5" s="177"/>
      <c r="AM5" s="177"/>
      <c r="AN5" s="177"/>
      <c r="AO5" s="177"/>
      <c r="AP5" s="177"/>
      <c r="AQ5" s="177"/>
      <c r="AR5" s="177"/>
      <c r="AS5" s="177" t="s">
        <v>224</v>
      </c>
      <c r="AT5" s="177"/>
      <c r="AU5" s="177"/>
      <c r="AV5" s="177"/>
      <c r="AW5" s="177"/>
      <c r="AX5" s="177"/>
      <c r="AY5" s="177"/>
      <c r="AZ5" s="177"/>
      <c r="BA5" s="225">
        <v>32</v>
      </c>
      <c r="BB5" s="248">
        <f>D7+BA5</f>
        <v>414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226"/>
      <c r="BB6" s="249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172">
        <v>382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7"/>
      <c r="BB7" s="250"/>
      <c r="BC7" s="182"/>
    </row>
    <row r="8" spans="1:55" ht="30" customHeight="1" thickBot="1" x14ac:dyDescent="0.4">
      <c r="A8" s="165"/>
      <c r="B8" s="168"/>
      <c r="C8" s="171"/>
      <c r="D8" s="173"/>
      <c r="E8" s="76" t="s">
        <v>96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76" t="s">
        <v>94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59" t="s">
        <v>91</v>
      </c>
      <c r="V8" s="129" t="s">
        <v>103</v>
      </c>
      <c r="W8" s="130"/>
      <c r="X8" s="131"/>
      <c r="Y8" s="59" t="s">
        <v>92</v>
      </c>
      <c r="Z8" s="59" t="s">
        <v>91</v>
      </c>
      <c r="AA8" s="59" t="s">
        <v>101</v>
      </c>
      <c r="AB8" s="59" t="s">
        <v>96</v>
      </c>
      <c r="AC8" s="58"/>
      <c r="AD8" s="59"/>
      <c r="AE8" s="59"/>
      <c r="AF8" s="59"/>
      <c r="AG8" s="59"/>
      <c r="AH8" s="59"/>
      <c r="AI8" s="59"/>
      <c r="AJ8" s="60"/>
      <c r="AK8" s="58" t="s">
        <v>101</v>
      </c>
      <c r="AL8" s="160" t="s">
        <v>106</v>
      </c>
      <c r="AM8" s="130"/>
      <c r="AN8" s="131"/>
      <c r="AO8" s="59" t="s">
        <v>91</v>
      </c>
      <c r="AP8" s="59" t="s">
        <v>105</v>
      </c>
      <c r="AQ8" s="59" t="s">
        <v>101</v>
      </c>
      <c r="AR8" s="59" t="s">
        <v>94</v>
      </c>
      <c r="AS8" s="73"/>
      <c r="AT8" s="59"/>
      <c r="AU8" s="59"/>
      <c r="AV8" s="59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156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156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57" t="s">
        <v>156</v>
      </c>
      <c r="V9" s="129" t="s">
        <v>108</v>
      </c>
      <c r="W9" s="130"/>
      <c r="X9" s="131"/>
      <c r="Y9" s="56" t="s">
        <v>93</v>
      </c>
      <c r="Z9" s="56" t="s">
        <v>83</v>
      </c>
      <c r="AA9" s="56" t="s">
        <v>92</v>
      </c>
      <c r="AB9" s="56" t="s">
        <v>85</v>
      </c>
      <c r="AC9" s="57"/>
      <c r="AD9" s="56"/>
      <c r="AE9" s="56"/>
      <c r="AF9" s="56"/>
      <c r="AG9" s="56"/>
      <c r="AH9" s="56"/>
      <c r="AI9" s="56"/>
      <c r="AJ9" s="79"/>
      <c r="AK9" s="57" t="s">
        <v>156</v>
      </c>
      <c r="AL9" s="198" t="s">
        <v>83</v>
      </c>
      <c r="AM9" s="199"/>
      <c r="AN9" s="237"/>
      <c r="AO9" s="56" t="s">
        <v>83</v>
      </c>
      <c r="AP9" s="56" t="s">
        <v>100</v>
      </c>
      <c r="AQ9" s="56" t="s">
        <v>92</v>
      </c>
      <c r="AR9" s="56" t="s">
        <v>95</v>
      </c>
      <c r="AS9" s="73"/>
      <c r="AT9" s="56"/>
      <c r="AU9" s="56"/>
      <c r="AV9" s="56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366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132" t="s">
        <v>225</v>
      </c>
      <c r="AD10" s="133"/>
      <c r="AE10" s="133"/>
      <c r="AF10" s="133"/>
      <c r="AG10" s="133"/>
      <c r="AH10" s="133"/>
      <c r="AI10" s="133"/>
      <c r="AJ10" s="134"/>
      <c r="AK10" s="61">
        <v>1</v>
      </c>
      <c r="AL10" s="62">
        <f t="shared" ref="AL10:AR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>
        <f t="shared" si="3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4">SUM(E10:AZ10)</f>
        <v>32</v>
      </c>
      <c r="BB10" s="9">
        <f>BA10+D10+C10</f>
        <v>398</v>
      </c>
      <c r="BC10" s="10">
        <f>ROUND((BB10/BB$5)*100,0)</f>
        <v>96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328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135"/>
      <c r="AD11" s="136"/>
      <c r="AE11" s="136"/>
      <c r="AF11" s="136"/>
      <c r="AG11" s="136"/>
      <c r="AH11" s="136"/>
      <c r="AI11" s="136"/>
      <c r="AJ11" s="137"/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>
        <f t="shared" si="3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4"/>
        <v>32</v>
      </c>
      <c r="BB11" s="9">
        <f t="shared" ref="BB11:BB73" si="5">BA11+D11+C11</f>
        <v>360</v>
      </c>
      <c r="BC11" s="10">
        <f t="shared" ref="BC11:BC73" si="6">ROUND((BB11/BB$5)*100,0)</f>
        <v>87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358</v>
      </c>
      <c r="E12" s="61">
        <v>1</v>
      </c>
      <c r="F12" s="62">
        <f t="shared" ref="F12:L27" si="7">E12</f>
        <v>1</v>
      </c>
      <c r="G12" s="62">
        <f t="shared" si="7"/>
        <v>1</v>
      </c>
      <c r="H12" s="62">
        <f t="shared" si="7"/>
        <v>1</v>
      </c>
      <c r="I12" s="62">
        <f t="shared" si="7"/>
        <v>1</v>
      </c>
      <c r="J12" s="62">
        <f t="shared" si="7"/>
        <v>1</v>
      </c>
      <c r="K12" s="62">
        <f t="shared" si="7"/>
        <v>1</v>
      </c>
      <c r="L12" s="63">
        <f t="shared" si="7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135"/>
      <c r="AD12" s="136"/>
      <c r="AE12" s="136"/>
      <c r="AF12" s="136"/>
      <c r="AG12" s="136"/>
      <c r="AH12" s="136"/>
      <c r="AI12" s="136"/>
      <c r="AJ12" s="137"/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>
        <f t="shared" si="3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4"/>
        <v>32</v>
      </c>
      <c r="BB12" s="9">
        <f t="shared" si="5"/>
        <v>390</v>
      </c>
      <c r="BC12" s="10">
        <f t="shared" si="6"/>
        <v>94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350</v>
      </c>
      <c r="E13" s="61">
        <v>1</v>
      </c>
      <c r="F13" s="62">
        <f t="shared" si="7"/>
        <v>1</v>
      </c>
      <c r="G13" s="62">
        <f t="shared" si="7"/>
        <v>1</v>
      </c>
      <c r="H13" s="62">
        <f t="shared" si="7"/>
        <v>1</v>
      </c>
      <c r="I13" s="62">
        <f t="shared" si="7"/>
        <v>1</v>
      </c>
      <c r="J13" s="62">
        <f t="shared" si="7"/>
        <v>1</v>
      </c>
      <c r="K13" s="62">
        <f t="shared" si="7"/>
        <v>1</v>
      </c>
      <c r="L13" s="63">
        <f t="shared" si="7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135"/>
      <c r="AD13" s="136"/>
      <c r="AE13" s="136"/>
      <c r="AF13" s="136"/>
      <c r="AG13" s="136"/>
      <c r="AH13" s="136"/>
      <c r="AI13" s="136"/>
      <c r="AJ13" s="137"/>
      <c r="AK13" s="61">
        <v>1</v>
      </c>
      <c r="AL13" s="62">
        <f t="shared" si="3"/>
        <v>1</v>
      </c>
      <c r="AM13" s="62">
        <f t="shared" si="3"/>
        <v>1</v>
      </c>
      <c r="AN13" s="62">
        <f t="shared" si="3"/>
        <v>1</v>
      </c>
      <c r="AO13" s="62">
        <f t="shared" si="3"/>
        <v>1</v>
      </c>
      <c r="AP13" s="62">
        <f t="shared" si="3"/>
        <v>1</v>
      </c>
      <c r="AQ13" s="62">
        <f t="shared" si="3"/>
        <v>1</v>
      </c>
      <c r="AR13" s="63">
        <f t="shared" si="3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4"/>
        <v>32</v>
      </c>
      <c r="BB13" s="9">
        <f t="shared" si="5"/>
        <v>382</v>
      </c>
      <c r="BC13" s="10">
        <f t="shared" si="6"/>
        <v>92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322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62">
        <f t="shared" si="7"/>
        <v>1</v>
      </c>
      <c r="J14" s="62">
        <f t="shared" si="7"/>
        <v>1</v>
      </c>
      <c r="K14" s="62">
        <f t="shared" si="7"/>
        <v>1</v>
      </c>
      <c r="L14" s="63">
        <f t="shared" si="7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135"/>
      <c r="AD14" s="136"/>
      <c r="AE14" s="136"/>
      <c r="AF14" s="136"/>
      <c r="AG14" s="136"/>
      <c r="AH14" s="136"/>
      <c r="AI14" s="136"/>
      <c r="AJ14" s="137"/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>
        <f t="shared" si="3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4"/>
        <v>32</v>
      </c>
      <c r="BB14" s="9">
        <f t="shared" si="5"/>
        <v>354</v>
      </c>
      <c r="BC14" s="10">
        <f t="shared" si="6"/>
        <v>86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296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62">
        <f t="shared" si="7"/>
        <v>1</v>
      </c>
      <c r="J15" s="62">
        <f t="shared" si="7"/>
        <v>1</v>
      </c>
      <c r="K15" s="62">
        <f t="shared" si="7"/>
        <v>1</v>
      </c>
      <c r="L15" s="63">
        <f t="shared" si="7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135"/>
      <c r="AD15" s="136"/>
      <c r="AE15" s="136"/>
      <c r="AF15" s="136"/>
      <c r="AG15" s="136"/>
      <c r="AH15" s="136"/>
      <c r="AI15" s="136"/>
      <c r="AJ15" s="137"/>
      <c r="AK15" s="61">
        <v>1</v>
      </c>
      <c r="AL15" s="62">
        <f t="shared" si="3"/>
        <v>1</v>
      </c>
      <c r="AM15" s="62">
        <f t="shared" si="3"/>
        <v>1</v>
      </c>
      <c r="AN15" s="62">
        <f t="shared" si="3"/>
        <v>1</v>
      </c>
      <c r="AO15" s="62">
        <f t="shared" si="3"/>
        <v>1</v>
      </c>
      <c r="AP15" s="62">
        <f t="shared" si="3"/>
        <v>1</v>
      </c>
      <c r="AQ15" s="62">
        <f t="shared" si="3"/>
        <v>1</v>
      </c>
      <c r="AR15" s="63">
        <f t="shared" si="3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4"/>
        <v>24</v>
      </c>
      <c r="BB15" s="9">
        <f t="shared" si="5"/>
        <v>320</v>
      </c>
      <c r="BC15" s="10">
        <f t="shared" si="6"/>
        <v>77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315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62">
        <f t="shared" si="7"/>
        <v>1</v>
      </c>
      <c r="J16" s="62">
        <f t="shared" si="7"/>
        <v>1</v>
      </c>
      <c r="K16" s="62">
        <f t="shared" si="7"/>
        <v>1</v>
      </c>
      <c r="L16" s="63">
        <f t="shared" si="7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135"/>
      <c r="AD16" s="136"/>
      <c r="AE16" s="136"/>
      <c r="AF16" s="136"/>
      <c r="AG16" s="136"/>
      <c r="AH16" s="136"/>
      <c r="AI16" s="136"/>
      <c r="AJ16" s="137"/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>
        <f t="shared" si="3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4"/>
        <v>24</v>
      </c>
      <c r="BB16" s="9">
        <f t="shared" si="5"/>
        <v>339</v>
      </c>
      <c r="BC16" s="10">
        <f t="shared" si="6"/>
        <v>82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368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62">
        <f t="shared" si="7"/>
        <v>1</v>
      </c>
      <c r="J17" s="62">
        <f t="shared" si="7"/>
        <v>1</v>
      </c>
      <c r="K17" s="62">
        <f t="shared" si="7"/>
        <v>1</v>
      </c>
      <c r="L17" s="63">
        <f t="shared" si="7"/>
        <v>1</v>
      </c>
      <c r="M17" s="61" t="s">
        <v>124</v>
      </c>
      <c r="N17" s="62" t="str">
        <f t="shared" si="1"/>
        <v>a</v>
      </c>
      <c r="O17" s="62" t="str">
        <f t="shared" si="1"/>
        <v>a</v>
      </c>
      <c r="P17" s="62" t="str">
        <f t="shared" si="1"/>
        <v>a</v>
      </c>
      <c r="Q17" s="62" t="str">
        <f t="shared" si="1"/>
        <v>a</v>
      </c>
      <c r="R17" s="62" t="str">
        <f t="shared" si="1"/>
        <v>a</v>
      </c>
      <c r="S17" s="62" t="str">
        <f t="shared" si="1"/>
        <v>a</v>
      </c>
      <c r="T17" s="63" t="str">
        <f t="shared" si="1"/>
        <v>a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135"/>
      <c r="AD17" s="136"/>
      <c r="AE17" s="136"/>
      <c r="AF17" s="136"/>
      <c r="AG17" s="136"/>
      <c r="AH17" s="136"/>
      <c r="AI17" s="136"/>
      <c r="AJ17" s="137"/>
      <c r="AK17" s="61" t="s">
        <v>124</v>
      </c>
      <c r="AL17" s="62" t="str">
        <f t="shared" si="3"/>
        <v>a</v>
      </c>
      <c r="AM17" s="62" t="str">
        <f t="shared" si="3"/>
        <v>a</v>
      </c>
      <c r="AN17" s="62" t="str">
        <f t="shared" si="3"/>
        <v>a</v>
      </c>
      <c r="AO17" s="62" t="str">
        <f t="shared" si="3"/>
        <v>a</v>
      </c>
      <c r="AP17" s="62" t="str">
        <f t="shared" si="3"/>
        <v>a</v>
      </c>
      <c r="AQ17" s="62" t="str">
        <f t="shared" si="3"/>
        <v>a</v>
      </c>
      <c r="AR17" s="63" t="str">
        <f t="shared" si="3"/>
        <v>a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4"/>
        <v>16</v>
      </c>
      <c r="BB17" s="9">
        <f t="shared" si="5"/>
        <v>384</v>
      </c>
      <c r="BC17" s="10">
        <f t="shared" si="6"/>
        <v>93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316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62">
        <f t="shared" si="7"/>
        <v>1</v>
      </c>
      <c r="J18" s="62">
        <f t="shared" si="7"/>
        <v>1</v>
      </c>
      <c r="K18" s="62">
        <f t="shared" si="7"/>
        <v>1</v>
      </c>
      <c r="L18" s="63">
        <f t="shared" si="7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135"/>
      <c r="AD18" s="136"/>
      <c r="AE18" s="136"/>
      <c r="AF18" s="136"/>
      <c r="AG18" s="136"/>
      <c r="AH18" s="136"/>
      <c r="AI18" s="136"/>
      <c r="AJ18" s="137"/>
      <c r="AK18" s="61">
        <v>1</v>
      </c>
      <c r="AL18" s="62">
        <f t="shared" si="3"/>
        <v>1</v>
      </c>
      <c r="AM18" s="62">
        <f t="shared" si="3"/>
        <v>1</v>
      </c>
      <c r="AN18" s="62">
        <f t="shared" si="3"/>
        <v>1</v>
      </c>
      <c r="AO18" s="62">
        <f t="shared" si="3"/>
        <v>1</v>
      </c>
      <c r="AP18" s="62">
        <f t="shared" si="3"/>
        <v>1</v>
      </c>
      <c r="AQ18" s="62">
        <f t="shared" si="3"/>
        <v>1</v>
      </c>
      <c r="AR18" s="63">
        <f t="shared" si="3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4"/>
        <v>32</v>
      </c>
      <c r="BB18" s="9">
        <f t="shared" si="5"/>
        <v>348</v>
      </c>
      <c r="BC18" s="10">
        <f t="shared" si="6"/>
        <v>84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332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62">
        <f t="shared" si="7"/>
        <v>1</v>
      </c>
      <c r="J19" s="62">
        <f t="shared" si="7"/>
        <v>1</v>
      </c>
      <c r="K19" s="62">
        <f t="shared" si="7"/>
        <v>1</v>
      </c>
      <c r="L19" s="63">
        <f t="shared" si="7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135"/>
      <c r="AD19" s="136"/>
      <c r="AE19" s="136"/>
      <c r="AF19" s="136"/>
      <c r="AG19" s="136"/>
      <c r="AH19" s="136"/>
      <c r="AI19" s="136"/>
      <c r="AJ19" s="137"/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>
        <f t="shared" si="3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4"/>
        <v>32</v>
      </c>
      <c r="BB19" s="9">
        <f t="shared" si="5"/>
        <v>364</v>
      </c>
      <c r="BC19" s="10">
        <f t="shared" si="6"/>
        <v>88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366</v>
      </c>
      <c r="E20" s="61">
        <v>1</v>
      </c>
      <c r="F20" s="62">
        <f t="shared" si="7"/>
        <v>1</v>
      </c>
      <c r="G20" s="62">
        <f t="shared" si="7"/>
        <v>1</v>
      </c>
      <c r="H20" s="62">
        <f t="shared" si="7"/>
        <v>1</v>
      </c>
      <c r="I20" s="62">
        <f t="shared" si="7"/>
        <v>1</v>
      </c>
      <c r="J20" s="62">
        <f t="shared" si="7"/>
        <v>1</v>
      </c>
      <c r="K20" s="62">
        <f t="shared" si="7"/>
        <v>1</v>
      </c>
      <c r="L20" s="63">
        <f t="shared" si="7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 t="s">
        <v>124</v>
      </c>
      <c r="V20" s="62" t="str">
        <f t="shared" si="2"/>
        <v>a</v>
      </c>
      <c r="W20" s="62" t="str">
        <f t="shared" si="2"/>
        <v>a</v>
      </c>
      <c r="X20" s="62" t="str">
        <f t="shared" si="2"/>
        <v>a</v>
      </c>
      <c r="Y20" s="62" t="str">
        <f t="shared" si="2"/>
        <v>a</v>
      </c>
      <c r="Z20" s="62" t="str">
        <f t="shared" si="2"/>
        <v>a</v>
      </c>
      <c r="AA20" s="62" t="str">
        <f t="shared" si="2"/>
        <v>a</v>
      </c>
      <c r="AB20" s="63" t="str">
        <f t="shared" si="2"/>
        <v>a</v>
      </c>
      <c r="AC20" s="135"/>
      <c r="AD20" s="136"/>
      <c r="AE20" s="136"/>
      <c r="AF20" s="136"/>
      <c r="AG20" s="136"/>
      <c r="AH20" s="136"/>
      <c r="AI20" s="136"/>
      <c r="AJ20" s="137"/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>
        <f t="shared" si="3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4"/>
        <v>24</v>
      </c>
      <c r="BB20" s="9">
        <f t="shared" si="5"/>
        <v>390</v>
      </c>
      <c r="BC20" s="10">
        <f t="shared" si="6"/>
        <v>94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362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62">
        <f t="shared" si="7"/>
        <v>1</v>
      </c>
      <c r="J21" s="62">
        <f t="shared" si="7"/>
        <v>1</v>
      </c>
      <c r="K21" s="62">
        <f t="shared" si="7"/>
        <v>1</v>
      </c>
      <c r="L21" s="63">
        <f t="shared" si="7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135"/>
      <c r="AD21" s="136"/>
      <c r="AE21" s="136"/>
      <c r="AF21" s="136"/>
      <c r="AG21" s="136"/>
      <c r="AH21" s="136"/>
      <c r="AI21" s="136"/>
      <c r="AJ21" s="137"/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>
        <f t="shared" si="3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4"/>
        <v>32</v>
      </c>
      <c r="BB21" s="9">
        <f t="shared" si="5"/>
        <v>394</v>
      </c>
      <c r="BC21" s="10">
        <f t="shared" si="6"/>
        <v>95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382</v>
      </c>
      <c r="E22" s="61">
        <v>1</v>
      </c>
      <c r="F22" s="62">
        <f t="shared" si="7"/>
        <v>1</v>
      </c>
      <c r="G22" s="62">
        <f t="shared" si="7"/>
        <v>1</v>
      </c>
      <c r="H22" s="62">
        <f t="shared" si="7"/>
        <v>1</v>
      </c>
      <c r="I22" s="62">
        <f t="shared" si="7"/>
        <v>1</v>
      </c>
      <c r="J22" s="62">
        <f t="shared" si="7"/>
        <v>1</v>
      </c>
      <c r="K22" s="62">
        <f t="shared" si="7"/>
        <v>1</v>
      </c>
      <c r="L22" s="63">
        <f t="shared" si="7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135"/>
      <c r="AD22" s="136"/>
      <c r="AE22" s="136"/>
      <c r="AF22" s="136"/>
      <c r="AG22" s="136"/>
      <c r="AH22" s="136"/>
      <c r="AI22" s="136"/>
      <c r="AJ22" s="137"/>
      <c r="AK22" s="61">
        <v>1</v>
      </c>
      <c r="AL22" s="62">
        <f t="shared" si="3"/>
        <v>1</v>
      </c>
      <c r="AM22" s="62">
        <f t="shared" si="3"/>
        <v>1</v>
      </c>
      <c r="AN22" s="62">
        <f t="shared" si="3"/>
        <v>1</v>
      </c>
      <c r="AO22" s="62">
        <f t="shared" si="3"/>
        <v>1</v>
      </c>
      <c r="AP22" s="62">
        <f t="shared" si="3"/>
        <v>1</v>
      </c>
      <c r="AQ22" s="62">
        <f t="shared" si="3"/>
        <v>1</v>
      </c>
      <c r="AR22" s="63">
        <f t="shared" si="3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4"/>
        <v>32</v>
      </c>
      <c r="BB22" s="9">
        <f t="shared" si="5"/>
        <v>414</v>
      </c>
      <c r="BC22" s="10">
        <f t="shared" si="6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376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62">
        <f t="shared" si="7"/>
        <v>1</v>
      </c>
      <c r="J23" s="62">
        <f t="shared" si="7"/>
        <v>1</v>
      </c>
      <c r="K23" s="62">
        <f t="shared" si="7"/>
        <v>1</v>
      </c>
      <c r="L23" s="63">
        <f t="shared" si="7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135"/>
      <c r="AD23" s="136"/>
      <c r="AE23" s="136"/>
      <c r="AF23" s="136"/>
      <c r="AG23" s="136"/>
      <c r="AH23" s="136"/>
      <c r="AI23" s="136"/>
      <c r="AJ23" s="137"/>
      <c r="AK23" s="61">
        <v>1</v>
      </c>
      <c r="AL23" s="62">
        <f t="shared" si="3"/>
        <v>1</v>
      </c>
      <c r="AM23" s="62">
        <f t="shared" si="3"/>
        <v>1</v>
      </c>
      <c r="AN23" s="62">
        <f t="shared" si="3"/>
        <v>1</v>
      </c>
      <c r="AO23" s="62">
        <f t="shared" si="3"/>
        <v>1</v>
      </c>
      <c r="AP23" s="62">
        <f t="shared" si="3"/>
        <v>1</v>
      </c>
      <c r="AQ23" s="62">
        <f t="shared" si="3"/>
        <v>1</v>
      </c>
      <c r="AR23" s="63">
        <f t="shared" si="3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4"/>
        <v>32</v>
      </c>
      <c r="BB23" s="9">
        <f t="shared" si="5"/>
        <v>408</v>
      </c>
      <c r="BC23" s="10">
        <f t="shared" si="6"/>
        <v>99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336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62">
        <f t="shared" si="7"/>
        <v>1</v>
      </c>
      <c r="J24" s="62">
        <f t="shared" si="7"/>
        <v>1</v>
      </c>
      <c r="K24" s="62">
        <f t="shared" si="7"/>
        <v>1</v>
      </c>
      <c r="L24" s="63">
        <f t="shared" si="7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135"/>
      <c r="AD24" s="136"/>
      <c r="AE24" s="136"/>
      <c r="AF24" s="136"/>
      <c r="AG24" s="136"/>
      <c r="AH24" s="136"/>
      <c r="AI24" s="136"/>
      <c r="AJ24" s="137"/>
      <c r="AK24" s="61">
        <v>1</v>
      </c>
      <c r="AL24" s="62">
        <f t="shared" si="3"/>
        <v>1</v>
      </c>
      <c r="AM24" s="62">
        <f t="shared" si="3"/>
        <v>1</v>
      </c>
      <c r="AN24" s="62">
        <f t="shared" si="3"/>
        <v>1</v>
      </c>
      <c r="AO24" s="62">
        <f t="shared" si="3"/>
        <v>1</v>
      </c>
      <c r="AP24" s="62">
        <f t="shared" si="3"/>
        <v>1</v>
      </c>
      <c r="AQ24" s="62">
        <f t="shared" si="3"/>
        <v>1</v>
      </c>
      <c r="AR24" s="63">
        <f t="shared" si="3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4"/>
        <v>32</v>
      </c>
      <c r="BB24" s="9">
        <f t="shared" si="5"/>
        <v>368</v>
      </c>
      <c r="BC24" s="10">
        <f t="shared" si="6"/>
        <v>89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334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62">
        <f t="shared" si="7"/>
        <v>1</v>
      </c>
      <c r="J25" s="62">
        <f t="shared" si="7"/>
        <v>1</v>
      </c>
      <c r="K25" s="62">
        <f t="shared" si="7"/>
        <v>1</v>
      </c>
      <c r="L25" s="63">
        <f t="shared" si="7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135"/>
      <c r="AD25" s="136"/>
      <c r="AE25" s="136"/>
      <c r="AF25" s="136"/>
      <c r="AG25" s="136"/>
      <c r="AH25" s="136"/>
      <c r="AI25" s="136"/>
      <c r="AJ25" s="137"/>
      <c r="AK25" s="61" t="s">
        <v>124</v>
      </c>
      <c r="AL25" s="62" t="str">
        <f t="shared" si="3"/>
        <v>a</v>
      </c>
      <c r="AM25" s="62" t="str">
        <f t="shared" si="3"/>
        <v>a</v>
      </c>
      <c r="AN25" s="62" t="str">
        <f t="shared" si="3"/>
        <v>a</v>
      </c>
      <c r="AO25" s="62" t="str">
        <f t="shared" si="3"/>
        <v>a</v>
      </c>
      <c r="AP25" s="62" t="str">
        <f t="shared" si="3"/>
        <v>a</v>
      </c>
      <c r="AQ25" s="62" t="str">
        <f t="shared" si="3"/>
        <v>a</v>
      </c>
      <c r="AR25" s="63" t="str">
        <f t="shared" si="3"/>
        <v>a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4"/>
        <v>24</v>
      </c>
      <c r="BB25" s="9">
        <f t="shared" si="5"/>
        <v>358</v>
      </c>
      <c r="BC25" s="10">
        <f t="shared" si="6"/>
        <v>86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339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62">
        <f t="shared" si="7"/>
        <v>1</v>
      </c>
      <c r="J26" s="62">
        <f t="shared" si="7"/>
        <v>1</v>
      </c>
      <c r="K26" s="62">
        <f t="shared" si="7"/>
        <v>1</v>
      </c>
      <c r="L26" s="63">
        <f t="shared" si="7"/>
        <v>1</v>
      </c>
      <c r="M26" s="61">
        <v>1</v>
      </c>
      <c r="N26" s="62">
        <f t="shared" ref="N26:T41" si="8">M26</f>
        <v>1</v>
      </c>
      <c r="O26" s="62">
        <f t="shared" si="8"/>
        <v>1</v>
      </c>
      <c r="P26" s="62">
        <f t="shared" si="8"/>
        <v>1</v>
      </c>
      <c r="Q26" s="62">
        <f t="shared" si="8"/>
        <v>1</v>
      </c>
      <c r="R26" s="62">
        <f t="shared" si="8"/>
        <v>1</v>
      </c>
      <c r="S26" s="62">
        <f t="shared" si="8"/>
        <v>1</v>
      </c>
      <c r="T26" s="63">
        <f t="shared" si="8"/>
        <v>1</v>
      </c>
      <c r="U26" s="61">
        <v>1</v>
      </c>
      <c r="V26" s="62">
        <f t="shared" ref="V26:AB41" si="9">U26</f>
        <v>1</v>
      </c>
      <c r="W26" s="62">
        <f t="shared" si="9"/>
        <v>1</v>
      </c>
      <c r="X26" s="62">
        <f t="shared" si="9"/>
        <v>1</v>
      </c>
      <c r="Y26" s="62">
        <f t="shared" si="9"/>
        <v>1</v>
      </c>
      <c r="Z26" s="62">
        <f t="shared" si="9"/>
        <v>1</v>
      </c>
      <c r="AA26" s="62">
        <f t="shared" si="9"/>
        <v>1</v>
      </c>
      <c r="AB26" s="63">
        <f t="shared" si="9"/>
        <v>1</v>
      </c>
      <c r="AC26" s="135"/>
      <c r="AD26" s="136"/>
      <c r="AE26" s="136"/>
      <c r="AF26" s="136"/>
      <c r="AG26" s="136"/>
      <c r="AH26" s="136"/>
      <c r="AI26" s="136"/>
      <c r="AJ26" s="137"/>
      <c r="AK26" s="61">
        <v>1</v>
      </c>
      <c r="AL26" s="62">
        <f t="shared" ref="AL26:AR41" si="10">AK26</f>
        <v>1</v>
      </c>
      <c r="AM26" s="62">
        <f t="shared" si="10"/>
        <v>1</v>
      </c>
      <c r="AN26" s="62">
        <f t="shared" si="10"/>
        <v>1</v>
      </c>
      <c r="AO26" s="62">
        <f t="shared" si="10"/>
        <v>1</v>
      </c>
      <c r="AP26" s="62">
        <f t="shared" si="10"/>
        <v>1</v>
      </c>
      <c r="AQ26" s="62">
        <f t="shared" si="10"/>
        <v>1</v>
      </c>
      <c r="AR26" s="63">
        <f t="shared" si="10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4"/>
        <v>32</v>
      </c>
      <c r="BB26" s="9">
        <f t="shared" si="5"/>
        <v>371</v>
      </c>
      <c r="BC26" s="10">
        <f t="shared" si="6"/>
        <v>90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358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61">
        <v>1</v>
      </c>
      <c r="N27" s="62">
        <f t="shared" si="8"/>
        <v>1</v>
      </c>
      <c r="O27" s="62">
        <f t="shared" si="8"/>
        <v>1</v>
      </c>
      <c r="P27" s="62">
        <f t="shared" si="8"/>
        <v>1</v>
      </c>
      <c r="Q27" s="62">
        <f t="shared" si="8"/>
        <v>1</v>
      </c>
      <c r="R27" s="62">
        <f t="shared" si="8"/>
        <v>1</v>
      </c>
      <c r="S27" s="62">
        <f t="shared" si="8"/>
        <v>1</v>
      </c>
      <c r="T27" s="63">
        <f t="shared" si="8"/>
        <v>1</v>
      </c>
      <c r="U27" s="61">
        <v>1</v>
      </c>
      <c r="V27" s="62">
        <f t="shared" si="9"/>
        <v>1</v>
      </c>
      <c r="W27" s="62">
        <f t="shared" si="9"/>
        <v>1</v>
      </c>
      <c r="X27" s="62">
        <f t="shared" si="9"/>
        <v>1</v>
      </c>
      <c r="Y27" s="62">
        <f t="shared" si="9"/>
        <v>1</v>
      </c>
      <c r="Z27" s="62">
        <f t="shared" si="9"/>
        <v>1</v>
      </c>
      <c r="AA27" s="62">
        <f t="shared" si="9"/>
        <v>1</v>
      </c>
      <c r="AB27" s="63">
        <f t="shared" si="9"/>
        <v>1</v>
      </c>
      <c r="AC27" s="135"/>
      <c r="AD27" s="136"/>
      <c r="AE27" s="136"/>
      <c r="AF27" s="136"/>
      <c r="AG27" s="136"/>
      <c r="AH27" s="136"/>
      <c r="AI27" s="136"/>
      <c r="AJ27" s="137"/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>
        <f t="shared" si="10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4"/>
        <v>32</v>
      </c>
      <c r="BB27" s="9">
        <f t="shared" si="5"/>
        <v>390</v>
      </c>
      <c r="BC27" s="10">
        <f t="shared" si="6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350</v>
      </c>
      <c r="E28" s="61">
        <v>1</v>
      </c>
      <c r="F28" s="62">
        <f t="shared" ref="F28:L43" si="11">E28</f>
        <v>1</v>
      </c>
      <c r="G28" s="62">
        <f t="shared" si="11"/>
        <v>1</v>
      </c>
      <c r="H28" s="62">
        <f t="shared" si="11"/>
        <v>1</v>
      </c>
      <c r="I28" s="62">
        <f t="shared" si="11"/>
        <v>1</v>
      </c>
      <c r="J28" s="62">
        <f t="shared" si="11"/>
        <v>1</v>
      </c>
      <c r="K28" s="62">
        <f t="shared" si="11"/>
        <v>1</v>
      </c>
      <c r="L28" s="63">
        <f t="shared" si="11"/>
        <v>1</v>
      </c>
      <c r="M28" s="61">
        <v>1</v>
      </c>
      <c r="N28" s="62">
        <f t="shared" si="8"/>
        <v>1</v>
      </c>
      <c r="O28" s="62">
        <f t="shared" si="8"/>
        <v>1</v>
      </c>
      <c r="P28" s="62">
        <f t="shared" si="8"/>
        <v>1</v>
      </c>
      <c r="Q28" s="62">
        <f t="shared" si="8"/>
        <v>1</v>
      </c>
      <c r="R28" s="62">
        <f t="shared" si="8"/>
        <v>1</v>
      </c>
      <c r="S28" s="62">
        <f t="shared" si="8"/>
        <v>1</v>
      </c>
      <c r="T28" s="63">
        <f t="shared" si="8"/>
        <v>1</v>
      </c>
      <c r="U28" s="61">
        <v>1</v>
      </c>
      <c r="V28" s="62">
        <f t="shared" si="9"/>
        <v>1</v>
      </c>
      <c r="W28" s="62">
        <f t="shared" si="9"/>
        <v>1</v>
      </c>
      <c r="X28" s="62">
        <f t="shared" si="9"/>
        <v>1</v>
      </c>
      <c r="Y28" s="62">
        <f t="shared" si="9"/>
        <v>1</v>
      </c>
      <c r="Z28" s="62">
        <f t="shared" si="9"/>
        <v>1</v>
      </c>
      <c r="AA28" s="62">
        <f t="shared" si="9"/>
        <v>1</v>
      </c>
      <c r="AB28" s="63">
        <f t="shared" si="9"/>
        <v>1</v>
      </c>
      <c r="AC28" s="135"/>
      <c r="AD28" s="136"/>
      <c r="AE28" s="136"/>
      <c r="AF28" s="136"/>
      <c r="AG28" s="136"/>
      <c r="AH28" s="136"/>
      <c r="AI28" s="136"/>
      <c r="AJ28" s="137"/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>
        <f t="shared" si="10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4"/>
        <v>32</v>
      </c>
      <c r="BB28" s="9">
        <f t="shared" si="5"/>
        <v>382</v>
      </c>
      <c r="BC28" s="10">
        <f t="shared" si="6"/>
        <v>92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320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62">
        <f t="shared" si="11"/>
        <v>1</v>
      </c>
      <c r="J29" s="62">
        <f t="shared" si="11"/>
        <v>1</v>
      </c>
      <c r="K29" s="62">
        <f t="shared" si="11"/>
        <v>1</v>
      </c>
      <c r="L29" s="63">
        <f t="shared" si="11"/>
        <v>1</v>
      </c>
      <c r="M29" s="61">
        <v>1</v>
      </c>
      <c r="N29" s="62">
        <f t="shared" si="8"/>
        <v>1</v>
      </c>
      <c r="O29" s="62">
        <f t="shared" si="8"/>
        <v>1</v>
      </c>
      <c r="P29" s="62">
        <f t="shared" si="8"/>
        <v>1</v>
      </c>
      <c r="Q29" s="62">
        <f t="shared" si="8"/>
        <v>1</v>
      </c>
      <c r="R29" s="62">
        <f t="shared" si="8"/>
        <v>1</v>
      </c>
      <c r="S29" s="62">
        <f t="shared" si="8"/>
        <v>1</v>
      </c>
      <c r="T29" s="63">
        <f t="shared" si="8"/>
        <v>1</v>
      </c>
      <c r="U29" s="61">
        <v>1</v>
      </c>
      <c r="V29" s="62">
        <f t="shared" si="9"/>
        <v>1</v>
      </c>
      <c r="W29" s="62">
        <f t="shared" si="9"/>
        <v>1</v>
      </c>
      <c r="X29" s="62">
        <f t="shared" si="9"/>
        <v>1</v>
      </c>
      <c r="Y29" s="62">
        <f t="shared" si="9"/>
        <v>1</v>
      </c>
      <c r="Z29" s="62">
        <f t="shared" si="9"/>
        <v>1</v>
      </c>
      <c r="AA29" s="62">
        <f t="shared" si="9"/>
        <v>1</v>
      </c>
      <c r="AB29" s="63">
        <f t="shared" si="9"/>
        <v>1</v>
      </c>
      <c r="AC29" s="135"/>
      <c r="AD29" s="136"/>
      <c r="AE29" s="136"/>
      <c r="AF29" s="136"/>
      <c r="AG29" s="136"/>
      <c r="AH29" s="136"/>
      <c r="AI29" s="136"/>
      <c r="AJ29" s="137"/>
      <c r="AK29" s="61">
        <v>1</v>
      </c>
      <c r="AL29" s="62">
        <f t="shared" si="10"/>
        <v>1</v>
      </c>
      <c r="AM29" s="62">
        <f t="shared" si="10"/>
        <v>1</v>
      </c>
      <c r="AN29" s="62">
        <f t="shared" si="10"/>
        <v>1</v>
      </c>
      <c r="AO29" s="62">
        <f t="shared" si="10"/>
        <v>1</v>
      </c>
      <c r="AP29" s="62">
        <f t="shared" si="10"/>
        <v>1</v>
      </c>
      <c r="AQ29" s="62">
        <f t="shared" si="10"/>
        <v>1</v>
      </c>
      <c r="AR29" s="63">
        <f t="shared" si="10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4"/>
        <v>32</v>
      </c>
      <c r="BB29" s="9">
        <f t="shared" si="5"/>
        <v>352</v>
      </c>
      <c r="BC29" s="10">
        <f t="shared" si="6"/>
        <v>85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368</v>
      </c>
      <c r="E30" s="61">
        <v>1</v>
      </c>
      <c r="F30" s="62">
        <f t="shared" si="11"/>
        <v>1</v>
      </c>
      <c r="G30" s="62">
        <f t="shared" si="11"/>
        <v>1</v>
      </c>
      <c r="H30" s="62">
        <f t="shared" si="11"/>
        <v>1</v>
      </c>
      <c r="I30" s="62">
        <f t="shared" si="11"/>
        <v>1</v>
      </c>
      <c r="J30" s="62">
        <f t="shared" si="11"/>
        <v>1</v>
      </c>
      <c r="K30" s="62">
        <f t="shared" si="11"/>
        <v>1</v>
      </c>
      <c r="L30" s="63">
        <f t="shared" si="11"/>
        <v>1</v>
      </c>
      <c r="M30" s="61">
        <v>1</v>
      </c>
      <c r="N30" s="62">
        <f t="shared" si="8"/>
        <v>1</v>
      </c>
      <c r="O30" s="62">
        <f t="shared" si="8"/>
        <v>1</v>
      </c>
      <c r="P30" s="62">
        <f t="shared" si="8"/>
        <v>1</v>
      </c>
      <c r="Q30" s="62">
        <f t="shared" si="8"/>
        <v>1</v>
      </c>
      <c r="R30" s="62">
        <f t="shared" si="8"/>
        <v>1</v>
      </c>
      <c r="S30" s="62">
        <f t="shared" si="8"/>
        <v>1</v>
      </c>
      <c r="T30" s="63">
        <f t="shared" si="8"/>
        <v>1</v>
      </c>
      <c r="U30" s="61">
        <v>1</v>
      </c>
      <c r="V30" s="62">
        <f t="shared" si="9"/>
        <v>1</v>
      </c>
      <c r="W30" s="62">
        <f t="shared" si="9"/>
        <v>1</v>
      </c>
      <c r="X30" s="62">
        <f t="shared" si="9"/>
        <v>1</v>
      </c>
      <c r="Y30" s="62">
        <f t="shared" si="9"/>
        <v>1</v>
      </c>
      <c r="Z30" s="62">
        <f t="shared" si="9"/>
        <v>1</v>
      </c>
      <c r="AA30" s="62">
        <f t="shared" si="9"/>
        <v>1</v>
      </c>
      <c r="AB30" s="63">
        <f t="shared" si="9"/>
        <v>1</v>
      </c>
      <c r="AC30" s="135"/>
      <c r="AD30" s="136"/>
      <c r="AE30" s="136"/>
      <c r="AF30" s="136"/>
      <c r="AG30" s="136"/>
      <c r="AH30" s="136"/>
      <c r="AI30" s="136"/>
      <c r="AJ30" s="137"/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>
        <f t="shared" si="10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4"/>
        <v>32</v>
      </c>
      <c r="BB30" s="9">
        <f t="shared" si="5"/>
        <v>400</v>
      </c>
      <c r="BC30" s="10">
        <f t="shared" si="6"/>
        <v>97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358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62">
        <f t="shared" si="11"/>
        <v>1</v>
      </c>
      <c r="J31" s="62">
        <f t="shared" si="11"/>
        <v>1</v>
      </c>
      <c r="K31" s="62">
        <f t="shared" si="11"/>
        <v>1</v>
      </c>
      <c r="L31" s="63">
        <f t="shared" si="11"/>
        <v>1</v>
      </c>
      <c r="M31" s="61">
        <v>1</v>
      </c>
      <c r="N31" s="62">
        <f t="shared" si="8"/>
        <v>1</v>
      </c>
      <c r="O31" s="62">
        <f t="shared" si="8"/>
        <v>1</v>
      </c>
      <c r="P31" s="62">
        <f t="shared" si="8"/>
        <v>1</v>
      </c>
      <c r="Q31" s="62">
        <f t="shared" si="8"/>
        <v>1</v>
      </c>
      <c r="R31" s="62">
        <f t="shared" si="8"/>
        <v>1</v>
      </c>
      <c r="S31" s="62">
        <f t="shared" si="8"/>
        <v>1</v>
      </c>
      <c r="T31" s="63">
        <f t="shared" si="8"/>
        <v>1</v>
      </c>
      <c r="U31" s="61" t="s">
        <v>124</v>
      </c>
      <c r="V31" s="62" t="str">
        <f t="shared" si="9"/>
        <v>a</v>
      </c>
      <c r="W31" s="62" t="str">
        <f t="shared" si="9"/>
        <v>a</v>
      </c>
      <c r="X31" s="62" t="str">
        <f t="shared" si="9"/>
        <v>a</v>
      </c>
      <c r="Y31" s="62" t="str">
        <f t="shared" si="9"/>
        <v>a</v>
      </c>
      <c r="Z31" s="62" t="str">
        <f t="shared" si="9"/>
        <v>a</v>
      </c>
      <c r="AA31" s="62" t="str">
        <f t="shared" si="9"/>
        <v>a</v>
      </c>
      <c r="AB31" s="63" t="str">
        <f t="shared" si="9"/>
        <v>a</v>
      </c>
      <c r="AC31" s="135"/>
      <c r="AD31" s="136"/>
      <c r="AE31" s="136"/>
      <c r="AF31" s="136"/>
      <c r="AG31" s="136"/>
      <c r="AH31" s="136"/>
      <c r="AI31" s="136"/>
      <c r="AJ31" s="137"/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>
        <f t="shared" si="10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4"/>
        <v>24</v>
      </c>
      <c r="BB31" s="9">
        <f t="shared" si="5"/>
        <v>382</v>
      </c>
      <c r="BC31" s="10">
        <f t="shared" si="6"/>
        <v>92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333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62">
        <f t="shared" si="11"/>
        <v>1</v>
      </c>
      <c r="J32" s="62">
        <f t="shared" si="11"/>
        <v>1</v>
      </c>
      <c r="K32" s="62">
        <f t="shared" si="11"/>
        <v>1</v>
      </c>
      <c r="L32" s="63">
        <f t="shared" si="11"/>
        <v>1</v>
      </c>
      <c r="M32" s="61">
        <v>1</v>
      </c>
      <c r="N32" s="62">
        <f t="shared" si="8"/>
        <v>1</v>
      </c>
      <c r="O32" s="62">
        <f t="shared" si="8"/>
        <v>1</v>
      </c>
      <c r="P32" s="62">
        <f t="shared" si="8"/>
        <v>1</v>
      </c>
      <c r="Q32" s="62">
        <f t="shared" si="8"/>
        <v>1</v>
      </c>
      <c r="R32" s="62">
        <f t="shared" si="8"/>
        <v>1</v>
      </c>
      <c r="S32" s="62">
        <f t="shared" si="8"/>
        <v>1</v>
      </c>
      <c r="T32" s="63">
        <f t="shared" si="8"/>
        <v>1</v>
      </c>
      <c r="U32" s="61">
        <v>1</v>
      </c>
      <c r="V32" s="62">
        <f t="shared" si="9"/>
        <v>1</v>
      </c>
      <c r="W32" s="62">
        <f t="shared" si="9"/>
        <v>1</v>
      </c>
      <c r="X32" s="62">
        <f t="shared" si="9"/>
        <v>1</v>
      </c>
      <c r="Y32" s="62">
        <f t="shared" si="9"/>
        <v>1</v>
      </c>
      <c r="Z32" s="62">
        <f t="shared" si="9"/>
        <v>1</v>
      </c>
      <c r="AA32" s="62">
        <f t="shared" si="9"/>
        <v>1</v>
      </c>
      <c r="AB32" s="63">
        <f t="shared" si="9"/>
        <v>1</v>
      </c>
      <c r="AC32" s="135"/>
      <c r="AD32" s="136"/>
      <c r="AE32" s="136"/>
      <c r="AF32" s="136"/>
      <c r="AG32" s="136"/>
      <c r="AH32" s="136"/>
      <c r="AI32" s="136"/>
      <c r="AJ32" s="137"/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>
        <f t="shared" si="10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4"/>
        <v>32</v>
      </c>
      <c r="BB32" s="9">
        <f t="shared" si="5"/>
        <v>365</v>
      </c>
      <c r="BC32" s="10">
        <f t="shared" si="6"/>
        <v>88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360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62">
        <f t="shared" si="11"/>
        <v>1</v>
      </c>
      <c r="J33" s="62">
        <f t="shared" si="11"/>
        <v>1</v>
      </c>
      <c r="K33" s="62">
        <f t="shared" si="11"/>
        <v>1</v>
      </c>
      <c r="L33" s="63">
        <f t="shared" si="11"/>
        <v>1</v>
      </c>
      <c r="M33" s="61">
        <v>1</v>
      </c>
      <c r="N33" s="62">
        <f t="shared" si="8"/>
        <v>1</v>
      </c>
      <c r="O33" s="62">
        <f t="shared" si="8"/>
        <v>1</v>
      </c>
      <c r="P33" s="62">
        <f t="shared" si="8"/>
        <v>1</v>
      </c>
      <c r="Q33" s="62">
        <f t="shared" si="8"/>
        <v>1</v>
      </c>
      <c r="R33" s="62">
        <f t="shared" si="8"/>
        <v>1</v>
      </c>
      <c r="S33" s="62">
        <f t="shared" si="8"/>
        <v>1</v>
      </c>
      <c r="T33" s="63">
        <f t="shared" si="8"/>
        <v>1</v>
      </c>
      <c r="U33" s="61">
        <v>1</v>
      </c>
      <c r="V33" s="62">
        <f t="shared" si="9"/>
        <v>1</v>
      </c>
      <c r="W33" s="62">
        <f t="shared" si="9"/>
        <v>1</v>
      </c>
      <c r="X33" s="62">
        <f t="shared" si="9"/>
        <v>1</v>
      </c>
      <c r="Y33" s="62">
        <f t="shared" si="9"/>
        <v>1</v>
      </c>
      <c r="Z33" s="62">
        <f t="shared" si="9"/>
        <v>1</v>
      </c>
      <c r="AA33" s="62">
        <f t="shared" si="9"/>
        <v>1</v>
      </c>
      <c r="AB33" s="63">
        <f t="shared" si="9"/>
        <v>1</v>
      </c>
      <c r="AC33" s="135"/>
      <c r="AD33" s="136"/>
      <c r="AE33" s="136"/>
      <c r="AF33" s="136"/>
      <c r="AG33" s="136"/>
      <c r="AH33" s="136"/>
      <c r="AI33" s="136"/>
      <c r="AJ33" s="137"/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>
        <f t="shared" si="10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4"/>
        <v>32</v>
      </c>
      <c r="BB33" s="9">
        <f t="shared" si="5"/>
        <v>392</v>
      </c>
      <c r="BC33" s="10">
        <f t="shared" si="6"/>
        <v>95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327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62">
        <f t="shared" si="11"/>
        <v>1</v>
      </c>
      <c r="J34" s="62">
        <f t="shared" si="11"/>
        <v>1</v>
      </c>
      <c r="K34" s="62">
        <f t="shared" si="11"/>
        <v>1</v>
      </c>
      <c r="L34" s="63">
        <f t="shared" si="11"/>
        <v>1</v>
      </c>
      <c r="M34" s="61">
        <v>1</v>
      </c>
      <c r="N34" s="62">
        <f t="shared" si="8"/>
        <v>1</v>
      </c>
      <c r="O34" s="62">
        <f t="shared" si="8"/>
        <v>1</v>
      </c>
      <c r="P34" s="62">
        <f t="shared" si="8"/>
        <v>1</v>
      </c>
      <c r="Q34" s="62">
        <f t="shared" si="8"/>
        <v>1</v>
      </c>
      <c r="R34" s="62">
        <f t="shared" si="8"/>
        <v>1</v>
      </c>
      <c r="S34" s="62">
        <f t="shared" si="8"/>
        <v>1</v>
      </c>
      <c r="T34" s="63">
        <f t="shared" si="8"/>
        <v>1</v>
      </c>
      <c r="U34" s="61">
        <v>1</v>
      </c>
      <c r="V34" s="62">
        <f t="shared" si="9"/>
        <v>1</v>
      </c>
      <c r="W34" s="62">
        <f t="shared" si="9"/>
        <v>1</v>
      </c>
      <c r="X34" s="62">
        <f t="shared" si="9"/>
        <v>1</v>
      </c>
      <c r="Y34" s="62">
        <f t="shared" si="9"/>
        <v>1</v>
      </c>
      <c r="Z34" s="62">
        <f t="shared" si="9"/>
        <v>1</v>
      </c>
      <c r="AA34" s="62">
        <f t="shared" si="9"/>
        <v>1</v>
      </c>
      <c r="AB34" s="63">
        <f t="shared" si="9"/>
        <v>1</v>
      </c>
      <c r="AC34" s="135"/>
      <c r="AD34" s="136"/>
      <c r="AE34" s="136"/>
      <c r="AF34" s="136"/>
      <c r="AG34" s="136"/>
      <c r="AH34" s="136"/>
      <c r="AI34" s="136"/>
      <c r="AJ34" s="137"/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>
        <f t="shared" si="10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4"/>
        <v>32</v>
      </c>
      <c r="BB34" s="9">
        <f t="shared" si="5"/>
        <v>359</v>
      </c>
      <c r="BC34" s="10">
        <f t="shared" si="6"/>
        <v>87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382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62">
        <f t="shared" si="11"/>
        <v>1</v>
      </c>
      <c r="J35" s="62">
        <f t="shared" si="11"/>
        <v>1</v>
      </c>
      <c r="K35" s="62">
        <f t="shared" si="11"/>
        <v>1</v>
      </c>
      <c r="L35" s="63">
        <f t="shared" si="11"/>
        <v>1</v>
      </c>
      <c r="M35" s="61">
        <v>1</v>
      </c>
      <c r="N35" s="62">
        <f t="shared" si="8"/>
        <v>1</v>
      </c>
      <c r="O35" s="62">
        <f t="shared" si="8"/>
        <v>1</v>
      </c>
      <c r="P35" s="62">
        <f t="shared" si="8"/>
        <v>1</v>
      </c>
      <c r="Q35" s="62">
        <f t="shared" si="8"/>
        <v>1</v>
      </c>
      <c r="R35" s="62">
        <f t="shared" si="8"/>
        <v>1</v>
      </c>
      <c r="S35" s="62">
        <f t="shared" si="8"/>
        <v>1</v>
      </c>
      <c r="T35" s="63">
        <f t="shared" si="8"/>
        <v>1</v>
      </c>
      <c r="U35" s="61">
        <v>1</v>
      </c>
      <c r="V35" s="62">
        <f t="shared" si="9"/>
        <v>1</v>
      </c>
      <c r="W35" s="62">
        <f t="shared" si="9"/>
        <v>1</v>
      </c>
      <c r="X35" s="62">
        <f t="shared" si="9"/>
        <v>1</v>
      </c>
      <c r="Y35" s="62">
        <f t="shared" si="9"/>
        <v>1</v>
      </c>
      <c r="Z35" s="62">
        <f t="shared" si="9"/>
        <v>1</v>
      </c>
      <c r="AA35" s="62">
        <f t="shared" si="9"/>
        <v>1</v>
      </c>
      <c r="AB35" s="63">
        <f t="shared" si="9"/>
        <v>1</v>
      </c>
      <c r="AC35" s="135"/>
      <c r="AD35" s="136"/>
      <c r="AE35" s="136"/>
      <c r="AF35" s="136"/>
      <c r="AG35" s="136"/>
      <c r="AH35" s="136"/>
      <c r="AI35" s="136"/>
      <c r="AJ35" s="137"/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>
        <f t="shared" si="10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4"/>
        <v>32</v>
      </c>
      <c r="BB35" s="9">
        <f t="shared" si="5"/>
        <v>414</v>
      </c>
      <c r="BC35" s="10">
        <f t="shared" si="6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329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62">
        <f t="shared" si="11"/>
        <v>1</v>
      </c>
      <c r="J36" s="62">
        <f t="shared" si="11"/>
        <v>1</v>
      </c>
      <c r="K36" s="62">
        <f t="shared" si="11"/>
        <v>1</v>
      </c>
      <c r="L36" s="63">
        <f t="shared" si="11"/>
        <v>1</v>
      </c>
      <c r="M36" s="61">
        <v>1</v>
      </c>
      <c r="N36" s="62">
        <f t="shared" si="8"/>
        <v>1</v>
      </c>
      <c r="O36" s="62">
        <f t="shared" si="8"/>
        <v>1</v>
      </c>
      <c r="P36" s="62">
        <f t="shared" si="8"/>
        <v>1</v>
      </c>
      <c r="Q36" s="62">
        <f t="shared" si="8"/>
        <v>1</v>
      </c>
      <c r="R36" s="62">
        <f t="shared" si="8"/>
        <v>1</v>
      </c>
      <c r="S36" s="62">
        <f t="shared" si="8"/>
        <v>1</v>
      </c>
      <c r="T36" s="63">
        <f t="shared" si="8"/>
        <v>1</v>
      </c>
      <c r="U36" s="61" t="s">
        <v>124</v>
      </c>
      <c r="V36" s="62" t="str">
        <f t="shared" si="9"/>
        <v>a</v>
      </c>
      <c r="W36" s="62" t="str">
        <f t="shared" si="9"/>
        <v>a</v>
      </c>
      <c r="X36" s="62" t="str">
        <f t="shared" si="9"/>
        <v>a</v>
      </c>
      <c r="Y36" s="62" t="str">
        <f t="shared" si="9"/>
        <v>a</v>
      </c>
      <c r="Z36" s="62" t="str">
        <f t="shared" si="9"/>
        <v>a</v>
      </c>
      <c r="AA36" s="62" t="str">
        <f t="shared" si="9"/>
        <v>a</v>
      </c>
      <c r="AB36" s="63" t="str">
        <f t="shared" si="9"/>
        <v>a</v>
      </c>
      <c r="AC36" s="135"/>
      <c r="AD36" s="136"/>
      <c r="AE36" s="136"/>
      <c r="AF36" s="136"/>
      <c r="AG36" s="136"/>
      <c r="AH36" s="136"/>
      <c r="AI36" s="136"/>
      <c r="AJ36" s="137"/>
      <c r="AK36" s="61">
        <v>1</v>
      </c>
      <c r="AL36" s="62">
        <f t="shared" si="10"/>
        <v>1</v>
      </c>
      <c r="AM36" s="62">
        <f t="shared" si="10"/>
        <v>1</v>
      </c>
      <c r="AN36" s="62">
        <f t="shared" si="10"/>
        <v>1</v>
      </c>
      <c r="AO36" s="62">
        <f t="shared" si="10"/>
        <v>1</v>
      </c>
      <c r="AP36" s="62">
        <f t="shared" si="10"/>
        <v>1</v>
      </c>
      <c r="AQ36" s="62">
        <f t="shared" si="10"/>
        <v>1</v>
      </c>
      <c r="AR36" s="63">
        <f t="shared" si="10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4"/>
        <v>24</v>
      </c>
      <c r="BB36" s="9">
        <f t="shared" si="5"/>
        <v>353</v>
      </c>
      <c r="BC36" s="10">
        <f t="shared" si="6"/>
        <v>85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382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62">
        <f t="shared" si="11"/>
        <v>1</v>
      </c>
      <c r="J37" s="62">
        <f t="shared" si="11"/>
        <v>1</v>
      </c>
      <c r="K37" s="62">
        <f t="shared" si="11"/>
        <v>1</v>
      </c>
      <c r="L37" s="63">
        <f t="shared" si="11"/>
        <v>1</v>
      </c>
      <c r="M37" s="61">
        <v>1</v>
      </c>
      <c r="N37" s="62">
        <f t="shared" si="8"/>
        <v>1</v>
      </c>
      <c r="O37" s="62">
        <f t="shared" si="8"/>
        <v>1</v>
      </c>
      <c r="P37" s="62">
        <f t="shared" si="8"/>
        <v>1</v>
      </c>
      <c r="Q37" s="62">
        <f t="shared" si="8"/>
        <v>1</v>
      </c>
      <c r="R37" s="62">
        <f t="shared" si="8"/>
        <v>1</v>
      </c>
      <c r="S37" s="62">
        <f t="shared" si="8"/>
        <v>1</v>
      </c>
      <c r="T37" s="63">
        <f t="shared" si="8"/>
        <v>1</v>
      </c>
      <c r="U37" s="61">
        <v>1</v>
      </c>
      <c r="V37" s="62">
        <f t="shared" si="9"/>
        <v>1</v>
      </c>
      <c r="W37" s="62">
        <f t="shared" si="9"/>
        <v>1</v>
      </c>
      <c r="X37" s="62">
        <f t="shared" si="9"/>
        <v>1</v>
      </c>
      <c r="Y37" s="62">
        <f t="shared" si="9"/>
        <v>1</v>
      </c>
      <c r="Z37" s="62">
        <f t="shared" si="9"/>
        <v>1</v>
      </c>
      <c r="AA37" s="62">
        <f t="shared" si="9"/>
        <v>1</v>
      </c>
      <c r="AB37" s="63">
        <f t="shared" si="9"/>
        <v>1</v>
      </c>
      <c r="AC37" s="135"/>
      <c r="AD37" s="136"/>
      <c r="AE37" s="136"/>
      <c r="AF37" s="136"/>
      <c r="AG37" s="136"/>
      <c r="AH37" s="136"/>
      <c r="AI37" s="136"/>
      <c r="AJ37" s="137"/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>
        <f t="shared" si="10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4"/>
        <v>32</v>
      </c>
      <c r="BB37" s="9">
        <f t="shared" si="5"/>
        <v>414</v>
      </c>
      <c r="BC37" s="10">
        <f t="shared" si="6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326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62">
        <f t="shared" si="11"/>
        <v>1</v>
      </c>
      <c r="J38" s="62">
        <f t="shared" si="11"/>
        <v>1</v>
      </c>
      <c r="K38" s="62">
        <f t="shared" si="11"/>
        <v>1</v>
      </c>
      <c r="L38" s="63">
        <f t="shared" si="11"/>
        <v>1</v>
      </c>
      <c r="M38" s="61">
        <v>1</v>
      </c>
      <c r="N38" s="62">
        <f t="shared" si="8"/>
        <v>1</v>
      </c>
      <c r="O38" s="62">
        <f t="shared" si="8"/>
        <v>1</v>
      </c>
      <c r="P38" s="62">
        <f t="shared" si="8"/>
        <v>1</v>
      </c>
      <c r="Q38" s="62">
        <f t="shared" si="8"/>
        <v>1</v>
      </c>
      <c r="R38" s="62">
        <f t="shared" si="8"/>
        <v>1</v>
      </c>
      <c r="S38" s="62">
        <f t="shared" si="8"/>
        <v>1</v>
      </c>
      <c r="T38" s="63">
        <f t="shared" si="8"/>
        <v>1</v>
      </c>
      <c r="U38" s="61">
        <v>1</v>
      </c>
      <c r="V38" s="62">
        <f t="shared" si="9"/>
        <v>1</v>
      </c>
      <c r="W38" s="62">
        <f t="shared" si="9"/>
        <v>1</v>
      </c>
      <c r="X38" s="62">
        <f t="shared" si="9"/>
        <v>1</v>
      </c>
      <c r="Y38" s="62">
        <f t="shared" si="9"/>
        <v>1</v>
      </c>
      <c r="Z38" s="62">
        <f t="shared" si="9"/>
        <v>1</v>
      </c>
      <c r="AA38" s="62">
        <f t="shared" si="9"/>
        <v>1</v>
      </c>
      <c r="AB38" s="63">
        <f t="shared" si="9"/>
        <v>1</v>
      </c>
      <c r="AC38" s="135"/>
      <c r="AD38" s="136"/>
      <c r="AE38" s="136"/>
      <c r="AF38" s="136"/>
      <c r="AG38" s="136"/>
      <c r="AH38" s="136"/>
      <c r="AI38" s="136"/>
      <c r="AJ38" s="137"/>
      <c r="AK38" s="61">
        <v>1</v>
      </c>
      <c r="AL38" s="62">
        <f t="shared" si="10"/>
        <v>1</v>
      </c>
      <c r="AM38" s="62">
        <f t="shared" si="10"/>
        <v>1</v>
      </c>
      <c r="AN38" s="62">
        <f t="shared" si="10"/>
        <v>1</v>
      </c>
      <c r="AO38" s="62">
        <f t="shared" si="10"/>
        <v>1</v>
      </c>
      <c r="AP38" s="62">
        <f t="shared" si="10"/>
        <v>1</v>
      </c>
      <c r="AQ38" s="62">
        <f t="shared" si="10"/>
        <v>1</v>
      </c>
      <c r="AR38" s="63">
        <f t="shared" si="10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32</v>
      </c>
      <c r="BB38" s="9">
        <f t="shared" si="5"/>
        <v>358</v>
      </c>
      <c r="BC38" s="10">
        <f t="shared" si="6"/>
        <v>86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334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62">
        <f t="shared" si="11"/>
        <v>1</v>
      </c>
      <c r="J39" s="62">
        <f t="shared" si="11"/>
        <v>1</v>
      </c>
      <c r="K39" s="62">
        <f t="shared" si="11"/>
        <v>1</v>
      </c>
      <c r="L39" s="63">
        <f t="shared" si="11"/>
        <v>1</v>
      </c>
      <c r="M39" s="61">
        <v>1</v>
      </c>
      <c r="N39" s="62">
        <f t="shared" si="8"/>
        <v>1</v>
      </c>
      <c r="O39" s="62">
        <f t="shared" si="8"/>
        <v>1</v>
      </c>
      <c r="P39" s="62">
        <f t="shared" si="8"/>
        <v>1</v>
      </c>
      <c r="Q39" s="62">
        <f t="shared" si="8"/>
        <v>1</v>
      </c>
      <c r="R39" s="62">
        <f t="shared" si="8"/>
        <v>1</v>
      </c>
      <c r="S39" s="62">
        <f t="shared" si="8"/>
        <v>1</v>
      </c>
      <c r="T39" s="63">
        <f t="shared" si="8"/>
        <v>1</v>
      </c>
      <c r="U39" s="61" t="s">
        <v>124</v>
      </c>
      <c r="V39" s="62" t="str">
        <f t="shared" si="9"/>
        <v>a</v>
      </c>
      <c r="W39" s="62" t="str">
        <f t="shared" si="9"/>
        <v>a</v>
      </c>
      <c r="X39" s="62" t="str">
        <f t="shared" si="9"/>
        <v>a</v>
      </c>
      <c r="Y39" s="62" t="str">
        <f t="shared" si="9"/>
        <v>a</v>
      </c>
      <c r="Z39" s="62" t="str">
        <f t="shared" si="9"/>
        <v>a</v>
      </c>
      <c r="AA39" s="62" t="str">
        <f t="shared" si="9"/>
        <v>a</v>
      </c>
      <c r="AB39" s="63" t="str">
        <f t="shared" si="9"/>
        <v>a</v>
      </c>
      <c r="AC39" s="135"/>
      <c r="AD39" s="136"/>
      <c r="AE39" s="136"/>
      <c r="AF39" s="136"/>
      <c r="AG39" s="136"/>
      <c r="AH39" s="136"/>
      <c r="AI39" s="136"/>
      <c r="AJ39" s="137"/>
      <c r="AK39" s="61">
        <v>1</v>
      </c>
      <c r="AL39" s="62">
        <f t="shared" si="10"/>
        <v>1</v>
      </c>
      <c r="AM39" s="62">
        <f t="shared" si="10"/>
        <v>1</v>
      </c>
      <c r="AN39" s="62">
        <f t="shared" si="10"/>
        <v>1</v>
      </c>
      <c r="AO39" s="62">
        <f t="shared" si="10"/>
        <v>1</v>
      </c>
      <c r="AP39" s="62">
        <f t="shared" si="10"/>
        <v>1</v>
      </c>
      <c r="AQ39" s="62">
        <f t="shared" si="10"/>
        <v>1</v>
      </c>
      <c r="AR39" s="63">
        <f t="shared" si="10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2">SUM(E39:AZ39)</f>
        <v>24</v>
      </c>
      <c r="BB39" s="9">
        <f t="shared" si="5"/>
        <v>358</v>
      </c>
      <c r="BC39" s="10">
        <f t="shared" si="6"/>
        <v>86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304</v>
      </c>
      <c r="E40" s="61" t="s">
        <v>124</v>
      </c>
      <c r="F40" s="62" t="str">
        <f t="shared" si="11"/>
        <v>a</v>
      </c>
      <c r="G40" s="62" t="str">
        <f t="shared" si="11"/>
        <v>a</v>
      </c>
      <c r="H40" s="62" t="str">
        <f t="shared" si="11"/>
        <v>a</v>
      </c>
      <c r="I40" s="62" t="str">
        <f t="shared" si="11"/>
        <v>a</v>
      </c>
      <c r="J40" s="62" t="str">
        <f t="shared" si="11"/>
        <v>a</v>
      </c>
      <c r="K40" s="62" t="str">
        <f t="shared" si="11"/>
        <v>a</v>
      </c>
      <c r="L40" s="63" t="str">
        <f t="shared" si="11"/>
        <v>a</v>
      </c>
      <c r="M40" s="61">
        <v>1</v>
      </c>
      <c r="N40" s="62">
        <f t="shared" si="8"/>
        <v>1</v>
      </c>
      <c r="O40" s="62">
        <f t="shared" si="8"/>
        <v>1</v>
      </c>
      <c r="P40" s="62">
        <f t="shared" si="8"/>
        <v>1</v>
      </c>
      <c r="Q40" s="62">
        <f t="shared" si="8"/>
        <v>1</v>
      </c>
      <c r="R40" s="62">
        <f t="shared" si="8"/>
        <v>1</v>
      </c>
      <c r="S40" s="62">
        <f t="shared" si="8"/>
        <v>1</v>
      </c>
      <c r="T40" s="63">
        <f t="shared" si="8"/>
        <v>1</v>
      </c>
      <c r="U40" s="61">
        <v>1</v>
      </c>
      <c r="V40" s="62">
        <f t="shared" si="9"/>
        <v>1</v>
      </c>
      <c r="W40" s="62">
        <f t="shared" si="9"/>
        <v>1</v>
      </c>
      <c r="X40" s="62">
        <f t="shared" si="9"/>
        <v>1</v>
      </c>
      <c r="Y40" s="62">
        <f t="shared" si="9"/>
        <v>1</v>
      </c>
      <c r="Z40" s="62">
        <f t="shared" si="9"/>
        <v>1</v>
      </c>
      <c r="AA40" s="62">
        <f t="shared" si="9"/>
        <v>1</v>
      </c>
      <c r="AB40" s="63">
        <f t="shared" si="9"/>
        <v>1</v>
      </c>
      <c r="AC40" s="135"/>
      <c r="AD40" s="136"/>
      <c r="AE40" s="136"/>
      <c r="AF40" s="136"/>
      <c r="AG40" s="136"/>
      <c r="AH40" s="136"/>
      <c r="AI40" s="136"/>
      <c r="AJ40" s="137"/>
      <c r="AK40" s="61">
        <v>1</v>
      </c>
      <c r="AL40" s="62">
        <f t="shared" si="10"/>
        <v>1</v>
      </c>
      <c r="AM40" s="62">
        <f t="shared" si="10"/>
        <v>1</v>
      </c>
      <c r="AN40" s="62">
        <f t="shared" si="10"/>
        <v>1</v>
      </c>
      <c r="AO40" s="62">
        <f t="shared" si="10"/>
        <v>1</v>
      </c>
      <c r="AP40" s="62">
        <f t="shared" si="10"/>
        <v>1</v>
      </c>
      <c r="AQ40" s="62">
        <f t="shared" si="10"/>
        <v>1</v>
      </c>
      <c r="AR40" s="63">
        <f t="shared" si="10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2"/>
        <v>24</v>
      </c>
      <c r="BB40" s="9">
        <f t="shared" si="5"/>
        <v>328</v>
      </c>
      <c r="BC40" s="10">
        <f t="shared" si="6"/>
        <v>79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330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62">
        <f t="shared" si="11"/>
        <v>1</v>
      </c>
      <c r="J41" s="62">
        <f t="shared" si="11"/>
        <v>1</v>
      </c>
      <c r="K41" s="62">
        <f t="shared" si="11"/>
        <v>1</v>
      </c>
      <c r="L41" s="63">
        <f t="shared" si="11"/>
        <v>1</v>
      </c>
      <c r="M41" s="61">
        <v>1</v>
      </c>
      <c r="N41" s="62">
        <f t="shared" si="8"/>
        <v>1</v>
      </c>
      <c r="O41" s="62">
        <f t="shared" si="8"/>
        <v>1</v>
      </c>
      <c r="P41" s="62">
        <f t="shared" si="8"/>
        <v>1</v>
      </c>
      <c r="Q41" s="62">
        <f t="shared" si="8"/>
        <v>1</v>
      </c>
      <c r="R41" s="62">
        <f t="shared" si="8"/>
        <v>1</v>
      </c>
      <c r="S41" s="62">
        <f t="shared" si="8"/>
        <v>1</v>
      </c>
      <c r="T41" s="63">
        <f t="shared" si="8"/>
        <v>1</v>
      </c>
      <c r="U41" s="61">
        <v>1</v>
      </c>
      <c r="V41" s="62">
        <f t="shared" si="9"/>
        <v>1</v>
      </c>
      <c r="W41" s="62">
        <f t="shared" si="9"/>
        <v>1</v>
      </c>
      <c r="X41" s="62">
        <f t="shared" si="9"/>
        <v>1</v>
      </c>
      <c r="Y41" s="62">
        <f t="shared" si="9"/>
        <v>1</v>
      </c>
      <c r="Z41" s="62">
        <f t="shared" si="9"/>
        <v>1</v>
      </c>
      <c r="AA41" s="62">
        <f t="shared" si="9"/>
        <v>1</v>
      </c>
      <c r="AB41" s="63">
        <f t="shared" si="9"/>
        <v>1</v>
      </c>
      <c r="AC41" s="135"/>
      <c r="AD41" s="136"/>
      <c r="AE41" s="136"/>
      <c r="AF41" s="136"/>
      <c r="AG41" s="136"/>
      <c r="AH41" s="136"/>
      <c r="AI41" s="136"/>
      <c r="AJ41" s="137"/>
      <c r="AK41" s="61">
        <v>1</v>
      </c>
      <c r="AL41" s="62">
        <f t="shared" si="10"/>
        <v>1</v>
      </c>
      <c r="AM41" s="62">
        <f t="shared" si="10"/>
        <v>1</v>
      </c>
      <c r="AN41" s="62">
        <f t="shared" si="10"/>
        <v>1</v>
      </c>
      <c r="AO41" s="62">
        <f t="shared" si="10"/>
        <v>1</v>
      </c>
      <c r="AP41" s="62">
        <f t="shared" si="10"/>
        <v>1</v>
      </c>
      <c r="AQ41" s="62">
        <f t="shared" si="10"/>
        <v>1</v>
      </c>
      <c r="AR41" s="63">
        <f t="shared" si="10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2"/>
        <v>32</v>
      </c>
      <c r="BB41" s="9">
        <f t="shared" si="5"/>
        <v>362</v>
      </c>
      <c r="BC41" s="10">
        <f t="shared" si="6"/>
        <v>87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365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62">
        <f t="shared" si="11"/>
        <v>1</v>
      </c>
      <c r="J42" s="62">
        <f t="shared" si="11"/>
        <v>1</v>
      </c>
      <c r="K42" s="62">
        <f t="shared" si="11"/>
        <v>1</v>
      </c>
      <c r="L42" s="63">
        <f t="shared" si="11"/>
        <v>1</v>
      </c>
      <c r="M42" s="61" t="s">
        <v>124</v>
      </c>
      <c r="N42" s="62" t="str">
        <f t="shared" ref="N42:T57" si="13">M42</f>
        <v>a</v>
      </c>
      <c r="O42" s="62" t="str">
        <f t="shared" si="13"/>
        <v>a</v>
      </c>
      <c r="P42" s="62" t="str">
        <f t="shared" si="13"/>
        <v>a</v>
      </c>
      <c r="Q42" s="62" t="str">
        <f t="shared" si="13"/>
        <v>a</v>
      </c>
      <c r="R42" s="62" t="str">
        <f t="shared" si="13"/>
        <v>a</v>
      </c>
      <c r="S42" s="62" t="str">
        <f t="shared" si="13"/>
        <v>a</v>
      </c>
      <c r="T42" s="63" t="str">
        <f t="shared" si="13"/>
        <v>a</v>
      </c>
      <c r="U42" s="61" t="s">
        <v>124</v>
      </c>
      <c r="V42" s="62" t="str">
        <f t="shared" ref="V42:AB57" si="14">U42</f>
        <v>a</v>
      </c>
      <c r="W42" s="62" t="str">
        <f t="shared" si="14"/>
        <v>a</v>
      </c>
      <c r="X42" s="62" t="str">
        <f t="shared" si="14"/>
        <v>a</v>
      </c>
      <c r="Y42" s="62" t="str">
        <f t="shared" si="14"/>
        <v>a</v>
      </c>
      <c r="Z42" s="62" t="str">
        <f t="shared" si="14"/>
        <v>a</v>
      </c>
      <c r="AA42" s="62" t="str">
        <f t="shared" si="14"/>
        <v>a</v>
      </c>
      <c r="AB42" s="63" t="str">
        <f t="shared" si="14"/>
        <v>a</v>
      </c>
      <c r="AC42" s="138"/>
      <c r="AD42" s="139"/>
      <c r="AE42" s="139"/>
      <c r="AF42" s="139"/>
      <c r="AG42" s="139"/>
      <c r="AH42" s="139"/>
      <c r="AI42" s="139"/>
      <c r="AJ42" s="140"/>
      <c r="AK42" s="61">
        <v>1</v>
      </c>
      <c r="AL42" s="62">
        <f t="shared" ref="AL42:AR57" si="15">AK42</f>
        <v>1</v>
      </c>
      <c r="AM42" s="62">
        <f t="shared" si="15"/>
        <v>1</v>
      </c>
      <c r="AN42" s="62">
        <f t="shared" si="15"/>
        <v>1</v>
      </c>
      <c r="AO42" s="62">
        <f t="shared" si="15"/>
        <v>1</v>
      </c>
      <c r="AP42" s="62">
        <f t="shared" si="15"/>
        <v>1</v>
      </c>
      <c r="AQ42" s="62">
        <f t="shared" si="15"/>
        <v>1</v>
      </c>
      <c r="AR42" s="63">
        <f t="shared" si="15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2"/>
        <v>16</v>
      </c>
      <c r="BB42" s="9">
        <f t="shared" si="5"/>
        <v>381</v>
      </c>
      <c r="BC42" s="10">
        <f t="shared" si="6"/>
        <v>92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309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62">
        <f t="shared" si="11"/>
        <v>1</v>
      </c>
      <c r="J43" s="62">
        <f t="shared" si="11"/>
        <v>1</v>
      </c>
      <c r="K43" s="62">
        <f t="shared" si="11"/>
        <v>1</v>
      </c>
      <c r="L43" s="63">
        <f t="shared" si="11"/>
        <v>1</v>
      </c>
      <c r="M43" s="61">
        <v>1</v>
      </c>
      <c r="N43" s="62">
        <f t="shared" si="13"/>
        <v>1</v>
      </c>
      <c r="O43" s="62">
        <f t="shared" si="13"/>
        <v>1</v>
      </c>
      <c r="P43" s="62">
        <f t="shared" si="13"/>
        <v>1</v>
      </c>
      <c r="Q43" s="62">
        <f t="shared" si="13"/>
        <v>1</v>
      </c>
      <c r="R43" s="62">
        <f t="shared" si="13"/>
        <v>1</v>
      </c>
      <c r="S43" s="62">
        <f t="shared" si="13"/>
        <v>1</v>
      </c>
      <c r="T43" s="63">
        <f t="shared" si="13"/>
        <v>1</v>
      </c>
      <c r="U43" s="61">
        <v>1</v>
      </c>
      <c r="V43" s="62">
        <f t="shared" si="14"/>
        <v>1</v>
      </c>
      <c r="W43" s="62">
        <f t="shared" si="14"/>
        <v>1</v>
      </c>
      <c r="X43" s="62">
        <f t="shared" si="14"/>
        <v>1</v>
      </c>
      <c r="Y43" s="62">
        <f t="shared" si="14"/>
        <v>1</v>
      </c>
      <c r="Z43" s="62">
        <f t="shared" si="14"/>
        <v>1</v>
      </c>
      <c r="AA43" s="62">
        <f t="shared" si="14"/>
        <v>1</v>
      </c>
      <c r="AB43" s="63">
        <f t="shared" si="14"/>
        <v>1</v>
      </c>
      <c r="AC43" s="141" t="s">
        <v>225</v>
      </c>
      <c r="AD43" s="142"/>
      <c r="AE43" s="142"/>
      <c r="AF43" s="142"/>
      <c r="AG43" s="142"/>
      <c r="AH43" s="142"/>
      <c r="AI43" s="142"/>
      <c r="AJ43" s="143"/>
      <c r="AK43" s="61">
        <v>1</v>
      </c>
      <c r="AL43" s="62">
        <f t="shared" si="15"/>
        <v>1</v>
      </c>
      <c r="AM43" s="62">
        <f t="shared" si="15"/>
        <v>1</v>
      </c>
      <c r="AN43" s="62">
        <f t="shared" si="15"/>
        <v>1</v>
      </c>
      <c r="AO43" s="62">
        <f t="shared" si="15"/>
        <v>1</v>
      </c>
      <c r="AP43" s="62">
        <f t="shared" si="15"/>
        <v>1</v>
      </c>
      <c r="AQ43" s="62">
        <f t="shared" si="15"/>
        <v>1</v>
      </c>
      <c r="AR43" s="63">
        <f t="shared" si="15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2"/>
        <v>32</v>
      </c>
      <c r="BB43" s="9">
        <f t="shared" si="5"/>
        <v>341</v>
      </c>
      <c r="BC43" s="10">
        <f t="shared" si="6"/>
        <v>82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320</v>
      </c>
      <c r="E44" s="61">
        <v>1</v>
      </c>
      <c r="F44" s="62">
        <f t="shared" ref="F44:L59" si="16">E44</f>
        <v>1</v>
      </c>
      <c r="G44" s="62">
        <f t="shared" si="16"/>
        <v>1</v>
      </c>
      <c r="H44" s="62">
        <f t="shared" si="16"/>
        <v>1</v>
      </c>
      <c r="I44" s="62">
        <f t="shared" si="16"/>
        <v>1</v>
      </c>
      <c r="J44" s="62">
        <f t="shared" si="16"/>
        <v>1</v>
      </c>
      <c r="K44" s="62">
        <f t="shared" si="16"/>
        <v>1</v>
      </c>
      <c r="L44" s="63">
        <f t="shared" si="16"/>
        <v>1</v>
      </c>
      <c r="M44" s="61" t="s">
        <v>124</v>
      </c>
      <c r="N44" s="62" t="str">
        <f t="shared" si="13"/>
        <v>a</v>
      </c>
      <c r="O44" s="62" t="str">
        <f t="shared" si="13"/>
        <v>a</v>
      </c>
      <c r="P44" s="62" t="str">
        <f t="shared" si="13"/>
        <v>a</v>
      </c>
      <c r="Q44" s="62" t="str">
        <f t="shared" si="13"/>
        <v>a</v>
      </c>
      <c r="R44" s="62" t="str">
        <f t="shared" si="13"/>
        <v>a</v>
      </c>
      <c r="S44" s="62" t="str">
        <f t="shared" si="13"/>
        <v>a</v>
      </c>
      <c r="T44" s="63" t="str">
        <f t="shared" si="13"/>
        <v>a</v>
      </c>
      <c r="U44" s="61">
        <v>1</v>
      </c>
      <c r="V44" s="62">
        <f t="shared" si="14"/>
        <v>1</v>
      </c>
      <c r="W44" s="62">
        <f t="shared" si="14"/>
        <v>1</v>
      </c>
      <c r="X44" s="62">
        <f t="shared" si="14"/>
        <v>1</v>
      </c>
      <c r="Y44" s="62">
        <f t="shared" si="14"/>
        <v>1</v>
      </c>
      <c r="Z44" s="62">
        <f t="shared" si="14"/>
        <v>1</v>
      </c>
      <c r="AA44" s="62">
        <f t="shared" si="14"/>
        <v>1</v>
      </c>
      <c r="AB44" s="63">
        <f t="shared" si="14"/>
        <v>1</v>
      </c>
      <c r="AC44" s="135"/>
      <c r="AD44" s="136"/>
      <c r="AE44" s="136"/>
      <c r="AF44" s="136"/>
      <c r="AG44" s="136"/>
      <c r="AH44" s="136"/>
      <c r="AI44" s="136"/>
      <c r="AJ44" s="137"/>
      <c r="AK44" s="61" t="s">
        <v>124</v>
      </c>
      <c r="AL44" s="62" t="str">
        <f t="shared" si="15"/>
        <v>a</v>
      </c>
      <c r="AM44" s="62" t="str">
        <f t="shared" si="15"/>
        <v>a</v>
      </c>
      <c r="AN44" s="62" t="str">
        <f t="shared" si="15"/>
        <v>a</v>
      </c>
      <c r="AO44" s="62" t="str">
        <f t="shared" si="15"/>
        <v>a</v>
      </c>
      <c r="AP44" s="62" t="str">
        <f t="shared" si="15"/>
        <v>a</v>
      </c>
      <c r="AQ44" s="62" t="str">
        <f t="shared" si="15"/>
        <v>a</v>
      </c>
      <c r="AR44" s="63" t="str">
        <f t="shared" si="15"/>
        <v>a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2"/>
        <v>16</v>
      </c>
      <c r="BB44" s="9">
        <f t="shared" si="5"/>
        <v>336</v>
      </c>
      <c r="BC44" s="10">
        <f t="shared" si="6"/>
        <v>81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342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62">
        <f t="shared" si="16"/>
        <v>1</v>
      </c>
      <c r="J45" s="62">
        <f t="shared" si="16"/>
        <v>1</v>
      </c>
      <c r="K45" s="62">
        <f t="shared" si="16"/>
        <v>1</v>
      </c>
      <c r="L45" s="63">
        <f t="shared" si="16"/>
        <v>1</v>
      </c>
      <c r="M45" s="61">
        <v>1</v>
      </c>
      <c r="N45" s="62">
        <f t="shared" si="13"/>
        <v>1</v>
      </c>
      <c r="O45" s="62">
        <f t="shared" si="13"/>
        <v>1</v>
      </c>
      <c r="P45" s="62">
        <f t="shared" si="13"/>
        <v>1</v>
      </c>
      <c r="Q45" s="62">
        <f t="shared" si="13"/>
        <v>1</v>
      </c>
      <c r="R45" s="62">
        <f t="shared" si="13"/>
        <v>1</v>
      </c>
      <c r="S45" s="62">
        <f t="shared" si="13"/>
        <v>1</v>
      </c>
      <c r="T45" s="63">
        <f t="shared" si="13"/>
        <v>1</v>
      </c>
      <c r="U45" s="61">
        <v>1</v>
      </c>
      <c r="V45" s="62">
        <f t="shared" si="14"/>
        <v>1</v>
      </c>
      <c r="W45" s="62">
        <f t="shared" si="14"/>
        <v>1</v>
      </c>
      <c r="X45" s="62">
        <f t="shared" si="14"/>
        <v>1</v>
      </c>
      <c r="Y45" s="62">
        <f t="shared" si="14"/>
        <v>1</v>
      </c>
      <c r="Z45" s="62">
        <f t="shared" si="14"/>
        <v>1</v>
      </c>
      <c r="AA45" s="62">
        <f t="shared" si="14"/>
        <v>1</v>
      </c>
      <c r="AB45" s="63">
        <f t="shared" si="14"/>
        <v>1</v>
      </c>
      <c r="AC45" s="135"/>
      <c r="AD45" s="136"/>
      <c r="AE45" s="136"/>
      <c r="AF45" s="136"/>
      <c r="AG45" s="136"/>
      <c r="AH45" s="136"/>
      <c r="AI45" s="136"/>
      <c r="AJ45" s="137"/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>
        <f t="shared" si="15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2"/>
        <v>32</v>
      </c>
      <c r="BB45" s="9">
        <f t="shared" si="5"/>
        <v>374</v>
      </c>
      <c r="BC45" s="10">
        <f t="shared" si="6"/>
        <v>90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344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62">
        <f t="shared" si="16"/>
        <v>1</v>
      </c>
      <c r="J46" s="62">
        <f t="shared" si="16"/>
        <v>1</v>
      </c>
      <c r="K46" s="62">
        <f t="shared" si="16"/>
        <v>1</v>
      </c>
      <c r="L46" s="63">
        <f t="shared" si="16"/>
        <v>1</v>
      </c>
      <c r="M46" s="61">
        <v>1</v>
      </c>
      <c r="N46" s="62">
        <f t="shared" si="13"/>
        <v>1</v>
      </c>
      <c r="O46" s="62">
        <f t="shared" si="13"/>
        <v>1</v>
      </c>
      <c r="P46" s="62">
        <f t="shared" si="13"/>
        <v>1</v>
      </c>
      <c r="Q46" s="62">
        <f t="shared" si="13"/>
        <v>1</v>
      </c>
      <c r="R46" s="62">
        <f t="shared" si="13"/>
        <v>1</v>
      </c>
      <c r="S46" s="62">
        <f t="shared" si="13"/>
        <v>1</v>
      </c>
      <c r="T46" s="63">
        <f t="shared" si="13"/>
        <v>1</v>
      </c>
      <c r="U46" s="61">
        <v>1</v>
      </c>
      <c r="V46" s="62">
        <f t="shared" si="14"/>
        <v>1</v>
      </c>
      <c r="W46" s="62">
        <f t="shared" si="14"/>
        <v>1</v>
      </c>
      <c r="X46" s="62">
        <f t="shared" si="14"/>
        <v>1</v>
      </c>
      <c r="Y46" s="62">
        <f t="shared" si="14"/>
        <v>1</v>
      </c>
      <c r="Z46" s="62">
        <f t="shared" si="14"/>
        <v>1</v>
      </c>
      <c r="AA46" s="62">
        <f t="shared" si="14"/>
        <v>1</v>
      </c>
      <c r="AB46" s="63">
        <f t="shared" si="14"/>
        <v>1</v>
      </c>
      <c r="AC46" s="135"/>
      <c r="AD46" s="136"/>
      <c r="AE46" s="136"/>
      <c r="AF46" s="136"/>
      <c r="AG46" s="136"/>
      <c r="AH46" s="136"/>
      <c r="AI46" s="136"/>
      <c r="AJ46" s="137"/>
      <c r="AK46" s="61">
        <v>1</v>
      </c>
      <c r="AL46" s="62">
        <f t="shared" si="15"/>
        <v>1</v>
      </c>
      <c r="AM46" s="62">
        <f t="shared" si="15"/>
        <v>1</v>
      </c>
      <c r="AN46" s="62">
        <f t="shared" si="15"/>
        <v>1</v>
      </c>
      <c r="AO46" s="62">
        <f t="shared" si="15"/>
        <v>1</v>
      </c>
      <c r="AP46" s="62">
        <f t="shared" si="15"/>
        <v>1</v>
      </c>
      <c r="AQ46" s="62">
        <f t="shared" si="15"/>
        <v>1</v>
      </c>
      <c r="AR46" s="63">
        <f t="shared" si="15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2"/>
        <v>32</v>
      </c>
      <c r="BB46" s="9">
        <f t="shared" si="5"/>
        <v>376</v>
      </c>
      <c r="BC46" s="10">
        <f t="shared" si="6"/>
        <v>91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336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62">
        <f t="shared" si="16"/>
        <v>1</v>
      </c>
      <c r="J47" s="62">
        <f t="shared" si="16"/>
        <v>1</v>
      </c>
      <c r="K47" s="62">
        <f t="shared" si="16"/>
        <v>1</v>
      </c>
      <c r="L47" s="63">
        <f t="shared" si="16"/>
        <v>1</v>
      </c>
      <c r="M47" s="61">
        <v>1</v>
      </c>
      <c r="N47" s="62">
        <f t="shared" si="13"/>
        <v>1</v>
      </c>
      <c r="O47" s="62">
        <f t="shared" si="13"/>
        <v>1</v>
      </c>
      <c r="P47" s="62">
        <f t="shared" si="13"/>
        <v>1</v>
      </c>
      <c r="Q47" s="62">
        <f t="shared" si="13"/>
        <v>1</v>
      </c>
      <c r="R47" s="62">
        <f t="shared" si="13"/>
        <v>1</v>
      </c>
      <c r="S47" s="62">
        <f t="shared" si="13"/>
        <v>1</v>
      </c>
      <c r="T47" s="63">
        <f t="shared" si="13"/>
        <v>1</v>
      </c>
      <c r="U47" s="61">
        <v>1</v>
      </c>
      <c r="V47" s="62">
        <f t="shared" si="14"/>
        <v>1</v>
      </c>
      <c r="W47" s="62">
        <f t="shared" si="14"/>
        <v>1</v>
      </c>
      <c r="X47" s="62">
        <f t="shared" si="14"/>
        <v>1</v>
      </c>
      <c r="Y47" s="62">
        <f t="shared" si="14"/>
        <v>1</v>
      </c>
      <c r="Z47" s="62">
        <f t="shared" si="14"/>
        <v>1</v>
      </c>
      <c r="AA47" s="62">
        <f t="shared" si="14"/>
        <v>1</v>
      </c>
      <c r="AB47" s="63">
        <f t="shared" si="14"/>
        <v>1</v>
      </c>
      <c r="AC47" s="135"/>
      <c r="AD47" s="136"/>
      <c r="AE47" s="136"/>
      <c r="AF47" s="136"/>
      <c r="AG47" s="136"/>
      <c r="AH47" s="136"/>
      <c r="AI47" s="136"/>
      <c r="AJ47" s="137"/>
      <c r="AK47" s="61">
        <v>1</v>
      </c>
      <c r="AL47" s="62">
        <f t="shared" si="15"/>
        <v>1</v>
      </c>
      <c r="AM47" s="62">
        <f t="shared" si="15"/>
        <v>1</v>
      </c>
      <c r="AN47" s="62">
        <f t="shared" si="15"/>
        <v>1</v>
      </c>
      <c r="AO47" s="62">
        <f t="shared" si="15"/>
        <v>1</v>
      </c>
      <c r="AP47" s="62">
        <f t="shared" si="15"/>
        <v>1</v>
      </c>
      <c r="AQ47" s="62">
        <f t="shared" si="15"/>
        <v>1</v>
      </c>
      <c r="AR47" s="63">
        <f t="shared" si="15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2"/>
        <v>32</v>
      </c>
      <c r="BB47" s="9">
        <f t="shared" si="5"/>
        <v>368</v>
      </c>
      <c r="BC47" s="10">
        <f t="shared" si="6"/>
        <v>89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314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62">
        <f t="shared" si="16"/>
        <v>1</v>
      </c>
      <c r="J48" s="62">
        <f t="shared" si="16"/>
        <v>1</v>
      </c>
      <c r="K48" s="62">
        <f t="shared" si="16"/>
        <v>1</v>
      </c>
      <c r="L48" s="63">
        <f t="shared" si="16"/>
        <v>1</v>
      </c>
      <c r="M48" s="61">
        <v>1</v>
      </c>
      <c r="N48" s="62">
        <f t="shared" si="13"/>
        <v>1</v>
      </c>
      <c r="O48" s="62">
        <f t="shared" si="13"/>
        <v>1</v>
      </c>
      <c r="P48" s="62">
        <f t="shared" si="13"/>
        <v>1</v>
      </c>
      <c r="Q48" s="62">
        <f t="shared" si="13"/>
        <v>1</v>
      </c>
      <c r="R48" s="62">
        <f t="shared" si="13"/>
        <v>1</v>
      </c>
      <c r="S48" s="62">
        <f t="shared" si="13"/>
        <v>1</v>
      </c>
      <c r="T48" s="63">
        <f t="shared" si="13"/>
        <v>1</v>
      </c>
      <c r="U48" s="61" t="s">
        <v>124</v>
      </c>
      <c r="V48" s="62" t="str">
        <f t="shared" si="14"/>
        <v>a</v>
      </c>
      <c r="W48" s="62" t="str">
        <f t="shared" si="14"/>
        <v>a</v>
      </c>
      <c r="X48" s="62" t="str">
        <f t="shared" si="14"/>
        <v>a</v>
      </c>
      <c r="Y48" s="62" t="str">
        <f t="shared" si="14"/>
        <v>a</v>
      </c>
      <c r="Z48" s="62" t="str">
        <f t="shared" si="14"/>
        <v>a</v>
      </c>
      <c r="AA48" s="62" t="str">
        <f t="shared" si="14"/>
        <v>a</v>
      </c>
      <c r="AB48" s="63" t="str">
        <f t="shared" si="14"/>
        <v>a</v>
      </c>
      <c r="AC48" s="135"/>
      <c r="AD48" s="136"/>
      <c r="AE48" s="136"/>
      <c r="AF48" s="136"/>
      <c r="AG48" s="136"/>
      <c r="AH48" s="136"/>
      <c r="AI48" s="136"/>
      <c r="AJ48" s="137"/>
      <c r="AK48" s="61">
        <v>1</v>
      </c>
      <c r="AL48" s="62">
        <f t="shared" si="15"/>
        <v>1</v>
      </c>
      <c r="AM48" s="62">
        <f t="shared" si="15"/>
        <v>1</v>
      </c>
      <c r="AN48" s="62">
        <f t="shared" si="15"/>
        <v>1</v>
      </c>
      <c r="AO48" s="62">
        <f t="shared" si="15"/>
        <v>1</v>
      </c>
      <c r="AP48" s="62">
        <f t="shared" si="15"/>
        <v>1</v>
      </c>
      <c r="AQ48" s="62">
        <f t="shared" si="15"/>
        <v>1</v>
      </c>
      <c r="AR48" s="63">
        <f t="shared" si="15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2"/>
        <v>24</v>
      </c>
      <c r="BB48" s="9">
        <f t="shared" si="5"/>
        <v>338</v>
      </c>
      <c r="BC48" s="10">
        <f t="shared" si="6"/>
        <v>82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366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62">
        <f t="shared" si="16"/>
        <v>1</v>
      </c>
      <c r="J49" s="62">
        <f t="shared" si="16"/>
        <v>1</v>
      </c>
      <c r="K49" s="62">
        <f t="shared" si="16"/>
        <v>1</v>
      </c>
      <c r="L49" s="63">
        <f t="shared" si="16"/>
        <v>1</v>
      </c>
      <c r="M49" s="61">
        <v>1</v>
      </c>
      <c r="N49" s="62">
        <f t="shared" si="13"/>
        <v>1</v>
      </c>
      <c r="O49" s="62">
        <f t="shared" si="13"/>
        <v>1</v>
      </c>
      <c r="P49" s="62">
        <f t="shared" si="13"/>
        <v>1</v>
      </c>
      <c r="Q49" s="62">
        <f t="shared" si="13"/>
        <v>1</v>
      </c>
      <c r="R49" s="62">
        <f t="shared" si="13"/>
        <v>1</v>
      </c>
      <c r="S49" s="62">
        <f t="shared" si="13"/>
        <v>1</v>
      </c>
      <c r="T49" s="63">
        <f t="shared" si="13"/>
        <v>1</v>
      </c>
      <c r="U49" s="61">
        <v>1</v>
      </c>
      <c r="V49" s="62">
        <f t="shared" si="14"/>
        <v>1</v>
      </c>
      <c r="W49" s="62">
        <f t="shared" si="14"/>
        <v>1</v>
      </c>
      <c r="X49" s="62">
        <f t="shared" si="14"/>
        <v>1</v>
      </c>
      <c r="Y49" s="62">
        <f t="shared" si="14"/>
        <v>1</v>
      </c>
      <c r="Z49" s="62">
        <f t="shared" si="14"/>
        <v>1</v>
      </c>
      <c r="AA49" s="62">
        <f t="shared" si="14"/>
        <v>1</v>
      </c>
      <c r="AB49" s="63">
        <f t="shared" si="14"/>
        <v>1</v>
      </c>
      <c r="AC49" s="135"/>
      <c r="AD49" s="136"/>
      <c r="AE49" s="136"/>
      <c r="AF49" s="136"/>
      <c r="AG49" s="136"/>
      <c r="AH49" s="136"/>
      <c r="AI49" s="136"/>
      <c r="AJ49" s="137"/>
      <c r="AK49" s="61">
        <v>1</v>
      </c>
      <c r="AL49" s="62">
        <f t="shared" si="15"/>
        <v>1</v>
      </c>
      <c r="AM49" s="62">
        <f t="shared" si="15"/>
        <v>1</v>
      </c>
      <c r="AN49" s="62">
        <f t="shared" si="15"/>
        <v>1</v>
      </c>
      <c r="AO49" s="62">
        <f t="shared" si="15"/>
        <v>1</v>
      </c>
      <c r="AP49" s="62">
        <f t="shared" si="15"/>
        <v>1</v>
      </c>
      <c r="AQ49" s="62">
        <f t="shared" si="15"/>
        <v>1</v>
      </c>
      <c r="AR49" s="63">
        <f t="shared" si="15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2"/>
        <v>32</v>
      </c>
      <c r="BB49" s="9">
        <f t="shared" si="5"/>
        <v>398</v>
      </c>
      <c r="BC49" s="10">
        <f t="shared" si="6"/>
        <v>96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360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62">
        <f t="shared" si="16"/>
        <v>1</v>
      </c>
      <c r="J50" s="62">
        <f t="shared" si="16"/>
        <v>1</v>
      </c>
      <c r="K50" s="62">
        <f t="shared" si="16"/>
        <v>1</v>
      </c>
      <c r="L50" s="63">
        <f t="shared" si="16"/>
        <v>1</v>
      </c>
      <c r="M50" s="61">
        <v>1</v>
      </c>
      <c r="N50" s="62">
        <f t="shared" si="13"/>
        <v>1</v>
      </c>
      <c r="O50" s="62">
        <f t="shared" si="13"/>
        <v>1</v>
      </c>
      <c r="P50" s="62">
        <f t="shared" si="13"/>
        <v>1</v>
      </c>
      <c r="Q50" s="62">
        <f t="shared" si="13"/>
        <v>1</v>
      </c>
      <c r="R50" s="62">
        <f t="shared" si="13"/>
        <v>1</v>
      </c>
      <c r="S50" s="62">
        <f t="shared" si="13"/>
        <v>1</v>
      </c>
      <c r="T50" s="63">
        <f t="shared" si="13"/>
        <v>1</v>
      </c>
      <c r="U50" s="61">
        <v>1</v>
      </c>
      <c r="V50" s="62">
        <f t="shared" si="14"/>
        <v>1</v>
      </c>
      <c r="W50" s="62">
        <f t="shared" si="14"/>
        <v>1</v>
      </c>
      <c r="X50" s="62">
        <f t="shared" si="14"/>
        <v>1</v>
      </c>
      <c r="Y50" s="62">
        <f t="shared" si="14"/>
        <v>1</v>
      </c>
      <c r="Z50" s="62">
        <f t="shared" si="14"/>
        <v>1</v>
      </c>
      <c r="AA50" s="62">
        <f t="shared" si="14"/>
        <v>1</v>
      </c>
      <c r="AB50" s="63">
        <f t="shared" si="14"/>
        <v>1</v>
      </c>
      <c r="AC50" s="135"/>
      <c r="AD50" s="136"/>
      <c r="AE50" s="136"/>
      <c r="AF50" s="136"/>
      <c r="AG50" s="136"/>
      <c r="AH50" s="136"/>
      <c r="AI50" s="136"/>
      <c r="AJ50" s="137"/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>
        <f t="shared" si="15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2"/>
        <v>32</v>
      </c>
      <c r="BB50" s="9">
        <f t="shared" si="5"/>
        <v>392</v>
      </c>
      <c r="BC50" s="10">
        <f t="shared" si="6"/>
        <v>95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352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62">
        <f t="shared" si="16"/>
        <v>1</v>
      </c>
      <c r="J51" s="62">
        <f t="shared" si="16"/>
        <v>1</v>
      </c>
      <c r="K51" s="62">
        <f t="shared" si="16"/>
        <v>1</v>
      </c>
      <c r="L51" s="63">
        <f t="shared" si="16"/>
        <v>1</v>
      </c>
      <c r="M51" s="61">
        <v>1</v>
      </c>
      <c r="N51" s="62">
        <f t="shared" si="13"/>
        <v>1</v>
      </c>
      <c r="O51" s="62">
        <f t="shared" si="13"/>
        <v>1</v>
      </c>
      <c r="P51" s="62">
        <f t="shared" si="13"/>
        <v>1</v>
      </c>
      <c r="Q51" s="62">
        <f t="shared" si="13"/>
        <v>1</v>
      </c>
      <c r="R51" s="62">
        <f t="shared" si="13"/>
        <v>1</v>
      </c>
      <c r="S51" s="62">
        <f t="shared" si="13"/>
        <v>1</v>
      </c>
      <c r="T51" s="63">
        <f t="shared" si="13"/>
        <v>1</v>
      </c>
      <c r="U51" s="61">
        <v>1</v>
      </c>
      <c r="V51" s="62">
        <f t="shared" si="14"/>
        <v>1</v>
      </c>
      <c r="W51" s="62">
        <f t="shared" si="14"/>
        <v>1</v>
      </c>
      <c r="X51" s="62">
        <f t="shared" si="14"/>
        <v>1</v>
      </c>
      <c r="Y51" s="62">
        <f t="shared" si="14"/>
        <v>1</v>
      </c>
      <c r="Z51" s="62">
        <f t="shared" si="14"/>
        <v>1</v>
      </c>
      <c r="AA51" s="62">
        <f t="shared" si="14"/>
        <v>1</v>
      </c>
      <c r="AB51" s="63">
        <f t="shared" si="14"/>
        <v>1</v>
      </c>
      <c r="AC51" s="135"/>
      <c r="AD51" s="136"/>
      <c r="AE51" s="136"/>
      <c r="AF51" s="136"/>
      <c r="AG51" s="136"/>
      <c r="AH51" s="136"/>
      <c r="AI51" s="136"/>
      <c r="AJ51" s="137"/>
      <c r="AK51" s="61">
        <v>1</v>
      </c>
      <c r="AL51" s="62">
        <f t="shared" si="15"/>
        <v>1</v>
      </c>
      <c r="AM51" s="62">
        <f t="shared" si="15"/>
        <v>1</v>
      </c>
      <c r="AN51" s="62">
        <f t="shared" si="15"/>
        <v>1</v>
      </c>
      <c r="AO51" s="62">
        <f t="shared" si="15"/>
        <v>1</v>
      </c>
      <c r="AP51" s="62">
        <f t="shared" si="15"/>
        <v>1</v>
      </c>
      <c r="AQ51" s="62">
        <f t="shared" si="15"/>
        <v>1</v>
      </c>
      <c r="AR51" s="63">
        <f t="shared" si="15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2"/>
        <v>32</v>
      </c>
      <c r="BB51" s="9">
        <f t="shared" si="5"/>
        <v>384</v>
      </c>
      <c r="BC51" s="10">
        <f t="shared" si="6"/>
        <v>93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356</v>
      </c>
      <c r="E52" s="61">
        <v>1</v>
      </c>
      <c r="F52" s="62">
        <f t="shared" si="16"/>
        <v>1</v>
      </c>
      <c r="G52" s="62">
        <f t="shared" si="16"/>
        <v>1</v>
      </c>
      <c r="H52" s="62">
        <f t="shared" si="16"/>
        <v>1</v>
      </c>
      <c r="I52" s="62">
        <f t="shared" si="16"/>
        <v>1</v>
      </c>
      <c r="J52" s="62">
        <f t="shared" si="16"/>
        <v>1</v>
      </c>
      <c r="K52" s="62">
        <f t="shared" si="16"/>
        <v>1</v>
      </c>
      <c r="L52" s="63">
        <f t="shared" si="16"/>
        <v>1</v>
      </c>
      <c r="M52" s="61">
        <v>1</v>
      </c>
      <c r="N52" s="62">
        <f t="shared" si="13"/>
        <v>1</v>
      </c>
      <c r="O52" s="62">
        <f t="shared" si="13"/>
        <v>1</v>
      </c>
      <c r="P52" s="62">
        <f t="shared" si="13"/>
        <v>1</v>
      </c>
      <c r="Q52" s="62">
        <f t="shared" si="13"/>
        <v>1</v>
      </c>
      <c r="R52" s="62">
        <f t="shared" si="13"/>
        <v>1</v>
      </c>
      <c r="S52" s="62">
        <f t="shared" si="13"/>
        <v>1</v>
      </c>
      <c r="T52" s="63">
        <f t="shared" si="13"/>
        <v>1</v>
      </c>
      <c r="U52" s="61">
        <v>1</v>
      </c>
      <c r="V52" s="62">
        <f t="shared" si="14"/>
        <v>1</v>
      </c>
      <c r="W52" s="62">
        <f t="shared" si="14"/>
        <v>1</v>
      </c>
      <c r="X52" s="62">
        <f t="shared" si="14"/>
        <v>1</v>
      </c>
      <c r="Y52" s="62">
        <f t="shared" si="14"/>
        <v>1</v>
      </c>
      <c r="Z52" s="62">
        <f t="shared" si="14"/>
        <v>1</v>
      </c>
      <c r="AA52" s="62">
        <f t="shared" si="14"/>
        <v>1</v>
      </c>
      <c r="AB52" s="63">
        <f t="shared" si="14"/>
        <v>1</v>
      </c>
      <c r="AC52" s="135"/>
      <c r="AD52" s="136"/>
      <c r="AE52" s="136"/>
      <c r="AF52" s="136"/>
      <c r="AG52" s="136"/>
      <c r="AH52" s="136"/>
      <c r="AI52" s="136"/>
      <c r="AJ52" s="137"/>
      <c r="AK52" s="61">
        <v>1</v>
      </c>
      <c r="AL52" s="62">
        <f t="shared" si="15"/>
        <v>1</v>
      </c>
      <c r="AM52" s="62">
        <f t="shared" si="15"/>
        <v>1</v>
      </c>
      <c r="AN52" s="62">
        <f t="shared" si="15"/>
        <v>1</v>
      </c>
      <c r="AO52" s="62">
        <f t="shared" si="15"/>
        <v>1</v>
      </c>
      <c r="AP52" s="62">
        <f t="shared" si="15"/>
        <v>1</v>
      </c>
      <c r="AQ52" s="62">
        <f t="shared" si="15"/>
        <v>1</v>
      </c>
      <c r="AR52" s="63">
        <f t="shared" si="15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2"/>
        <v>32</v>
      </c>
      <c r="BB52" s="9">
        <f t="shared" si="5"/>
        <v>388</v>
      </c>
      <c r="BC52" s="10">
        <f t="shared" si="6"/>
        <v>94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334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62">
        <f t="shared" si="16"/>
        <v>1</v>
      </c>
      <c r="J53" s="62">
        <f t="shared" si="16"/>
        <v>1</v>
      </c>
      <c r="K53" s="62">
        <f t="shared" si="16"/>
        <v>1</v>
      </c>
      <c r="L53" s="63">
        <f t="shared" si="16"/>
        <v>1</v>
      </c>
      <c r="M53" s="61">
        <v>1</v>
      </c>
      <c r="N53" s="62">
        <f t="shared" si="13"/>
        <v>1</v>
      </c>
      <c r="O53" s="62">
        <f t="shared" si="13"/>
        <v>1</v>
      </c>
      <c r="P53" s="62">
        <f t="shared" si="13"/>
        <v>1</v>
      </c>
      <c r="Q53" s="62">
        <f t="shared" si="13"/>
        <v>1</v>
      </c>
      <c r="R53" s="62">
        <f t="shared" si="13"/>
        <v>1</v>
      </c>
      <c r="S53" s="62">
        <f t="shared" si="13"/>
        <v>1</v>
      </c>
      <c r="T53" s="63">
        <f t="shared" si="13"/>
        <v>1</v>
      </c>
      <c r="U53" s="61">
        <v>1</v>
      </c>
      <c r="V53" s="62">
        <f t="shared" si="14"/>
        <v>1</v>
      </c>
      <c r="W53" s="62">
        <f t="shared" si="14"/>
        <v>1</v>
      </c>
      <c r="X53" s="62">
        <f t="shared" si="14"/>
        <v>1</v>
      </c>
      <c r="Y53" s="62">
        <f t="shared" si="14"/>
        <v>1</v>
      </c>
      <c r="Z53" s="62">
        <f t="shared" si="14"/>
        <v>1</v>
      </c>
      <c r="AA53" s="62">
        <f t="shared" si="14"/>
        <v>1</v>
      </c>
      <c r="AB53" s="63">
        <f t="shared" si="14"/>
        <v>1</v>
      </c>
      <c r="AC53" s="135"/>
      <c r="AD53" s="136"/>
      <c r="AE53" s="136"/>
      <c r="AF53" s="136"/>
      <c r="AG53" s="136"/>
      <c r="AH53" s="136"/>
      <c r="AI53" s="136"/>
      <c r="AJ53" s="137"/>
      <c r="AK53" s="61">
        <v>1</v>
      </c>
      <c r="AL53" s="62">
        <f t="shared" si="15"/>
        <v>1</v>
      </c>
      <c r="AM53" s="62">
        <f t="shared" si="15"/>
        <v>1</v>
      </c>
      <c r="AN53" s="62">
        <f t="shared" si="15"/>
        <v>1</v>
      </c>
      <c r="AO53" s="62">
        <f t="shared" si="15"/>
        <v>1</v>
      </c>
      <c r="AP53" s="62">
        <f t="shared" si="15"/>
        <v>1</v>
      </c>
      <c r="AQ53" s="62">
        <f t="shared" si="15"/>
        <v>1</v>
      </c>
      <c r="AR53" s="63">
        <f t="shared" si="15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2"/>
        <v>32</v>
      </c>
      <c r="BB53" s="9">
        <f t="shared" si="5"/>
        <v>366</v>
      </c>
      <c r="BC53" s="10">
        <f t="shared" si="6"/>
        <v>88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336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62">
        <f t="shared" si="16"/>
        <v>1</v>
      </c>
      <c r="J54" s="62">
        <f t="shared" si="16"/>
        <v>1</v>
      </c>
      <c r="K54" s="62">
        <f t="shared" si="16"/>
        <v>1</v>
      </c>
      <c r="L54" s="63">
        <f t="shared" si="16"/>
        <v>1</v>
      </c>
      <c r="M54" s="61">
        <v>1</v>
      </c>
      <c r="N54" s="62">
        <f t="shared" si="13"/>
        <v>1</v>
      </c>
      <c r="O54" s="62">
        <f t="shared" si="13"/>
        <v>1</v>
      </c>
      <c r="P54" s="62">
        <f t="shared" si="13"/>
        <v>1</v>
      </c>
      <c r="Q54" s="62">
        <f t="shared" si="13"/>
        <v>1</v>
      </c>
      <c r="R54" s="62">
        <f t="shared" si="13"/>
        <v>1</v>
      </c>
      <c r="S54" s="62">
        <f t="shared" si="13"/>
        <v>1</v>
      </c>
      <c r="T54" s="63">
        <f t="shared" si="13"/>
        <v>1</v>
      </c>
      <c r="U54" s="61">
        <v>1</v>
      </c>
      <c r="V54" s="62">
        <f t="shared" si="14"/>
        <v>1</v>
      </c>
      <c r="W54" s="62">
        <f t="shared" si="14"/>
        <v>1</v>
      </c>
      <c r="X54" s="62">
        <f t="shared" si="14"/>
        <v>1</v>
      </c>
      <c r="Y54" s="62">
        <f t="shared" si="14"/>
        <v>1</v>
      </c>
      <c r="Z54" s="62">
        <f t="shared" si="14"/>
        <v>1</v>
      </c>
      <c r="AA54" s="62">
        <f t="shared" si="14"/>
        <v>1</v>
      </c>
      <c r="AB54" s="63">
        <f t="shared" si="14"/>
        <v>1</v>
      </c>
      <c r="AC54" s="135"/>
      <c r="AD54" s="136"/>
      <c r="AE54" s="136"/>
      <c r="AF54" s="136"/>
      <c r="AG54" s="136"/>
      <c r="AH54" s="136"/>
      <c r="AI54" s="136"/>
      <c r="AJ54" s="137"/>
      <c r="AK54" s="61">
        <v>1</v>
      </c>
      <c r="AL54" s="62">
        <f t="shared" si="15"/>
        <v>1</v>
      </c>
      <c r="AM54" s="62">
        <f t="shared" si="15"/>
        <v>1</v>
      </c>
      <c r="AN54" s="62">
        <f t="shared" si="15"/>
        <v>1</v>
      </c>
      <c r="AO54" s="62">
        <f t="shared" si="15"/>
        <v>1</v>
      </c>
      <c r="AP54" s="62">
        <f t="shared" si="15"/>
        <v>1</v>
      </c>
      <c r="AQ54" s="62">
        <f t="shared" si="15"/>
        <v>1</v>
      </c>
      <c r="AR54" s="63">
        <f t="shared" si="15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2"/>
        <v>32</v>
      </c>
      <c r="BB54" s="9">
        <f t="shared" si="5"/>
        <v>368</v>
      </c>
      <c r="BC54" s="10">
        <f t="shared" si="6"/>
        <v>89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318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62">
        <f t="shared" si="16"/>
        <v>1</v>
      </c>
      <c r="J55" s="62">
        <f t="shared" si="16"/>
        <v>1</v>
      </c>
      <c r="K55" s="62">
        <f t="shared" si="16"/>
        <v>1</v>
      </c>
      <c r="L55" s="63">
        <f t="shared" si="16"/>
        <v>1</v>
      </c>
      <c r="M55" s="61">
        <v>1</v>
      </c>
      <c r="N55" s="62">
        <f t="shared" si="13"/>
        <v>1</v>
      </c>
      <c r="O55" s="62">
        <f t="shared" si="13"/>
        <v>1</v>
      </c>
      <c r="P55" s="62">
        <f t="shared" si="13"/>
        <v>1</v>
      </c>
      <c r="Q55" s="62">
        <f t="shared" si="13"/>
        <v>1</v>
      </c>
      <c r="R55" s="62">
        <f t="shared" si="13"/>
        <v>1</v>
      </c>
      <c r="S55" s="62">
        <f t="shared" si="13"/>
        <v>1</v>
      </c>
      <c r="T55" s="63">
        <f t="shared" si="13"/>
        <v>1</v>
      </c>
      <c r="U55" s="61">
        <v>1</v>
      </c>
      <c r="V55" s="62">
        <f t="shared" si="14"/>
        <v>1</v>
      </c>
      <c r="W55" s="62">
        <f t="shared" si="14"/>
        <v>1</v>
      </c>
      <c r="X55" s="62">
        <f t="shared" si="14"/>
        <v>1</v>
      </c>
      <c r="Y55" s="62">
        <f t="shared" si="14"/>
        <v>1</v>
      </c>
      <c r="Z55" s="62">
        <f t="shared" si="14"/>
        <v>1</v>
      </c>
      <c r="AA55" s="62">
        <f t="shared" si="14"/>
        <v>1</v>
      </c>
      <c r="AB55" s="63">
        <f t="shared" si="14"/>
        <v>1</v>
      </c>
      <c r="AC55" s="135"/>
      <c r="AD55" s="136"/>
      <c r="AE55" s="136"/>
      <c r="AF55" s="136"/>
      <c r="AG55" s="136"/>
      <c r="AH55" s="136"/>
      <c r="AI55" s="136"/>
      <c r="AJ55" s="137"/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>
        <f t="shared" si="15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2"/>
        <v>32</v>
      </c>
      <c r="BB55" s="9">
        <f t="shared" si="5"/>
        <v>350</v>
      </c>
      <c r="BC55" s="10">
        <f t="shared" si="6"/>
        <v>85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350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62">
        <f t="shared" si="16"/>
        <v>1</v>
      </c>
      <c r="J56" s="62">
        <f t="shared" si="16"/>
        <v>1</v>
      </c>
      <c r="K56" s="62">
        <f t="shared" si="16"/>
        <v>1</v>
      </c>
      <c r="L56" s="63">
        <f t="shared" si="16"/>
        <v>1</v>
      </c>
      <c r="M56" s="61">
        <v>1</v>
      </c>
      <c r="N56" s="62">
        <f t="shared" si="13"/>
        <v>1</v>
      </c>
      <c r="O56" s="62">
        <f t="shared" si="13"/>
        <v>1</v>
      </c>
      <c r="P56" s="62">
        <f t="shared" si="13"/>
        <v>1</v>
      </c>
      <c r="Q56" s="62">
        <f t="shared" si="13"/>
        <v>1</v>
      </c>
      <c r="R56" s="62">
        <f t="shared" si="13"/>
        <v>1</v>
      </c>
      <c r="S56" s="62">
        <f t="shared" si="13"/>
        <v>1</v>
      </c>
      <c r="T56" s="63">
        <f t="shared" si="13"/>
        <v>1</v>
      </c>
      <c r="U56" s="61">
        <v>1</v>
      </c>
      <c r="V56" s="62">
        <f t="shared" si="14"/>
        <v>1</v>
      </c>
      <c r="W56" s="62">
        <f t="shared" si="14"/>
        <v>1</v>
      </c>
      <c r="X56" s="62">
        <f t="shared" si="14"/>
        <v>1</v>
      </c>
      <c r="Y56" s="62">
        <f t="shared" si="14"/>
        <v>1</v>
      </c>
      <c r="Z56" s="62">
        <f t="shared" si="14"/>
        <v>1</v>
      </c>
      <c r="AA56" s="62">
        <f t="shared" si="14"/>
        <v>1</v>
      </c>
      <c r="AB56" s="63">
        <f t="shared" si="14"/>
        <v>1</v>
      </c>
      <c r="AC56" s="135"/>
      <c r="AD56" s="136"/>
      <c r="AE56" s="136"/>
      <c r="AF56" s="136"/>
      <c r="AG56" s="136"/>
      <c r="AH56" s="136"/>
      <c r="AI56" s="136"/>
      <c r="AJ56" s="137"/>
      <c r="AK56" s="61">
        <v>1</v>
      </c>
      <c r="AL56" s="62">
        <f t="shared" si="15"/>
        <v>1</v>
      </c>
      <c r="AM56" s="62">
        <f t="shared" si="15"/>
        <v>1</v>
      </c>
      <c r="AN56" s="62">
        <f t="shared" si="15"/>
        <v>1</v>
      </c>
      <c r="AO56" s="62">
        <f t="shared" si="15"/>
        <v>1</v>
      </c>
      <c r="AP56" s="62">
        <f t="shared" si="15"/>
        <v>1</v>
      </c>
      <c r="AQ56" s="62">
        <f t="shared" si="15"/>
        <v>1</v>
      </c>
      <c r="AR56" s="63">
        <f t="shared" si="15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2"/>
        <v>32</v>
      </c>
      <c r="BB56" s="9">
        <f t="shared" si="5"/>
        <v>382</v>
      </c>
      <c r="BC56" s="10">
        <f t="shared" si="6"/>
        <v>92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334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62">
        <f t="shared" si="16"/>
        <v>1</v>
      </c>
      <c r="J57" s="62">
        <f t="shared" si="16"/>
        <v>1</v>
      </c>
      <c r="K57" s="62">
        <f t="shared" si="16"/>
        <v>1</v>
      </c>
      <c r="L57" s="63">
        <f t="shared" si="16"/>
        <v>1</v>
      </c>
      <c r="M57" s="61">
        <v>1</v>
      </c>
      <c r="N57" s="62">
        <f t="shared" si="13"/>
        <v>1</v>
      </c>
      <c r="O57" s="62">
        <f t="shared" si="13"/>
        <v>1</v>
      </c>
      <c r="P57" s="62">
        <f t="shared" si="13"/>
        <v>1</v>
      </c>
      <c r="Q57" s="62">
        <f t="shared" si="13"/>
        <v>1</v>
      </c>
      <c r="R57" s="62">
        <f t="shared" si="13"/>
        <v>1</v>
      </c>
      <c r="S57" s="62">
        <f t="shared" si="13"/>
        <v>1</v>
      </c>
      <c r="T57" s="63">
        <f t="shared" si="13"/>
        <v>1</v>
      </c>
      <c r="U57" s="61">
        <v>1</v>
      </c>
      <c r="V57" s="62">
        <f t="shared" si="14"/>
        <v>1</v>
      </c>
      <c r="W57" s="62">
        <f t="shared" si="14"/>
        <v>1</v>
      </c>
      <c r="X57" s="62">
        <f t="shared" si="14"/>
        <v>1</v>
      </c>
      <c r="Y57" s="62">
        <f t="shared" si="14"/>
        <v>1</v>
      </c>
      <c r="Z57" s="62">
        <f t="shared" si="14"/>
        <v>1</v>
      </c>
      <c r="AA57" s="62">
        <f t="shared" si="14"/>
        <v>1</v>
      </c>
      <c r="AB57" s="63">
        <f t="shared" si="14"/>
        <v>1</v>
      </c>
      <c r="AC57" s="135"/>
      <c r="AD57" s="136"/>
      <c r="AE57" s="136"/>
      <c r="AF57" s="136"/>
      <c r="AG57" s="136"/>
      <c r="AH57" s="136"/>
      <c r="AI57" s="136"/>
      <c r="AJ57" s="137"/>
      <c r="AK57" s="61" t="s">
        <v>124</v>
      </c>
      <c r="AL57" s="62" t="str">
        <f t="shared" si="15"/>
        <v>a</v>
      </c>
      <c r="AM57" s="62" t="str">
        <f t="shared" si="15"/>
        <v>a</v>
      </c>
      <c r="AN57" s="62" t="str">
        <f t="shared" si="15"/>
        <v>a</v>
      </c>
      <c r="AO57" s="62" t="str">
        <f t="shared" si="15"/>
        <v>a</v>
      </c>
      <c r="AP57" s="62" t="str">
        <f t="shared" si="15"/>
        <v>a</v>
      </c>
      <c r="AQ57" s="62" t="str">
        <f t="shared" si="15"/>
        <v>a</v>
      </c>
      <c r="AR57" s="63" t="str">
        <f t="shared" si="15"/>
        <v>a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2"/>
        <v>24</v>
      </c>
      <c r="BB57" s="9">
        <f t="shared" si="5"/>
        <v>358</v>
      </c>
      <c r="BC57" s="10">
        <f t="shared" si="6"/>
        <v>86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366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62">
        <f t="shared" si="16"/>
        <v>1</v>
      </c>
      <c r="J58" s="62">
        <f t="shared" si="16"/>
        <v>1</v>
      </c>
      <c r="K58" s="62">
        <f t="shared" si="16"/>
        <v>1</v>
      </c>
      <c r="L58" s="63">
        <f t="shared" si="16"/>
        <v>1</v>
      </c>
      <c r="M58" s="61">
        <v>1</v>
      </c>
      <c r="N58" s="62">
        <f t="shared" ref="N58:T73" si="17">M58</f>
        <v>1</v>
      </c>
      <c r="O58" s="62">
        <f t="shared" si="17"/>
        <v>1</v>
      </c>
      <c r="P58" s="62">
        <f t="shared" si="17"/>
        <v>1</v>
      </c>
      <c r="Q58" s="62">
        <f t="shared" si="17"/>
        <v>1</v>
      </c>
      <c r="R58" s="62">
        <f t="shared" si="17"/>
        <v>1</v>
      </c>
      <c r="S58" s="62">
        <f t="shared" si="17"/>
        <v>1</v>
      </c>
      <c r="T58" s="63">
        <f t="shared" si="17"/>
        <v>1</v>
      </c>
      <c r="U58" s="61">
        <v>1</v>
      </c>
      <c r="V58" s="62">
        <f t="shared" ref="V58:AB73" si="18">U58</f>
        <v>1</v>
      </c>
      <c r="W58" s="62">
        <f t="shared" si="18"/>
        <v>1</v>
      </c>
      <c r="X58" s="62">
        <f t="shared" si="18"/>
        <v>1</v>
      </c>
      <c r="Y58" s="62">
        <f t="shared" si="18"/>
        <v>1</v>
      </c>
      <c r="Z58" s="62">
        <f t="shared" si="18"/>
        <v>1</v>
      </c>
      <c r="AA58" s="62">
        <f t="shared" si="18"/>
        <v>1</v>
      </c>
      <c r="AB58" s="63">
        <f t="shared" si="18"/>
        <v>1</v>
      </c>
      <c r="AC58" s="135"/>
      <c r="AD58" s="136"/>
      <c r="AE58" s="136"/>
      <c r="AF58" s="136"/>
      <c r="AG58" s="136"/>
      <c r="AH58" s="136"/>
      <c r="AI58" s="136"/>
      <c r="AJ58" s="137"/>
      <c r="AK58" s="61">
        <v>1</v>
      </c>
      <c r="AL58" s="62">
        <f t="shared" ref="AL58:AR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>
        <f t="shared" si="19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2"/>
        <v>32</v>
      </c>
      <c r="BB58" s="9">
        <f t="shared" si="5"/>
        <v>398</v>
      </c>
      <c r="BC58" s="10">
        <f t="shared" si="6"/>
        <v>96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366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62">
        <f t="shared" si="16"/>
        <v>1</v>
      </c>
      <c r="J59" s="62">
        <f t="shared" si="16"/>
        <v>1</v>
      </c>
      <c r="K59" s="62">
        <f t="shared" si="16"/>
        <v>1</v>
      </c>
      <c r="L59" s="63">
        <f t="shared" si="16"/>
        <v>1</v>
      </c>
      <c r="M59" s="61">
        <v>1</v>
      </c>
      <c r="N59" s="62">
        <f t="shared" si="17"/>
        <v>1</v>
      </c>
      <c r="O59" s="62">
        <f t="shared" si="17"/>
        <v>1</v>
      </c>
      <c r="P59" s="62">
        <f t="shared" si="17"/>
        <v>1</v>
      </c>
      <c r="Q59" s="62">
        <f t="shared" si="17"/>
        <v>1</v>
      </c>
      <c r="R59" s="62">
        <f t="shared" si="17"/>
        <v>1</v>
      </c>
      <c r="S59" s="62">
        <f t="shared" si="17"/>
        <v>1</v>
      </c>
      <c r="T59" s="63">
        <f t="shared" si="17"/>
        <v>1</v>
      </c>
      <c r="U59" s="61">
        <v>1</v>
      </c>
      <c r="V59" s="62">
        <f t="shared" si="18"/>
        <v>1</v>
      </c>
      <c r="W59" s="62">
        <f t="shared" si="18"/>
        <v>1</v>
      </c>
      <c r="X59" s="62">
        <f t="shared" si="18"/>
        <v>1</v>
      </c>
      <c r="Y59" s="62">
        <f t="shared" si="18"/>
        <v>1</v>
      </c>
      <c r="Z59" s="62">
        <f t="shared" si="18"/>
        <v>1</v>
      </c>
      <c r="AA59" s="62">
        <f t="shared" si="18"/>
        <v>1</v>
      </c>
      <c r="AB59" s="63">
        <f t="shared" si="18"/>
        <v>1</v>
      </c>
      <c r="AC59" s="135"/>
      <c r="AD59" s="136"/>
      <c r="AE59" s="136"/>
      <c r="AF59" s="136"/>
      <c r="AG59" s="136"/>
      <c r="AH59" s="136"/>
      <c r="AI59" s="136"/>
      <c r="AJ59" s="137"/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>
        <f t="shared" si="19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2"/>
        <v>32</v>
      </c>
      <c r="BB59" s="9">
        <f t="shared" si="5"/>
        <v>398</v>
      </c>
      <c r="BC59" s="10">
        <f t="shared" si="6"/>
        <v>96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278</v>
      </c>
      <c r="E60" s="61">
        <v>1</v>
      </c>
      <c r="F60" s="62">
        <f t="shared" ref="F60:L73" si="20">E60</f>
        <v>1</v>
      </c>
      <c r="G60" s="62">
        <f t="shared" si="20"/>
        <v>1</v>
      </c>
      <c r="H60" s="62">
        <f t="shared" si="20"/>
        <v>1</v>
      </c>
      <c r="I60" s="62">
        <f t="shared" si="20"/>
        <v>1</v>
      </c>
      <c r="J60" s="62">
        <f t="shared" si="20"/>
        <v>1</v>
      </c>
      <c r="K60" s="62">
        <f t="shared" si="20"/>
        <v>1</v>
      </c>
      <c r="L60" s="63">
        <f t="shared" si="20"/>
        <v>1</v>
      </c>
      <c r="M60" s="61">
        <v>1</v>
      </c>
      <c r="N60" s="62">
        <f t="shared" si="17"/>
        <v>1</v>
      </c>
      <c r="O60" s="62">
        <f t="shared" si="17"/>
        <v>1</v>
      </c>
      <c r="P60" s="62">
        <f t="shared" si="17"/>
        <v>1</v>
      </c>
      <c r="Q60" s="62">
        <f t="shared" si="17"/>
        <v>1</v>
      </c>
      <c r="R60" s="62">
        <f t="shared" si="17"/>
        <v>1</v>
      </c>
      <c r="S60" s="62">
        <f t="shared" si="17"/>
        <v>1</v>
      </c>
      <c r="T60" s="63">
        <f t="shared" si="17"/>
        <v>1</v>
      </c>
      <c r="U60" s="61">
        <v>1</v>
      </c>
      <c r="V60" s="62">
        <f t="shared" si="18"/>
        <v>1</v>
      </c>
      <c r="W60" s="62">
        <f t="shared" si="18"/>
        <v>1</v>
      </c>
      <c r="X60" s="62">
        <f t="shared" si="18"/>
        <v>1</v>
      </c>
      <c r="Y60" s="62">
        <f t="shared" si="18"/>
        <v>1</v>
      </c>
      <c r="Z60" s="62">
        <f t="shared" si="18"/>
        <v>1</v>
      </c>
      <c r="AA60" s="62">
        <f t="shared" si="18"/>
        <v>1</v>
      </c>
      <c r="AB60" s="63">
        <f t="shared" si="18"/>
        <v>1</v>
      </c>
      <c r="AC60" s="135"/>
      <c r="AD60" s="136"/>
      <c r="AE60" s="136"/>
      <c r="AF60" s="136"/>
      <c r="AG60" s="136"/>
      <c r="AH60" s="136"/>
      <c r="AI60" s="136"/>
      <c r="AJ60" s="137"/>
      <c r="AK60" s="61">
        <v>1</v>
      </c>
      <c r="AL60" s="62">
        <f t="shared" si="19"/>
        <v>1</v>
      </c>
      <c r="AM60" s="62">
        <f t="shared" si="19"/>
        <v>1</v>
      </c>
      <c r="AN60" s="62">
        <f t="shared" si="19"/>
        <v>1</v>
      </c>
      <c r="AO60" s="62">
        <f t="shared" si="19"/>
        <v>1</v>
      </c>
      <c r="AP60" s="62">
        <f t="shared" si="19"/>
        <v>1</v>
      </c>
      <c r="AQ60" s="62">
        <f t="shared" si="19"/>
        <v>1</v>
      </c>
      <c r="AR60" s="63">
        <f t="shared" si="19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2"/>
        <v>32</v>
      </c>
      <c r="BB60" s="9">
        <f t="shared" si="5"/>
        <v>310</v>
      </c>
      <c r="BC60" s="10">
        <f t="shared" si="6"/>
        <v>75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358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62">
        <f t="shared" si="20"/>
        <v>1</v>
      </c>
      <c r="J61" s="62">
        <f t="shared" si="20"/>
        <v>1</v>
      </c>
      <c r="K61" s="62">
        <f t="shared" si="20"/>
        <v>1</v>
      </c>
      <c r="L61" s="63">
        <f t="shared" si="20"/>
        <v>1</v>
      </c>
      <c r="M61" s="61">
        <v>1</v>
      </c>
      <c r="N61" s="62">
        <f t="shared" si="17"/>
        <v>1</v>
      </c>
      <c r="O61" s="62">
        <f t="shared" si="17"/>
        <v>1</v>
      </c>
      <c r="P61" s="62">
        <f t="shared" si="17"/>
        <v>1</v>
      </c>
      <c r="Q61" s="62">
        <f t="shared" si="17"/>
        <v>1</v>
      </c>
      <c r="R61" s="62">
        <f t="shared" si="17"/>
        <v>1</v>
      </c>
      <c r="S61" s="62">
        <f t="shared" si="17"/>
        <v>1</v>
      </c>
      <c r="T61" s="63">
        <f t="shared" si="17"/>
        <v>1</v>
      </c>
      <c r="U61" s="61">
        <v>1</v>
      </c>
      <c r="V61" s="62">
        <f t="shared" si="18"/>
        <v>1</v>
      </c>
      <c r="W61" s="62">
        <f t="shared" si="18"/>
        <v>1</v>
      </c>
      <c r="X61" s="62">
        <f t="shared" si="18"/>
        <v>1</v>
      </c>
      <c r="Y61" s="62">
        <f t="shared" si="18"/>
        <v>1</v>
      </c>
      <c r="Z61" s="62">
        <f t="shared" si="18"/>
        <v>1</v>
      </c>
      <c r="AA61" s="62">
        <f t="shared" si="18"/>
        <v>1</v>
      </c>
      <c r="AB61" s="63">
        <f t="shared" si="18"/>
        <v>1</v>
      </c>
      <c r="AC61" s="135"/>
      <c r="AD61" s="136"/>
      <c r="AE61" s="136"/>
      <c r="AF61" s="136"/>
      <c r="AG61" s="136"/>
      <c r="AH61" s="136"/>
      <c r="AI61" s="136"/>
      <c r="AJ61" s="137"/>
      <c r="AK61" s="61">
        <v>1</v>
      </c>
      <c r="AL61" s="62">
        <f t="shared" si="19"/>
        <v>1</v>
      </c>
      <c r="AM61" s="62">
        <f t="shared" si="19"/>
        <v>1</v>
      </c>
      <c r="AN61" s="62">
        <f t="shared" si="19"/>
        <v>1</v>
      </c>
      <c r="AO61" s="62">
        <f t="shared" si="19"/>
        <v>1</v>
      </c>
      <c r="AP61" s="62">
        <f t="shared" si="19"/>
        <v>1</v>
      </c>
      <c r="AQ61" s="62">
        <f t="shared" si="19"/>
        <v>1</v>
      </c>
      <c r="AR61" s="63">
        <f t="shared" si="19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2"/>
        <v>32</v>
      </c>
      <c r="BB61" s="9">
        <f t="shared" si="5"/>
        <v>390</v>
      </c>
      <c r="BC61" s="10">
        <f t="shared" si="6"/>
        <v>94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284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62">
        <f t="shared" si="20"/>
        <v>1</v>
      </c>
      <c r="J62" s="62">
        <f t="shared" si="20"/>
        <v>1</v>
      </c>
      <c r="K62" s="62">
        <f t="shared" si="20"/>
        <v>1</v>
      </c>
      <c r="L62" s="63">
        <f t="shared" si="20"/>
        <v>1</v>
      </c>
      <c r="M62" s="61">
        <v>1</v>
      </c>
      <c r="N62" s="62">
        <f t="shared" si="17"/>
        <v>1</v>
      </c>
      <c r="O62" s="62">
        <f t="shared" si="17"/>
        <v>1</v>
      </c>
      <c r="P62" s="62">
        <f t="shared" si="17"/>
        <v>1</v>
      </c>
      <c r="Q62" s="62">
        <f t="shared" si="17"/>
        <v>1</v>
      </c>
      <c r="R62" s="62">
        <f t="shared" si="17"/>
        <v>1</v>
      </c>
      <c r="S62" s="62">
        <f t="shared" si="17"/>
        <v>1</v>
      </c>
      <c r="T62" s="63">
        <f t="shared" si="17"/>
        <v>1</v>
      </c>
      <c r="U62" s="61" t="s">
        <v>124</v>
      </c>
      <c r="V62" s="62" t="str">
        <f t="shared" si="18"/>
        <v>a</v>
      </c>
      <c r="W62" s="62" t="str">
        <f t="shared" si="18"/>
        <v>a</v>
      </c>
      <c r="X62" s="62" t="str">
        <f t="shared" si="18"/>
        <v>a</v>
      </c>
      <c r="Y62" s="62" t="str">
        <f t="shared" si="18"/>
        <v>a</v>
      </c>
      <c r="Z62" s="62" t="str">
        <f t="shared" si="18"/>
        <v>a</v>
      </c>
      <c r="AA62" s="62" t="str">
        <f t="shared" si="18"/>
        <v>a</v>
      </c>
      <c r="AB62" s="63" t="str">
        <f t="shared" si="18"/>
        <v>a</v>
      </c>
      <c r="AC62" s="135"/>
      <c r="AD62" s="136"/>
      <c r="AE62" s="136"/>
      <c r="AF62" s="136"/>
      <c r="AG62" s="136"/>
      <c r="AH62" s="136"/>
      <c r="AI62" s="136"/>
      <c r="AJ62" s="137"/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>
        <f t="shared" si="19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2"/>
        <v>24</v>
      </c>
      <c r="BB62" s="9">
        <f t="shared" si="5"/>
        <v>308</v>
      </c>
      <c r="BC62" s="10">
        <f t="shared" si="6"/>
        <v>74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303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62">
        <f t="shared" si="20"/>
        <v>1</v>
      </c>
      <c r="J63" s="62">
        <f t="shared" si="20"/>
        <v>1</v>
      </c>
      <c r="K63" s="62">
        <f t="shared" si="20"/>
        <v>1</v>
      </c>
      <c r="L63" s="63">
        <f t="shared" si="20"/>
        <v>1</v>
      </c>
      <c r="M63" s="61">
        <v>1</v>
      </c>
      <c r="N63" s="62">
        <f t="shared" si="17"/>
        <v>1</v>
      </c>
      <c r="O63" s="62">
        <f t="shared" si="17"/>
        <v>1</v>
      </c>
      <c r="P63" s="62">
        <f t="shared" si="17"/>
        <v>1</v>
      </c>
      <c r="Q63" s="62">
        <f t="shared" si="17"/>
        <v>1</v>
      </c>
      <c r="R63" s="62">
        <f t="shared" si="17"/>
        <v>1</v>
      </c>
      <c r="S63" s="62">
        <f t="shared" si="17"/>
        <v>1</v>
      </c>
      <c r="T63" s="63">
        <f t="shared" si="17"/>
        <v>1</v>
      </c>
      <c r="U63" s="61">
        <v>1</v>
      </c>
      <c r="V63" s="62">
        <f t="shared" si="18"/>
        <v>1</v>
      </c>
      <c r="W63" s="62">
        <f t="shared" si="18"/>
        <v>1</v>
      </c>
      <c r="X63" s="62">
        <f t="shared" si="18"/>
        <v>1</v>
      </c>
      <c r="Y63" s="62">
        <f t="shared" si="18"/>
        <v>1</v>
      </c>
      <c r="Z63" s="62">
        <f t="shared" si="18"/>
        <v>1</v>
      </c>
      <c r="AA63" s="62">
        <f t="shared" si="18"/>
        <v>1</v>
      </c>
      <c r="AB63" s="63">
        <f t="shared" si="18"/>
        <v>1</v>
      </c>
      <c r="AC63" s="135"/>
      <c r="AD63" s="136"/>
      <c r="AE63" s="136"/>
      <c r="AF63" s="136"/>
      <c r="AG63" s="136"/>
      <c r="AH63" s="136"/>
      <c r="AI63" s="136"/>
      <c r="AJ63" s="137"/>
      <c r="AK63" s="61" t="s">
        <v>124</v>
      </c>
      <c r="AL63" s="62" t="str">
        <f t="shared" si="19"/>
        <v>a</v>
      </c>
      <c r="AM63" s="62" t="str">
        <f t="shared" si="19"/>
        <v>a</v>
      </c>
      <c r="AN63" s="62" t="str">
        <f t="shared" si="19"/>
        <v>a</v>
      </c>
      <c r="AO63" s="62" t="str">
        <f t="shared" si="19"/>
        <v>a</v>
      </c>
      <c r="AP63" s="62" t="str">
        <f t="shared" si="19"/>
        <v>a</v>
      </c>
      <c r="AQ63" s="62" t="str">
        <f t="shared" si="19"/>
        <v>a</v>
      </c>
      <c r="AR63" s="63" t="str">
        <f t="shared" si="19"/>
        <v>a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2"/>
        <v>24</v>
      </c>
      <c r="BB63" s="9">
        <f t="shared" si="5"/>
        <v>327</v>
      </c>
      <c r="BC63" s="10">
        <f t="shared" si="6"/>
        <v>79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336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62">
        <f t="shared" si="20"/>
        <v>1</v>
      </c>
      <c r="J64" s="62">
        <f t="shared" si="20"/>
        <v>1</v>
      </c>
      <c r="K64" s="62">
        <f t="shared" si="20"/>
        <v>1</v>
      </c>
      <c r="L64" s="63">
        <f t="shared" si="20"/>
        <v>1</v>
      </c>
      <c r="M64" s="61">
        <v>1</v>
      </c>
      <c r="N64" s="62">
        <f t="shared" si="17"/>
        <v>1</v>
      </c>
      <c r="O64" s="62">
        <f t="shared" si="17"/>
        <v>1</v>
      </c>
      <c r="P64" s="62">
        <f t="shared" si="17"/>
        <v>1</v>
      </c>
      <c r="Q64" s="62">
        <f t="shared" si="17"/>
        <v>1</v>
      </c>
      <c r="R64" s="62">
        <f t="shared" si="17"/>
        <v>1</v>
      </c>
      <c r="S64" s="62">
        <f t="shared" si="17"/>
        <v>1</v>
      </c>
      <c r="T64" s="63">
        <f t="shared" si="17"/>
        <v>1</v>
      </c>
      <c r="U64" s="61">
        <v>1</v>
      </c>
      <c r="V64" s="62">
        <f t="shared" si="18"/>
        <v>1</v>
      </c>
      <c r="W64" s="62">
        <f t="shared" si="18"/>
        <v>1</v>
      </c>
      <c r="X64" s="62">
        <f t="shared" si="18"/>
        <v>1</v>
      </c>
      <c r="Y64" s="62">
        <f t="shared" si="18"/>
        <v>1</v>
      </c>
      <c r="Z64" s="62">
        <f t="shared" si="18"/>
        <v>1</v>
      </c>
      <c r="AA64" s="62">
        <f t="shared" si="18"/>
        <v>1</v>
      </c>
      <c r="AB64" s="63">
        <f t="shared" si="18"/>
        <v>1</v>
      </c>
      <c r="AC64" s="135"/>
      <c r="AD64" s="136"/>
      <c r="AE64" s="136"/>
      <c r="AF64" s="136"/>
      <c r="AG64" s="136"/>
      <c r="AH64" s="136"/>
      <c r="AI64" s="136"/>
      <c r="AJ64" s="137"/>
      <c r="AK64" s="61" t="s">
        <v>124</v>
      </c>
      <c r="AL64" s="62" t="str">
        <f t="shared" si="19"/>
        <v>a</v>
      </c>
      <c r="AM64" s="62" t="str">
        <f t="shared" si="19"/>
        <v>a</v>
      </c>
      <c r="AN64" s="62" t="str">
        <f t="shared" si="19"/>
        <v>a</v>
      </c>
      <c r="AO64" s="62" t="str">
        <f t="shared" si="19"/>
        <v>a</v>
      </c>
      <c r="AP64" s="62" t="str">
        <f t="shared" si="19"/>
        <v>a</v>
      </c>
      <c r="AQ64" s="62" t="str">
        <f t="shared" si="19"/>
        <v>a</v>
      </c>
      <c r="AR64" s="63" t="str">
        <f t="shared" si="19"/>
        <v>a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2"/>
        <v>24</v>
      </c>
      <c r="BB64" s="9">
        <f t="shared" si="5"/>
        <v>360</v>
      </c>
      <c r="BC64" s="10">
        <f t="shared" si="6"/>
        <v>87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316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62">
        <f t="shared" si="20"/>
        <v>1</v>
      </c>
      <c r="J65" s="62">
        <f t="shared" si="20"/>
        <v>1</v>
      </c>
      <c r="K65" s="62">
        <f t="shared" si="20"/>
        <v>1</v>
      </c>
      <c r="L65" s="63">
        <f t="shared" si="20"/>
        <v>1</v>
      </c>
      <c r="M65" s="61">
        <v>1</v>
      </c>
      <c r="N65" s="62">
        <f t="shared" si="17"/>
        <v>1</v>
      </c>
      <c r="O65" s="62">
        <f t="shared" si="17"/>
        <v>1</v>
      </c>
      <c r="P65" s="62">
        <f t="shared" si="17"/>
        <v>1</v>
      </c>
      <c r="Q65" s="62">
        <f t="shared" si="17"/>
        <v>1</v>
      </c>
      <c r="R65" s="62">
        <f t="shared" si="17"/>
        <v>1</v>
      </c>
      <c r="S65" s="62">
        <f t="shared" si="17"/>
        <v>1</v>
      </c>
      <c r="T65" s="63">
        <f t="shared" si="17"/>
        <v>1</v>
      </c>
      <c r="U65" s="61">
        <v>1</v>
      </c>
      <c r="V65" s="62">
        <f t="shared" si="18"/>
        <v>1</v>
      </c>
      <c r="W65" s="62">
        <f t="shared" si="18"/>
        <v>1</v>
      </c>
      <c r="X65" s="62">
        <f t="shared" si="18"/>
        <v>1</v>
      </c>
      <c r="Y65" s="62">
        <f t="shared" si="18"/>
        <v>1</v>
      </c>
      <c r="Z65" s="62">
        <f t="shared" si="18"/>
        <v>1</v>
      </c>
      <c r="AA65" s="62">
        <f t="shared" si="18"/>
        <v>1</v>
      </c>
      <c r="AB65" s="63">
        <f t="shared" si="18"/>
        <v>1</v>
      </c>
      <c r="AC65" s="135"/>
      <c r="AD65" s="136"/>
      <c r="AE65" s="136"/>
      <c r="AF65" s="136"/>
      <c r="AG65" s="136"/>
      <c r="AH65" s="136"/>
      <c r="AI65" s="136"/>
      <c r="AJ65" s="137"/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>
        <f t="shared" si="19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2"/>
        <v>32</v>
      </c>
      <c r="BB65" s="9">
        <f t="shared" si="5"/>
        <v>348</v>
      </c>
      <c r="BC65" s="10">
        <f t="shared" si="6"/>
        <v>84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366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62">
        <f t="shared" si="20"/>
        <v>1</v>
      </c>
      <c r="J66" s="62">
        <f t="shared" si="20"/>
        <v>1</v>
      </c>
      <c r="K66" s="62">
        <f t="shared" si="20"/>
        <v>1</v>
      </c>
      <c r="L66" s="63">
        <f t="shared" si="20"/>
        <v>1</v>
      </c>
      <c r="M66" s="61">
        <v>1</v>
      </c>
      <c r="N66" s="62">
        <f t="shared" si="17"/>
        <v>1</v>
      </c>
      <c r="O66" s="62">
        <f t="shared" si="17"/>
        <v>1</v>
      </c>
      <c r="P66" s="62">
        <f t="shared" si="17"/>
        <v>1</v>
      </c>
      <c r="Q66" s="62">
        <f t="shared" si="17"/>
        <v>1</v>
      </c>
      <c r="R66" s="62">
        <f t="shared" si="17"/>
        <v>1</v>
      </c>
      <c r="S66" s="62">
        <f t="shared" si="17"/>
        <v>1</v>
      </c>
      <c r="T66" s="63">
        <f t="shared" si="17"/>
        <v>1</v>
      </c>
      <c r="U66" s="61">
        <v>1</v>
      </c>
      <c r="V66" s="62">
        <f t="shared" si="18"/>
        <v>1</v>
      </c>
      <c r="W66" s="62">
        <f t="shared" si="18"/>
        <v>1</v>
      </c>
      <c r="X66" s="62">
        <f t="shared" si="18"/>
        <v>1</v>
      </c>
      <c r="Y66" s="62">
        <f t="shared" si="18"/>
        <v>1</v>
      </c>
      <c r="Z66" s="62">
        <f t="shared" si="18"/>
        <v>1</v>
      </c>
      <c r="AA66" s="62">
        <f t="shared" si="18"/>
        <v>1</v>
      </c>
      <c r="AB66" s="63">
        <f t="shared" si="18"/>
        <v>1</v>
      </c>
      <c r="AC66" s="135"/>
      <c r="AD66" s="136"/>
      <c r="AE66" s="136"/>
      <c r="AF66" s="136"/>
      <c r="AG66" s="136"/>
      <c r="AH66" s="136"/>
      <c r="AI66" s="136"/>
      <c r="AJ66" s="137"/>
      <c r="AK66" s="61">
        <v>1</v>
      </c>
      <c r="AL66" s="62">
        <f t="shared" si="19"/>
        <v>1</v>
      </c>
      <c r="AM66" s="62">
        <f t="shared" si="19"/>
        <v>1</v>
      </c>
      <c r="AN66" s="62">
        <f t="shared" si="19"/>
        <v>1</v>
      </c>
      <c r="AO66" s="62">
        <f t="shared" si="19"/>
        <v>1</v>
      </c>
      <c r="AP66" s="62">
        <f t="shared" si="19"/>
        <v>1</v>
      </c>
      <c r="AQ66" s="62">
        <f t="shared" si="19"/>
        <v>1</v>
      </c>
      <c r="AR66" s="63">
        <f t="shared" si="19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2"/>
        <v>32</v>
      </c>
      <c r="BB66" s="9">
        <f t="shared" si="5"/>
        <v>398</v>
      </c>
      <c r="BC66" s="10">
        <f t="shared" si="6"/>
        <v>96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326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62">
        <f t="shared" si="20"/>
        <v>1</v>
      </c>
      <c r="J67" s="62">
        <f t="shared" si="20"/>
        <v>1</v>
      </c>
      <c r="K67" s="62">
        <f t="shared" si="20"/>
        <v>1</v>
      </c>
      <c r="L67" s="63">
        <f t="shared" si="20"/>
        <v>1</v>
      </c>
      <c r="M67" s="61">
        <v>1</v>
      </c>
      <c r="N67" s="62">
        <f t="shared" si="17"/>
        <v>1</v>
      </c>
      <c r="O67" s="62">
        <f t="shared" si="17"/>
        <v>1</v>
      </c>
      <c r="P67" s="62">
        <f t="shared" si="17"/>
        <v>1</v>
      </c>
      <c r="Q67" s="62">
        <f t="shared" si="17"/>
        <v>1</v>
      </c>
      <c r="R67" s="62">
        <f t="shared" si="17"/>
        <v>1</v>
      </c>
      <c r="S67" s="62">
        <f t="shared" si="17"/>
        <v>1</v>
      </c>
      <c r="T67" s="63">
        <f t="shared" si="17"/>
        <v>1</v>
      </c>
      <c r="U67" s="61">
        <v>1</v>
      </c>
      <c r="V67" s="62">
        <f t="shared" si="18"/>
        <v>1</v>
      </c>
      <c r="W67" s="62">
        <f t="shared" si="18"/>
        <v>1</v>
      </c>
      <c r="X67" s="62">
        <f t="shared" si="18"/>
        <v>1</v>
      </c>
      <c r="Y67" s="62">
        <f t="shared" si="18"/>
        <v>1</v>
      </c>
      <c r="Z67" s="62">
        <f t="shared" si="18"/>
        <v>1</v>
      </c>
      <c r="AA67" s="62">
        <f t="shared" si="18"/>
        <v>1</v>
      </c>
      <c r="AB67" s="63">
        <f t="shared" si="18"/>
        <v>1</v>
      </c>
      <c r="AC67" s="135"/>
      <c r="AD67" s="136"/>
      <c r="AE67" s="136"/>
      <c r="AF67" s="136"/>
      <c r="AG67" s="136"/>
      <c r="AH67" s="136"/>
      <c r="AI67" s="136"/>
      <c r="AJ67" s="137"/>
      <c r="AK67" s="61">
        <v>1</v>
      </c>
      <c r="AL67" s="62">
        <f t="shared" si="19"/>
        <v>1</v>
      </c>
      <c r="AM67" s="62">
        <f t="shared" si="19"/>
        <v>1</v>
      </c>
      <c r="AN67" s="62">
        <f t="shared" si="19"/>
        <v>1</v>
      </c>
      <c r="AO67" s="62">
        <f t="shared" si="19"/>
        <v>1</v>
      </c>
      <c r="AP67" s="62">
        <f t="shared" si="19"/>
        <v>1</v>
      </c>
      <c r="AQ67" s="62">
        <f t="shared" si="19"/>
        <v>1</v>
      </c>
      <c r="AR67" s="63">
        <f t="shared" si="19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2"/>
        <v>32</v>
      </c>
      <c r="BB67" s="9">
        <f t="shared" si="5"/>
        <v>358</v>
      </c>
      <c r="BC67" s="10">
        <f t="shared" si="6"/>
        <v>86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338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62">
        <f t="shared" si="20"/>
        <v>1</v>
      </c>
      <c r="J68" s="62">
        <f t="shared" si="20"/>
        <v>1</v>
      </c>
      <c r="K68" s="62">
        <f t="shared" si="20"/>
        <v>1</v>
      </c>
      <c r="L68" s="63">
        <f t="shared" si="20"/>
        <v>1</v>
      </c>
      <c r="M68" s="61">
        <v>1</v>
      </c>
      <c r="N68" s="62">
        <f t="shared" si="17"/>
        <v>1</v>
      </c>
      <c r="O68" s="62">
        <f t="shared" si="17"/>
        <v>1</v>
      </c>
      <c r="P68" s="62">
        <f t="shared" si="17"/>
        <v>1</v>
      </c>
      <c r="Q68" s="62">
        <f t="shared" si="17"/>
        <v>1</v>
      </c>
      <c r="R68" s="62">
        <f t="shared" si="17"/>
        <v>1</v>
      </c>
      <c r="S68" s="62">
        <f t="shared" si="17"/>
        <v>1</v>
      </c>
      <c r="T68" s="63">
        <f t="shared" si="17"/>
        <v>1</v>
      </c>
      <c r="U68" s="61">
        <v>1</v>
      </c>
      <c r="V68" s="62">
        <f t="shared" si="18"/>
        <v>1</v>
      </c>
      <c r="W68" s="62">
        <f t="shared" si="18"/>
        <v>1</v>
      </c>
      <c r="X68" s="62">
        <f t="shared" si="18"/>
        <v>1</v>
      </c>
      <c r="Y68" s="62">
        <f t="shared" si="18"/>
        <v>1</v>
      </c>
      <c r="Z68" s="62">
        <f t="shared" si="18"/>
        <v>1</v>
      </c>
      <c r="AA68" s="62">
        <f t="shared" si="18"/>
        <v>1</v>
      </c>
      <c r="AB68" s="63">
        <f t="shared" si="18"/>
        <v>1</v>
      </c>
      <c r="AC68" s="135"/>
      <c r="AD68" s="136"/>
      <c r="AE68" s="136"/>
      <c r="AF68" s="136"/>
      <c r="AG68" s="136"/>
      <c r="AH68" s="136"/>
      <c r="AI68" s="136"/>
      <c r="AJ68" s="137"/>
      <c r="AK68" s="61">
        <v>1</v>
      </c>
      <c r="AL68" s="62">
        <f t="shared" si="19"/>
        <v>1</v>
      </c>
      <c r="AM68" s="62">
        <f t="shared" si="19"/>
        <v>1</v>
      </c>
      <c r="AN68" s="62">
        <f t="shared" si="19"/>
        <v>1</v>
      </c>
      <c r="AO68" s="62">
        <f t="shared" si="19"/>
        <v>1</v>
      </c>
      <c r="AP68" s="62">
        <f t="shared" si="19"/>
        <v>1</v>
      </c>
      <c r="AQ68" s="62">
        <f t="shared" si="19"/>
        <v>1</v>
      </c>
      <c r="AR68" s="63">
        <f t="shared" si="19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2"/>
        <v>32</v>
      </c>
      <c r="BB68" s="9">
        <f t="shared" si="5"/>
        <v>370</v>
      </c>
      <c r="BC68" s="10">
        <f t="shared" si="6"/>
        <v>89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371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62">
        <f t="shared" si="20"/>
        <v>1</v>
      </c>
      <c r="J69" s="62">
        <f t="shared" si="20"/>
        <v>1</v>
      </c>
      <c r="K69" s="62">
        <f t="shared" si="20"/>
        <v>1</v>
      </c>
      <c r="L69" s="63">
        <f t="shared" si="20"/>
        <v>1</v>
      </c>
      <c r="M69" s="61">
        <v>1</v>
      </c>
      <c r="N69" s="62">
        <f t="shared" si="17"/>
        <v>1</v>
      </c>
      <c r="O69" s="62">
        <f t="shared" si="17"/>
        <v>1</v>
      </c>
      <c r="P69" s="62">
        <f t="shared" si="17"/>
        <v>1</v>
      </c>
      <c r="Q69" s="62">
        <f t="shared" si="17"/>
        <v>1</v>
      </c>
      <c r="R69" s="62">
        <f t="shared" si="17"/>
        <v>1</v>
      </c>
      <c r="S69" s="62">
        <f t="shared" si="17"/>
        <v>1</v>
      </c>
      <c r="T69" s="63">
        <f t="shared" si="17"/>
        <v>1</v>
      </c>
      <c r="U69" s="61">
        <v>1</v>
      </c>
      <c r="V69" s="62">
        <f t="shared" si="18"/>
        <v>1</v>
      </c>
      <c r="W69" s="62">
        <f t="shared" si="18"/>
        <v>1</v>
      </c>
      <c r="X69" s="62">
        <f t="shared" si="18"/>
        <v>1</v>
      </c>
      <c r="Y69" s="62">
        <f t="shared" si="18"/>
        <v>1</v>
      </c>
      <c r="Z69" s="62">
        <f t="shared" si="18"/>
        <v>1</v>
      </c>
      <c r="AA69" s="62">
        <f t="shared" si="18"/>
        <v>1</v>
      </c>
      <c r="AB69" s="63">
        <f t="shared" si="18"/>
        <v>1</v>
      </c>
      <c r="AC69" s="135"/>
      <c r="AD69" s="136"/>
      <c r="AE69" s="136"/>
      <c r="AF69" s="136"/>
      <c r="AG69" s="136"/>
      <c r="AH69" s="136"/>
      <c r="AI69" s="136"/>
      <c r="AJ69" s="137"/>
      <c r="AK69" s="61">
        <v>1</v>
      </c>
      <c r="AL69" s="62">
        <f t="shared" si="19"/>
        <v>1</v>
      </c>
      <c r="AM69" s="62">
        <f t="shared" si="19"/>
        <v>1</v>
      </c>
      <c r="AN69" s="62">
        <f t="shared" si="19"/>
        <v>1</v>
      </c>
      <c r="AO69" s="62">
        <f t="shared" si="19"/>
        <v>1</v>
      </c>
      <c r="AP69" s="62">
        <f t="shared" si="19"/>
        <v>1</v>
      </c>
      <c r="AQ69" s="62">
        <f t="shared" si="19"/>
        <v>1</v>
      </c>
      <c r="AR69" s="63">
        <f t="shared" si="19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2"/>
        <v>32</v>
      </c>
      <c r="BB69" s="9">
        <f t="shared" si="5"/>
        <v>403</v>
      </c>
      <c r="BC69" s="10">
        <f t="shared" si="6"/>
        <v>97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290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62">
        <f t="shared" si="20"/>
        <v>1</v>
      </c>
      <c r="J70" s="62">
        <f t="shared" si="20"/>
        <v>1</v>
      </c>
      <c r="K70" s="62">
        <f t="shared" si="20"/>
        <v>1</v>
      </c>
      <c r="L70" s="63">
        <f t="shared" si="20"/>
        <v>1</v>
      </c>
      <c r="M70" s="61">
        <v>1</v>
      </c>
      <c r="N70" s="62">
        <f t="shared" si="17"/>
        <v>1</v>
      </c>
      <c r="O70" s="62">
        <f t="shared" si="17"/>
        <v>1</v>
      </c>
      <c r="P70" s="62">
        <f t="shared" si="17"/>
        <v>1</v>
      </c>
      <c r="Q70" s="62">
        <f t="shared" si="17"/>
        <v>1</v>
      </c>
      <c r="R70" s="62">
        <f t="shared" si="17"/>
        <v>1</v>
      </c>
      <c r="S70" s="62">
        <f t="shared" si="17"/>
        <v>1</v>
      </c>
      <c r="T70" s="63">
        <f t="shared" si="17"/>
        <v>1</v>
      </c>
      <c r="U70" s="61" t="s">
        <v>124</v>
      </c>
      <c r="V70" s="62" t="str">
        <f t="shared" si="18"/>
        <v>a</v>
      </c>
      <c r="W70" s="62" t="str">
        <f t="shared" si="18"/>
        <v>a</v>
      </c>
      <c r="X70" s="62" t="str">
        <f t="shared" si="18"/>
        <v>a</v>
      </c>
      <c r="Y70" s="62" t="str">
        <f t="shared" si="18"/>
        <v>a</v>
      </c>
      <c r="Z70" s="62" t="str">
        <f t="shared" si="18"/>
        <v>a</v>
      </c>
      <c r="AA70" s="62" t="str">
        <f t="shared" si="18"/>
        <v>a</v>
      </c>
      <c r="AB70" s="63" t="str">
        <f t="shared" si="18"/>
        <v>a</v>
      </c>
      <c r="AC70" s="135"/>
      <c r="AD70" s="136"/>
      <c r="AE70" s="136"/>
      <c r="AF70" s="136"/>
      <c r="AG70" s="136"/>
      <c r="AH70" s="136"/>
      <c r="AI70" s="136"/>
      <c r="AJ70" s="137"/>
      <c r="AK70" s="61">
        <v>1</v>
      </c>
      <c r="AL70" s="62">
        <f t="shared" si="19"/>
        <v>1</v>
      </c>
      <c r="AM70" s="62">
        <f t="shared" si="19"/>
        <v>1</v>
      </c>
      <c r="AN70" s="62">
        <f t="shared" si="19"/>
        <v>1</v>
      </c>
      <c r="AO70" s="62">
        <f t="shared" si="19"/>
        <v>1</v>
      </c>
      <c r="AP70" s="62">
        <f t="shared" si="19"/>
        <v>1</v>
      </c>
      <c r="AQ70" s="62">
        <f t="shared" si="19"/>
        <v>1</v>
      </c>
      <c r="AR70" s="63">
        <f t="shared" si="19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2"/>
        <v>24</v>
      </c>
      <c r="BB70" s="9">
        <f t="shared" si="5"/>
        <v>314</v>
      </c>
      <c r="BC70" s="10">
        <f t="shared" si="6"/>
        <v>76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334</v>
      </c>
      <c r="E71" s="61">
        <v>1</v>
      </c>
      <c r="F71" s="62">
        <f t="shared" si="20"/>
        <v>1</v>
      </c>
      <c r="G71" s="62">
        <f t="shared" si="20"/>
        <v>1</v>
      </c>
      <c r="H71" s="62">
        <f t="shared" si="20"/>
        <v>1</v>
      </c>
      <c r="I71" s="62">
        <f t="shared" si="20"/>
        <v>1</v>
      </c>
      <c r="J71" s="62">
        <f t="shared" si="20"/>
        <v>1</v>
      </c>
      <c r="K71" s="62">
        <f t="shared" si="20"/>
        <v>1</v>
      </c>
      <c r="L71" s="63">
        <f t="shared" si="20"/>
        <v>1</v>
      </c>
      <c r="M71" s="61" t="s">
        <v>124</v>
      </c>
      <c r="N71" s="62" t="str">
        <f t="shared" si="17"/>
        <v>a</v>
      </c>
      <c r="O71" s="62" t="str">
        <f t="shared" si="17"/>
        <v>a</v>
      </c>
      <c r="P71" s="62" t="str">
        <f t="shared" si="17"/>
        <v>a</v>
      </c>
      <c r="Q71" s="62" t="str">
        <f t="shared" si="17"/>
        <v>a</v>
      </c>
      <c r="R71" s="62" t="str">
        <f t="shared" si="17"/>
        <v>a</v>
      </c>
      <c r="S71" s="62" t="str">
        <f t="shared" si="17"/>
        <v>a</v>
      </c>
      <c r="T71" s="63" t="str">
        <f t="shared" si="17"/>
        <v>a</v>
      </c>
      <c r="U71" s="61">
        <v>1</v>
      </c>
      <c r="V71" s="62">
        <f t="shared" si="18"/>
        <v>1</v>
      </c>
      <c r="W71" s="62">
        <f t="shared" si="18"/>
        <v>1</v>
      </c>
      <c r="X71" s="62">
        <f t="shared" si="18"/>
        <v>1</v>
      </c>
      <c r="Y71" s="62">
        <f t="shared" si="18"/>
        <v>1</v>
      </c>
      <c r="Z71" s="62">
        <f t="shared" si="18"/>
        <v>1</v>
      </c>
      <c r="AA71" s="62">
        <f t="shared" si="18"/>
        <v>1</v>
      </c>
      <c r="AB71" s="63">
        <f t="shared" si="18"/>
        <v>1</v>
      </c>
      <c r="AC71" s="135"/>
      <c r="AD71" s="136"/>
      <c r="AE71" s="136"/>
      <c r="AF71" s="136"/>
      <c r="AG71" s="136"/>
      <c r="AH71" s="136"/>
      <c r="AI71" s="136"/>
      <c r="AJ71" s="137"/>
      <c r="AK71" s="61">
        <v>1</v>
      </c>
      <c r="AL71" s="62">
        <f t="shared" si="19"/>
        <v>1</v>
      </c>
      <c r="AM71" s="62">
        <f t="shared" si="19"/>
        <v>1</v>
      </c>
      <c r="AN71" s="62">
        <f t="shared" si="19"/>
        <v>1</v>
      </c>
      <c r="AO71" s="62">
        <f t="shared" si="19"/>
        <v>1</v>
      </c>
      <c r="AP71" s="62">
        <f t="shared" si="19"/>
        <v>1</v>
      </c>
      <c r="AQ71" s="62">
        <f t="shared" si="19"/>
        <v>1</v>
      </c>
      <c r="AR71" s="63">
        <f t="shared" si="19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2"/>
        <v>24</v>
      </c>
      <c r="BB71" s="9">
        <f t="shared" si="5"/>
        <v>358</v>
      </c>
      <c r="BC71" s="10">
        <f t="shared" si="6"/>
        <v>86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304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62">
        <f t="shared" si="20"/>
        <v>1</v>
      </c>
      <c r="J72" s="62">
        <f t="shared" si="20"/>
        <v>1</v>
      </c>
      <c r="K72" s="62">
        <f t="shared" si="20"/>
        <v>1</v>
      </c>
      <c r="L72" s="63">
        <f t="shared" si="20"/>
        <v>1</v>
      </c>
      <c r="M72" s="61" t="s">
        <v>124</v>
      </c>
      <c r="N72" s="62" t="str">
        <f t="shared" si="17"/>
        <v>a</v>
      </c>
      <c r="O72" s="62" t="str">
        <f t="shared" si="17"/>
        <v>a</v>
      </c>
      <c r="P72" s="62" t="str">
        <f t="shared" si="17"/>
        <v>a</v>
      </c>
      <c r="Q72" s="62" t="str">
        <f t="shared" si="17"/>
        <v>a</v>
      </c>
      <c r="R72" s="62" t="str">
        <f t="shared" si="17"/>
        <v>a</v>
      </c>
      <c r="S72" s="62" t="str">
        <f t="shared" si="17"/>
        <v>a</v>
      </c>
      <c r="T72" s="63" t="str">
        <f t="shared" si="17"/>
        <v>a</v>
      </c>
      <c r="U72" s="61">
        <v>1</v>
      </c>
      <c r="V72" s="62">
        <f t="shared" si="18"/>
        <v>1</v>
      </c>
      <c r="W72" s="62">
        <f t="shared" si="18"/>
        <v>1</v>
      </c>
      <c r="X72" s="62">
        <f t="shared" si="18"/>
        <v>1</v>
      </c>
      <c r="Y72" s="62">
        <f t="shared" si="18"/>
        <v>1</v>
      </c>
      <c r="Z72" s="62">
        <f t="shared" si="18"/>
        <v>1</v>
      </c>
      <c r="AA72" s="62">
        <f t="shared" si="18"/>
        <v>1</v>
      </c>
      <c r="AB72" s="63" t="s">
        <v>83</v>
      </c>
      <c r="AC72" s="135"/>
      <c r="AD72" s="136"/>
      <c r="AE72" s="136"/>
      <c r="AF72" s="136"/>
      <c r="AG72" s="136"/>
      <c r="AH72" s="136"/>
      <c r="AI72" s="136"/>
      <c r="AJ72" s="137"/>
      <c r="AK72" s="61">
        <v>1</v>
      </c>
      <c r="AL72" s="62">
        <f t="shared" si="19"/>
        <v>1</v>
      </c>
      <c r="AM72" s="62">
        <f t="shared" si="19"/>
        <v>1</v>
      </c>
      <c r="AN72" s="62">
        <f t="shared" si="19"/>
        <v>1</v>
      </c>
      <c r="AO72" s="62">
        <f t="shared" si="19"/>
        <v>1</v>
      </c>
      <c r="AP72" s="62">
        <f t="shared" si="19"/>
        <v>1</v>
      </c>
      <c r="AQ72" s="62">
        <f t="shared" si="19"/>
        <v>1</v>
      </c>
      <c r="AR72" s="63">
        <f t="shared" si="19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2"/>
        <v>23</v>
      </c>
      <c r="BB72" s="9">
        <f t="shared" si="5"/>
        <v>327</v>
      </c>
      <c r="BC72" s="10">
        <f t="shared" si="6"/>
        <v>79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362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62">
        <f t="shared" si="20"/>
        <v>1</v>
      </c>
      <c r="J73" s="62">
        <f t="shared" si="20"/>
        <v>1</v>
      </c>
      <c r="K73" s="62">
        <f t="shared" si="20"/>
        <v>1</v>
      </c>
      <c r="L73" s="63">
        <f t="shared" si="20"/>
        <v>1</v>
      </c>
      <c r="M73" s="61">
        <v>1</v>
      </c>
      <c r="N73" s="62">
        <f t="shared" si="17"/>
        <v>1</v>
      </c>
      <c r="O73" s="62">
        <f t="shared" si="17"/>
        <v>1</v>
      </c>
      <c r="P73" s="62">
        <f t="shared" si="17"/>
        <v>1</v>
      </c>
      <c r="Q73" s="62">
        <f t="shared" si="17"/>
        <v>1</v>
      </c>
      <c r="R73" s="62">
        <f t="shared" si="17"/>
        <v>1</v>
      </c>
      <c r="S73" s="62">
        <f t="shared" si="17"/>
        <v>1</v>
      </c>
      <c r="T73" s="63">
        <f t="shared" si="17"/>
        <v>1</v>
      </c>
      <c r="U73" s="61">
        <v>1</v>
      </c>
      <c r="V73" s="62">
        <f t="shared" si="18"/>
        <v>1</v>
      </c>
      <c r="W73" s="62">
        <f t="shared" si="18"/>
        <v>1</v>
      </c>
      <c r="X73" s="62">
        <f t="shared" si="18"/>
        <v>1</v>
      </c>
      <c r="Y73" s="62">
        <f t="shared" si="18"/>
        <v>1</v>
      </c>
      <c r="Z73" s="62">
        <f t="shared" si="18"/>
        <v>1</v>
      </c>
      <c r="AA73" s="62">
        <f t="shared" si="18"/>
        <v>1</v>
      </c>
      <c r="AB73" s="63">
        <f t="shared" si="18"/>
        <v>1</v>
      </c>
      <c r="AC73" s="138"/>
      <c r="AD73" s="139"/>
      <c r="AE73" s="139"/>
      <c r="AF73" s="139"/>
      <c r="AG73" s="139"/>
      <c r="AH73" s="139"/>
      <c r="AI73" s="139"/>
      <c r="AJ73" s="140"/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>
        <f t="shared" si="19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2"/>
        <v>32</v>
      </c>
      <c r="BB73" s="9">
        <f t="shared" si="5"/>
        <v>394</v>
      </c>
      <c r="BC73" s="10">
        <f t="shared" si="6"/>
        <v>95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1</v>
      </c>
      <c r="F74" s="50">
        <f t="shared" ref="F74:AR74" si="21">COUNTIF(F10:F73,"a")</f>
        <v>1</v>
      </c>
      <c r="G74" s="50">
        <f t="shared" si="21"/>
        <v>1</v>
      </c>
      <c r="H74" s="50">
        <f t="shared" si="21"/>
        <v>1</v>
      </c>
      <c r="I74" s="50">
        <f t="shared" si="21"/>
        <v>1</v>
      </c>
      <c r="J74" s="50">
        <f t="shared" si="21"/>
        <v>1</v>
      </c>
      <c r="K74" s="50">
        <f t="shared" si="21"/>
        <v>1</v>
      </c>
      <c r="L74" s="50">
        <f t="shared" si="21"/>
        <v>1</v>
      </c>
      <c r="M74" s="50">
        <f t="shared" si="21"/>
        <v>5</v>
      </c>
      <c r="N74" s="50">
        <f t="shared" si="21"/>
        <v>5</v>
      </c>
      <c r="O74" s="50">
        <f t="shared" si="21"/>
        <v>5</v>
      </c>
      <c r="P74" s="50">
        <f t="shared" si="21"/>
        <v>5</v>
      </c>
      <c r="Q74" s="50">
        <f t="shared" si="21"/>
        <v>5</v>
      </c>
      <c r="R74" s="50">
        <f t="shared" si="21"/>
        <v>5</v>
      </c>
      <c r="S74" s="50">
        <f t="shared" si="21"/>
        <v>5</v>
      </c>
      <c r="T74" s="50">
        <f t="shared" si="21"/>
        <v>5</v>
      </c>
      <c r="U74" s="50">
        <f t="shared" si="21"/>
        <v>10</v>
      </c>
      <c r="V74" s="50">
        <f t="shared" si="21"/>
        <v>10</v>
      </c>
      <c r="W74" s="50">
        <f t="shared" si="21"/>
        <v>10</v>
      </c>
      <c r="X74" s="50">
        <f t="shared" si="21"/>
        <v>10</v>
      </c>
      <c r="Y74" s="50">
        <f t="shared" si="21"/>
        <v>10</v>
      </c>
      <c r="Z74" s="50">
        <f t="shared" si="21"/>
        <v>10</v>
      </c>
      <c r="AA74" s="50">
        <f t="shared" si="21"/>
        <v>10</v>
      </c>
      <c r="AB74" s="50">
        <f t="shared" si="21"/>
        <v>10</v>
      </c>
      <c r="AC74" s="50"/>
      <c r="AD74" s="50"/>
      <c r="AE74" s="50"/>
      <c r="AF74" s="50"/>
      <c r="AG74" s="50"/>
      <c r="AH74" s="50"/>
      <c r="AI74" s="50"/>
      <c r="AJ74" s="50"/>
      <c r="AK74" s="50">
        <f t="shared" si="21"/>
        <v>6</v>
      </c>
      <c r="AL74" s="50">
        <f t="shared" si="21"/>
        <v>6</v>
      </c>
      <c r="AM74" s="50">
        <f t="shared" si="21"/>
        <v>6</v>
      </c>
      <c r="AN74" s="50">
        <f t="shared" si="21"/>
        <v>6</v>
      </c>
      <c r="AO74" s="50">
        <f t="shared" si="21"/>
        <v>6</v>
      </c>
      <c r="AP74" s="50">
        <f t="shared" si="21"/>
        <v>6</v>
      </c>
      <c r="AQ74" s="50">
        <f t="shared" si="21"/>
        <v>6</v>
      </c>
      <c r="AR74" s="50">
        <f t="shared" si="21"/>
        <v>6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">
        <v>85</v>
      </c>
      <c r="F75" s="102" t="str">
        <f t="shared" ref="F75:AB75" si="22">F9</f>
        <v>PA</v>
      </c>
      <c r="G75" s="102" t="str">
        <f t="shared" si="22"/>
        <v>BB</v>
      </c>
      <c r="H75" s="102" t="str">
        <f t="shared" si="22"/>
        <v>VP</v>
      </c>
      <c r="I75" s="204" t="s">
        <v>98</v>
      </c>
      <c r="J75" s="205"/>
      <c r="K75" s="205"/>
      <c r="L75" s="206"/>
      <c r="M75" s="102" t="s">
        <v>95</v>
      </c>
      <c r="N75" s="102" t="str">
        <f t="shared" si="22"/>
        <v>NPK</v>
      </c>
      <c r="O75" s="102" t="str">
        <f t="shared" si="22"/>
        <v>PA</v>
      </c>
      <c r="P75" s="102" t="str">
        <f t="shared" si="22"/>
        <v>VP</v>
      </c>
      <c r="Q75" s="102" t="str">
        <f t="shared" si="22"/>
        <v>NS</v>
      </c>
      <c r="R75" s="160" t="s">
        <v>107</v>
      </c>
      <c r="S75" s="130"/>
      <c r="T75" s="161"/>
      <c r="U75" s="102" t="s">
        <v>83</v>
      </c>
      <c r="V75" s="129" t="s">
        <v>108</v>
      </c>
      <c r="W75" s="130"/>
      <c r="X75" s="131"/>
      <c r="Y75" s="102" t="str">
        <f t="shared" si="22"/>
        <v>PA</v>
      </c>
      <c r="Z75" s="102" t="str">
        <f t="shared" si="22"/>
        <v>SG</v>
      </c>
      <c r="AA75" s="102" t="str">
        <f t="shared" si="22"/>
        <v>NS</v>
      </c>
      <c r="AB75" s="102" t="str">
        <f t="shared" si="22"/>
        <v>VP</v>
      </c>
      <c r="AC75" s="102"/>
      <c r="AD75" s="102"/>
      <c r="AE75" s="102"/>
      <c r="AF75" s="102"/>
      <c r="AG75" s="102"/>
      <c r="AH75" s="102"/>
      <c r="AI75" s="102"/>
      <c r="AJ75" s="102"/>
      <c r="AK75" s="57" t="s">
        <v>92</v>
      </c>
      <c r="AL75" s="198" t="s">
        <v>83</v>
      </c>
      <c r="AM75" s="199"/>
      <c r="AN75" s="237"/>
      <c r="AO75" s="56" t="s">
        <v>83</v>
      </c>
      <c r="AP75" s="56" t="s">
        <v>100</v>
      </c>
      <c r="AQ75" s="56" t="s">
        <v>92</v>
      </c>
      <c r="AR75" s="56" t="s">
        <v>95</v>
      </c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0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BA8:BA9"/>
    <mergeCell ref="BB8:BB9"/>
    <mergeCell ref="I9:L9"/>
    <mergeCell ref="R9:T9"/>
    <mergeCell ref="V8:X8"/>
    <mergeCell ref="V9:X9"/>
    <mergeCell ref="AL8:AN8"/>
    <mergeCell ref="AL9:AN9"/>
    <mergeCell ref="A79:I79"/>
    <mergeCell ref="A80:H80"/>
    <mergeCell ref="AR80:BC80"/>
    <mergeCell ref="AS10:AZ42"/>
    <mergeCell ref="AS43:AZ73"/>
    <mergeCell ref="AC10:AJ42"/>
    <mergeCell ref="AC43:AJ73"/>
    <mergeCell ref="AL75:AN75"/>
    <mergeCell ref="I75:L75"/>
    <mergeCell ref="R75:T75"/>
    <mergeCell ref="V75:X75"/>
    <mergeCell ref="A74:D74"/>
    <mergeCell ref="A76:D76"/>
  </mergeCells>
  <conditionalFormatting sqref="BC1:BC73">
    <cfRule type="cellIs" dxfId="20" priority="1" operator="lessThan">
      <formula>75</formula>
    </cfRule>
  </conditionalFormatting>
  <conditionalFormatting sqref="BC10:BC73">
    <cfRule type="cellIs" dxfId="19" priority="3" operator="lessThan">
      <formula>75</formula>
    </cfRule>
  </conditionalFormatting>
  <conditionalFormatting sqref="BC80">
    <cfRule type="cellIs" dxfId="18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r:id="rId1"/>
  <rowBreaks count="1" manualBreakCount="1">
    <brk id="42" max="5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A6BB-FB8D-449D-B975-79DBBFE52073}">
  <dimension ref="A1:BC80"/>
  <sheetViews>
    <sheetView view="pageBreakPreview" topLeftCell="B1" zoomScale="85" zoomScaleNormal="70" zoomScaleSheetLayoutView="85" workbookViewId="0">
      <selection activeCell="BB5" sqref="BB5:BB7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236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237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228</v>
      </c>
      <c r="F5" s="177"/>
      <c r="G5" s="177"/>
      <c r="H5" s="177"/>
      <c r="I5" s="177"/>
      <c r="J5" s="177"/>
      <c r="K5" s="177"/>
      <c r="L5" s="177"/>
      <c r="M5" s="177" t="s">
        <v>229</v>
      </c>
      <c r="N5" s="177"/>
      <c r="O5" s="177"/>
      <c r="P5" s="177"/>
      <c r="Q5" s="177"/>
      <c r="R5" s="177"/>
      <c r="S5" s="177"/>
      <c r="T5" s="177"/>
      <c r="U5" s="177" t="s">
        <v>230</v>
      </c>
      <c r="V5" s="177"/>
      <c r="W5" s="177"/>
      <c r="X5" s="177"/>
      <c r="Y5" s="177"/>
      <c r="Z5" s="177"/>
      <c r="AA5" s="177"/>
      <c r="AB5" s="177"/>
      <c r="AC5" s="177" t="s">
        <v>231</v>
      </c>
      <c r="AD5" s="177"/>
      <c r="AE5" s="177"/>
      <c r="AF5" s="177"/>
      <c r="AG5" s="177"/>
      <c r="AH5" s="177"/>
      <c r="AI5" s="177"/>
      <c r="AJ5" s="177"/>
      <c r="AK5" s="177" t="s">
        <v>232</v>
      </c>
      <c r="AL5" s="177"/>
      <c r="AM5" s="177"/>
      <c r="AN5" s="177"/>
      <c r="AO5" s="177"/>
      <c r="AP5" s="177"/>
      <c r="AQ5" s="177"/>
      <c r="AR5" s="177"/>
      <c r="AS5" s="177" t="s">
        <v>233</v>
      </c>
      <c r="AT5" s="177"/>
      <c r="AU5" s="177"/>
      <c r="AV5" s="177"/>
      <c r="AW5" s="177"/>
      <c r="AX5" s="177"/>
      <c r="AY5" s="177"/>
      <c r="AZ5" s="177"/>
      <c r="BA5" s="225">
        <v>40</v>
      </c>
      <c r="BB5" s="225">
        <f>D7+BA5</f>
        <v>454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226"/>
      <c r="BB6" s="226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54">
        <v>414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227"/>
      <c r="BB7" s="227"/>
      <c r="BC7" s="182"/>
    </row>
    <row r="8" spans="1:55" ht="30" customHeight="1" thickBot="1" x14ac:dyDescent="0.4">
      <c r="A8" s="165"/>
      <c r="B8" s="168"/>
      <c r="C8" s="171"/>
      <c r="D8" s="255"/>
      <c r="E8" s="104" t="s">
        <v>92</v>
      </c>
      <c r="F8" s="94" t="s">
        <v>92</v>
      </c>
      <c r="G8" s="76" t="s">
        <v>94</v>
      </c>
      <c r="H8" s="94" t="s">
        <v>92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160" t="s">
        <v>234</v>
      </c>
      <c r="R8" s="130"/>
      <c r="S8" s="130"/>
      <c r="T8" s="161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129" t="s">
        <v>235</v>
      </c>
      <c r="AL8" s="130"/>
      <c r="AM8" s="130"/>
      <c r="AN8" s="130"/>
      <c r="AO8" s="130"/>
      <c r="AP8" s="130"/>
      <c r="AQ8" s="130"/>
      <c r="AR8" s="161"/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25" t="s">
        <v>128</v>
      </c>
      <c r="E9" s="116" t="s">
        <v>156</v>
      </c>
      <c r="F9" s="78" t="s">
        <v>93</v>
      </c>
      <c r="G9" s="78" t="s">
        <v>95</v>
      </c>
      <c r="H9" s="78" t="s">
        <v>93</v>
      </c>
      <c r="I9" s="204" t="s">
        <v>98</v>
      </c>
      <c r="J9" s="205"/>
      <c r="K9" s="205"/>
      <c r="L9" s="206"/>
      <c r="M9" s="78" t="s">
        <v>95</v>
      </c>
      <c r="N9" s="56" t="s">
        <v>100</v>
      </c>
      <c r="O9" s="56" t="s">
        <v>93</v>
      </c>
      <c r="P9" s="56" t="s">
        <v>85</v>
      </c>
      <c r="Q9" s="198" t="s">
        <v>92</v>
      </c>
      <c r="R9" s="199"/>
      <c r="S9" s="199"/>
      <c r="T9" s="200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129"/>
      <c r="AL9" s="130"/>
      <c r="AM9" s="130"/>
      <c r="AN9" s="130"/>
      <c r="AO9" s="130"/>
      <c r="AP9" s="130"/>
      <c r="AQ9" s="130"/>
      <c r="AR9" s="161"/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398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>
        <v>1</v>
      </c>
      <c r="N10" s="62">
        <f t="shared" ref="N10:T25" si="1">M10</f>
        <v>1</v>
      </c>
      <c r="O10" s="62">
        <f t="shared" si="1"/>
        <v>1</v>
      </c>
      <c r="P10" s="62">
        <f t="shared" si="1"/>
        <v>1</v>
      </c>
      <c r="Q10" s="62">
        <f t="shared" si="1"/>
        <v>1</v>
      </c>
      <c r="R10" s="62">
        <f t="shared" si="1"/>
        <v>1</v>
      </c>
      <c r="S10" s="62">
        <f t="shared" si="1"/>
        <v>1</v>
      </c>
      <c r="T10" s="63">
        <f t="shared" si="1"/>
        <v>1</v>
      </c>
      <c r="U10" s="61" t="s">
        <v>124</v>
      </c>
      <c r="V10" s="62" t="str">
        <f t="shared" ref="V10:AB25" si="2">U10</f>
        <v>a</v>
      </c>
      <c r="W10" s="62" t="str">
        <f t="shared" si="2"/>
        <v>a</v>
      </c>
      <c r="X10" s="62" t="str">
        <f t="shared" si="2"/>
        <v>a</v>
      </c>
      <c r="Y10" s="62" t="str">
        <f t="shared" si="2"/>
        <v>a</v>
      </c>
      <c r="Z10" s="62" t="str">
        <f t="shared" si="2"/>
        <v>a</v>
      </c>
      <c r="AA10" s="62" t="str">
        <f t="shared" si="2"/>
        <v>a</v>
      </c>
      <c r="AB10" s="63" t="str">
        <f t="shared" si="2"/>
        <v>a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5">SUM(E10:AZ10)</f>
        <v>32</v>
      </c>
      <c r="BB10" s="9">
        <f>BA10+D10+C10</f>
        <v>430</v>
      </c>
      <c r="BC10" s="10">
        <f>ROUND((BB10/BB$5)*100,0)</f>
        <v>95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360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62">
        <f t="shared" si="2"/>
        <v>1</v>
      </c>
      <c r="Z11" s="62">
        <f t="shared" si="2"/>
        <v>1</v>
      </c>
      <c r="AA11" s="62">
        <f t="shared" si="2"/>
        <v>1</v>
      </c>
      <c r="AB11" s="63">
        <f t="shared" si="2"/>
        <v>1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135"/>
      <c r="AT11" s="136"/>
      <c r="AU11" s="136"/>
      <c r="AV11" s="136"/>
      <c r="AW11" s="136"/>
      <c r="AX11" s="136"/>
      <c r="AY11" s="136"/>
      <c r="AZ11" s="137"/>
      <c r="BA11" s="37">
        <f t="shared" si="5"/>
        <v>40</v>
      </c>
      <c r="BB11" s="9">
        <f t="shared" ref="BB11:BB73" si="6">BA11+D11+C11</f>
        <v>400</v>
      </c>
      <c r="BC11" s="10">
        <f t="shared" ref="BC11:BC73" si="7">ROUND((BB11/BB$5)*100,0)</f>
        <v>88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390</v>
      </c>
      <c r="E12" s="61">
        <v>1</v>
      </c>
      <c r="F12" s="62">
        <f t="shared" ref="F12:L27" si="8">E12</f>
        <v>1</v>
      </c>
      <c r="G12" s="62">
        <f t="shared" si="8"/>
        <v>1</v>
      </c>
      <c r="H12" s="62">
        <f t="shared" si="8"/>
        <v>1</v>
      </c>
      <c r="I12" s="62">
        <f t="shared" si="8"/>
        <v>1</v>
      </c>
      <c r="J12" s="62">
        <f t="shared" si="8"/>
        <v>1</v>
      </c>
      <c r="K12" s="62">
        <f t="shared" si="8"/>
        <v>1</v>
      </c>
      <c r="L12" s="63">
        <f t="shared" si="8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135"/>
      <c r="AT12" s="136"/>
      <c r="AU12" s="136"/>
      <c r="AV12" s="136"/>
      <c r="AW12" s="136"/>
      <c r="AX12" s="136"/>
      <c r="AY12" s="136"/>
      <c r="AZ12" s="137"/>
      <c r="BA12" s="37">
        <f t="shared" si="5"/>
        <v>40</v>
      </c>
      <c r="BB12" s="9">
        <f t="shared" si="6"/>
        <v>430</v>
      </c>
      <c r="BC12" s="10">
        <f t="shared" si="7"/>
        <v>95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382</v>
      </c>
      <c r="E13" s="61">
        <v>1</v>
      </c>
      <c r="F13" s="62">
        <f t="shared" si="8"/>
        <v>1</v>
      </c>
      <c r="G13" s="62">
        <f t="shared" si="8"/>
        <v>1</v>
      </c>
      <c r="H13" s="62">
        <f t="shared" si="8"/>
        <v>1</v>
      </c>
      <c r="I13" s="62">
        <f t="shared" si="8"/>
        <v>1</v>
      </c>
      <c r="J13" s="62">
        <f t="shared" si="8"/>
        <v>1</v>
      </c>
      <c r="K13" s="62">
        <f t="shared" si="8"/>
        <v>1</v>
      </c>
      <c r="L13" s="63">
        <f t="shared" si="8"/>
        <v>1</v>
      </c>
      <c r="M13" s="61">
        <v>1</v>
      </c>
      <c r="N13" s="62">
        <f t="shared" si="1"/>
        <v>1</v>
      </c>
      <c r="O13" s="62">
        <f t="shared" si="1"/>
        <v>1</v>
      </c>
      <c r="P13" s="62">
        <f t="shared" si="1"/>
        <v>1</v>
      </c>
      <c r="Q13" s="62">
        <f t="shared" si="1"/>
        <v>1</v>
      </c>
      <c r="R13" s="62">
        <f t="shared" si="1"/>
        <v>1</v>
      </c>
      <c r="S13" s="62">
        <f t="shared" si="1"/>
        <v>1</v>
      </c>
      <c r="T13" s="63">
        <f t="shared" si="1"/>
        <v>1</v>
      </c>
      <c r="U13" s="61">
        <v>1</v>
      </c>
      <c r="V13" s="62">
        <f t="shared" si="2"/>
        <v>1</v>
      </c>
      <c r="W13" s="62">
        <f t="shared" si="2"/>
        <v>1</v>
      </c>
      <c r="X13" s="62">
        <f t="shared" si="2"/>
        <v>1</v>
      </c>
      <c r="Y13" s="62">
        <f t="shared" si="2"/>
        <v>1</v>
      </c>
      <c r="Z13" s="62">
        <f t="shared" si="2"/>
        <v>1</v>
      </c>
      <c r="AA13" s="62">
        <f t="shared" si="2"/>
        <v>1</v>
      </c>
      <c r="AB13" s="63">
        <f t="shared" si="2"/>
        <v>1</v>
      </c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62">
        <f t="shared" si="3"/>
        <v>1</v>
      </c>
      <c r="AH13" s="62">
        <f t="shared" si="3"/>
        <v>1</v>
      </c>
      <c r="AI13" s="62">
        <f t="shared" si="3"/>
        <v>1</v>
      </c>
      <c r="AJ13" s="63">
        <f t="shared" si="3"/>
        <v>1</v>
      </c>
      <c r="AK13" s="61">
        <v>1</v>
      </c>
      <c r="AL13" s="62">
        <f t="shared" si="4"/>
        <v>1</v>
      </c>
      <c r="AM13" s="62">
        <f t="shared" si="4"/>
        <v>1</v>
      </c>
      <c r="AN13" s="62">
        <f t="shared" si="4"/>
        <v>1</v>
      </c>
      <c r="AO13" s="62">
        <f t="shared" si="4"/>
        <v>1</v>
      </c>
      <c r="AP13" s="62">
        <f t="shared" si="4"/>
        <v>1</v>
      </c>
      <c r="AQ13" s="62">
        <f t="shared" si="4"/>
        <v>1</v>
      </c>
      <c r="AR13" s="63">
        <f t="shared" si="4"/>
        <v>1</v>
      </c>
      <c r="AS13" s="135"/>
      <c r="AT13" s="136"/>
      <c r="AU13" s="136"/>
      <c r="AV13" s="136"/>
      <c r="AW13" s="136"/>
      <c r="AX13" s="136"/>
      <c r="AY13" s="136"/>
      <c r="AZ13" s="137"/>
      <c r="BA13" s="37">
        <f t="shared" si="5"/>
        <v>40</v>
      </c>
      <c r="BB13" s="9">
        <f t="shared" si="6"/>
        <v>422</v>
      </c>
      <c r="BC13" s="10">
        <f t="shared" si="7"/>
        <v>93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354</v>
      </c>
      <c r="E14" s="61">
        <v>1</v>
      </c>
      <c r="F14" s="62">
        <f t="shared" si="8"/>
        <v>1</v>
      </c>
      <c r="G14" s="62">
        <f t="shared" si="8"/>
        <v>1</v>
      </c>
      <c r="H14" s="62">
        <f t="shared" si="8"/>
        <v>1</v>
      </c>
      <c r="I14" s="62">
        <f t="shared" si="8"/>
        <v>1</v>
      </c>
      <c r="J14" s="62">
        <f t="shared" si="8"/>
        <v>1</v>
      </c>
      <c r="K14" s="62">
        <f t="shared" si="8"/>
        <v>1</v>
      </c>
      <c r="L14" s="63">
        <f t="shared" si="8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135"/>
      <c r="AT14" s="136"/>
      <c r="AU14" s="136"/>
      <c r="AV14" s="136"/>
      <c r="AW14" s="136"/>
      <c r="AX14" s="136"/>
      <c r="AY14" s="136"/>
      <c r="AZ14" s="137"/>
      <c r="BA14" s="37">
        <f t="shared" si="5"/>
        <v>40</v>
      </c>
      <c r="BB14" s="9">
        <f t="shared" si="6"/>
        <v>394</v>
      </c>
      <c r="BC14" s="10">
        <f t="shared" si="7"/>
        <v>87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320</v>
      </c>
      <c r="E15" s="61">
        <v>1</v>
      </c>
      <c r="F15" s="62">
        <f t="shared" si="8"/>
        <v>1</v>
      </c>
      <c r="G15" s="62">
        <f t="shared" si="8"/>
        <v>1</v>
      </c>
      <c r="H15" s="62">
        <f t="shared" si="8"/>
        <v>1</v>
      </c>
      <c r="I15" s="62">
        <f t="shared" si="8"/>
        <v>1</v>
      </c>
      <c r="J15" s="62">
        <f t="shared" si="8"/>
        <v>1</v>
      </c>
      <c r="K15" s="62">
        <f t="shared" si="8"/>
        <v>1</v>
      </c>
      <c r="L15" s="63">
        <f t="shared" si="8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62">
        <f t="shared" si="2"/>
        <v>1</v>
      </c>
      <c r="Z15" s="62">
        <f t="shared" si="2"/>
        <v>1</v>
      </c>
      <c r="AA15" s="62">
        <f t="shared" si="2"/>
        <v>1</v>
      </c>
      <c r="AB15" s="63">
        <f t="shared" si="2"/>
        <v>1</v>
      </c>
      <c r="AC15" s="61" t="s">
        <v>124</v>
      </c>
      <c r="AD15" s="62" t="str">
        <f t="shared" si="3"/>
        <v>a</v>
      </c>
      <c r="AE15" s="62" t="str">
        <f t="shared" si="3"/>
        <v>a</v>
      </c>
      <c r="AF15" s="62" t="str">
        <f t="shared" si="3"/>
        <v>a</v>
      </c>
      <c r="AG15" s="62" t="str">
        <f t="shared" si="3"/>
        <v>a</v>
      </c>
      <c r="AH15" s="62" t="str">
        <f t="shared" si="3"/>
        <v>a</v>
      </c>
      <c r="AI15" s="62" t="str">
        <f t="shared" si="3"/>
        <v>a</v>
      </c>
      <c r="AJ15" s="63" t="str">
        <f t="shared" si="3"/>
        <v>a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135"/>
      <c r="AT15" s="136"/>
      <c r="AU15" s="136"/>
      <c r="AV15" s="136"/>
      <c r="AW15" s="136"/>
      <c r="AX15" s="136"/>
      <c r="AY15" s="136"/>
      <c r="AZ15" s="137"/>
      <c r="BA15" s="37">
        <f t="shared" si="5"/>
        <v>32</v>
      </c>
      <c r="BB15" s="9">
        <f t="shared" si="6"/>
        <v>352</v>
      </c>
      <c r="BC15" s="10">
        <f t="shared" si="7"/>
        <v>78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339</v>
      </c>
      <c r="E16" s="61">
        <v>1</v>
      </c>
      <c r="F16" s="62">
        <f t="shared" si="8"/>
        <v>1</v>
      </c>
      <c r="G16" s="62">
        <f t="shared" si="8"/>
        <v>1</v>
      </c>
      <c r="H16" s="62">
        <f t="shared" si="8"/>
        <v>1</v>
      </c>
      <c r="I16" s="62">
        <f t="shared" si="8"/>
        <v>1</v>
      </c>
      <c r="J16" s="62">
        <f t="shared" si="8"/>
        <v>1</v>
      </c>
      <c r="K16" s="62">
        <f t="shared" si="8"/>
        <v>1</v>
      </c>
      <c r="L16" s="63">
        <f t="shared" si="8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>
        <v>1</v>
      </c>
      <c r="V16" s="62">
        <f t="shared" si="2"/>
        <v>1</v>
      </c>
      <c r="W16" s="62">
        <f t="shared" si="2"/>
        <v>1</v>
      </c>
      <c r="X16" s="62">
        <f t="shared" si="2"/>
        <v>1</v>
      </c>
      <c r="Y16" s="62">
        <f t="shared" si="2"/>
        <v>1</v>
      </c>
      <c r="Z16" s="62">
        <f t="shared" si="2"/>
        <v>1</v>
      </c>
      <c r="AA16" s="62">
        <f t="shared" si="2"/>
        <v>1</v>
      </c>
      <c r="AB16" s="63">
        <f t="shared" si="2"/>
        <v>1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135"/>
      <c r="AT16" s="136"/>
      <c r="AU16" s="136"/>
      <c r="AV16" s="136"/>
      <c r="AW16" s="136"/>
      <c r="AX16" s="136"/>
      <c r="AY16" s="136"/>
      <c r="AZ16" s="137"/>
      <c r="BA16" s="37">
        <f t="shared" si="5"/>
        <v>40</v>
      </c>
      <c r="BB16" s="9">
        <f t="shared" si="6"/>
        <v>379</v>
      </c>
      <c r="BC16" s="10">
        <f t="shared" si="7"/>
        <v>83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384</v>
      </c>
      <c r="E17" s="61">
        <v>1</v>
      </c>
      <c r="F17" s="62">
        <f t="shared" si="8"/>
        <v>1</v>
      </c>
      <c r="G17" s="62">
        <f t="shared" si="8"/>
        <v>1</v>
      </c>
      <c r="H17" s="62">
        <f t="shared" si="8"/>
        <v>1</v>
      </c>
      <c r="I17" s="62">
        <f t="shared" si="8"/>
        <v>1</v>
      </c>
      <c r="J17" s="62">
        <f t="shared" si="8"/>
        <v>1</v>
      </c>
      <c r="K17" s="62">
        <f t="shared" si="8"/>
        <v>1</v>
      </c>
      <c r="L17" s="63">
        <f t="shared" si="8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135"/>
      <c r="AT17" s="136"/>
      <c r="AU17" s="136"/>
      <c r="AV17" s="136"/>
      <c r="AW17" s="136"/>
      <c r="AX17" s="136"/>
      <c r="AY17" s="136"/>
      <c r="AZ17" s="137"/>
      <c r="BA17" s="37">
        <f t="shared" si="5"/>
        <v>40</v>
      </c>
      <c r="BB17" s="9">
        <f t="shared" si="6"/>
        <v>424</v>
      </c>
      <c r="BC17" s="10">
        <f t="shared" si="7"/>
        <v>93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348</v>
      </c>
      <c r="E18" s="61">
        <v>1</v>
      </c>
      <c r="F18" s="62">
        <f t="shared" si="8"/>
        <v>1</v>
      </c>
      <c r="G18" s="62">
        <f t="shared" si="8"/>
        <v>1</v>
      </c>
      <c r="H18" s="62">
        <f t="shared" si="8"/>
        <v>1</v>
      </c>
      <c r="I18" s="62">
        <f t="shared" si="8"/>
        <v>1</v>
      </c>
      <c r="J18" s="62">
        <f t="shared" si="8"/>
        <v>1</v>
      </c>
      <c r="K18" s="62">
        <f t="shared" si="8"/>
        <v>1</v>
      </c>
      <c r="L18" s="63">
        <f t="shared" si="8"/>
        <v>1</v>
      </c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62" t="str">
        <f t="shared" si="1"/>
        <v>a</v>
      </c>
      <c r="R18" s="62" t="str">
        <f t="shared" si="1"/>
        <v>a</v>
      </c>
      <c r="S18" s="62" t="str">
        <f t="shared" si="1"/>
        <v>a</v>
      </c>
      <c r="T18" s="63" t="str">
        <f t="shared" si="1"/>
        <v>a</v>
      </c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62" t="str">
        <f t="shared" si="2"/>
        <v>a</v>
      </c>
      <c r="Z18" s="62" t="str">
        <f t="shared" si="2"/>
        <v>a</v>
      </c>
      <c r="AA18" s="62" t="str">
        <f t="shared" si="2"/>
        <v>a</v>
      </c>
      <c r="AB18" s="63" t="str">
        <f t="shared" si="2"/>
        <v>a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135"/>
      <c r="AT18" s="136"/>
      <c r="AU18" s="136"/>
      <c r="AV18" s="136"/>
      <c r="AW18" s="136"/>
      <c r="AX18" s="136"/>
      <c r="AY18" s="136"/>
      <c r="AZ18" s="137"/>
      <c r="BA18" s="37">
        <f t="shared" si="5"/>
        <v>24</v>
      </c>
      <c r="BB18" s="9">
        <f t="shared" si="6"/>
        <v>372</v>
      </c>
      <c r="BC18" s="10">
        <f t="shared" si="7"/>
        <v>82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364</v>
      </c>
      <c r="E19" s="61">
        <v>1</v>
      </c>
      <c r="F19" s="62">
        <f t="shared" si="8"/>
        <v>1</v>
      </c>
      <c r="G19" s="62">
        <f t="shared" si="8"/>
        <v>1</v>
      </c>
      <c r="H19" s="62">
        <f t="shared" si="8"/>
        <v>1</v>
      </c>
      <c r="I19" s="62">
        <f t="shared" si="8"/>
        <v>1</v>
      </c>
      <c r="J19" s="62">
        <f t="shared" si="8"/>
        <v>1</v>
      </c>
      <c r="K19" s="62">
        <f t="shared" si="8"/>
        <v>1</v>
      </c>
      <c r="L19" s="63">
        <f t="shared" si="8"/>
        <v>1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 t="s">
        <v>124</v>
      </c>
      <c r="AD19" s="62" t="str">
        <f t="shared" si="3"/>
        <v>a</v>
      </c>
      <c r="AE19" s="62" t="str">
        <f t="shared" si="3"/>
        <v>a</v>
      </c>
      <c r="AF19" s="62" t="str">
        <f t="shared" si="3"/>
        <v>a</v>
      </c>
      <c r="AG19" s="62" t="str">
        <f t="shared" si="3"/>
        <v>a</v>
      </c>
      <c r="AH19" s="62" t="str">
        <f t="shared" si="3"/>
        <v>a</v>
      </c>
      <c r="AI19" s="62" t="str">
        <f t="shared" si="3"/>
        <v>a</v>
      </c>
      <c r="AJ19" s="63" t="str">
        <f t="shared" si="3"/>
        <v>a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135"/>
      <c r="AT19" s="136"/>
      <c r="AU19" s="136"/>
      <c r="AV19" s="136"/>
      <c r="AW19" s="136"/>
      <c r="AX19" s="136"/>
      <c r="AY19" s="136"/>
      <c r="AZ19" s="137"/>
      <c r="BA19" s="37">
        <f t="shared" si="5"/>
        <v>32</v>
      </c>
      <c r="BB19" s="9">
        <f t="shared" si="6"/>
        <v>396</v>
      </c>
      <c r="BC19" s="10">
        <f t="shared" si="7"/>
        <v>87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390</v>
      </c>
      <c r="E20" s="61">
        <v>1</v>
      </c>
      <c r="F20" s="62">
        <f t="shared" si="8"/>
        <v>1</v>
      </c>
      <c r="G20" s="62">
        <f t="shared" si="8"/>
        <v>1</v>
      </c>
      <c r="H20" s="62">
        <f t="shared" si="8"/>
        <v>1</v>
      </c>
      <c r="I20" s="62">
        <f t="shared" si="8"/>
        <v>1</v>
      </c>
      <c r="J20" s="62">
        <f t="shared" si="8"/>
        <v>1</v>
      </c>
      <c r="K20" s="62">
        <f t="shared" si="8"/>
        <v>1</v>
      </c>
      <c r="L20" s="63">
        <f t="shared" si="8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135"/>
      <c r="AT20" s="136"/>
      <c r="AU20" s="136"/>
      <c r="AV20" s="136"/>
      <c r="AW20" s="136"/>
      <c r="AX20" s="136"/>
      <c r="AY20" s="136"/>
      <c r="AZ20" s="137"/>
      <c r="BA20" s="37">
        <f t="shared" si="5"/>
        <v>40</v>
      </c>
      <c r="BB20" s="9">
        <f t="shared" si="6"/>
        <v>430</v>
      </c>
      <c r="BC20" s="10">
        <f t="shared" si="7"/>
        <v>95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394</v>
      </c>
      <c r="E21" s="61">
        <v>1</v>
      </c>
      <c r="F21" s="62">
        <f t="shared" si="8"/>
        <v>1</v>
      </c>
      <c r="G21" s="62">
        <f t="shared" si="8"/>
        <v>1</v>
      </c>
      <c r="H21" s="62">
        <f t="shared" si="8"/>
        <v>1</v>
      </c>
      <c r="I21" s="62">
        <f t="shared" si="8"/>
        <v>1</v>
      </c>
      <c r="J21" s="62">
        <f t="shared" si="8"/>
        <v>1</v>
      </c>
      <c r="K21" s="62">
        <f t="shared" si="8"/>
        <v>1</v>
      </c>
      <c r="L21" s="63">
        <f t="shared" si="8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135"/>
      <c r="AT21" s="136"/>
      <c r="AU21" s="136"/>
      <c r="AV21" s="136"/>
      <c r="AW21" s="136"/>
      <c r="AX21" s="136"/>
      <c r="AY21" s="136"/>
      <c r="AZ21" s="137"/>
      <c r="BA21" s="37">
        <f t="shared" si="5"/>
        <v>40</v>
      </c>
      <c r="BB21" s="9">
        <f t="shared" si="6"/>
        <v>434</v>
      </c>
      <c r="BC21" s="10">
        <f t="shared" si="7"/>
        <v>96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414</v>
      </c>
      <c r="E22" s="61">
        <v>1</v>
      </c>
      <c r="F22" s="62">
        <f t="shared" si="8"/>
        <v>1</v>
      </c>
      <c r="G22" s="62">
        <f t="shared" si="8"/>
        <v>1</v>
      </c>
      <c r="H22" s="62">
        <f t="shared" si="8"/>
        <v>1</v>
      </c>
      <c r="I22" s="62">
        <f t="shared" si="8"/>
        <v>1</v>
      </c>
      <c r="J22" s="62">
        <f t="shared" si="8"/>
        <v>1</v>
      </c>
      <c r="K22" s="62">
        <f t="shared" si="8"/>
        <v>1</v>
      </c>
      <c r="L22" s="63">
        <f t="shared" si="8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135"/>
      <c r="AT22" s="136"/>
      <c r="AU22" s="136"/>
      <c r="AV22" s="136"/>
      <c r="AW22" s="136"/>
      <c r="AX22" s="136"/>
      <c r="AY22" s="136"/>
      <c r="AZ22" s="137"/>
      <c r="BA22" s="37">
        <f t="shared" si="5"/>
        <v>40</v>
      </c>
      <c r="BB22" s="9">
        <f t="shared" si="6"/>
        <v>454</v>
      </c>
      <c r="BC22" s="10">
        <f t="shared" si="7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408</v>
      </c>
      <c r="E23" s="61">
        <v>1</v>
      </c>
      <c r="F23" s="62">
        <f t="shared" si="8"/>
        <v>1</v>
      </c>
      <c r="G23" s="62">
        <f t="shared" si="8"/>
        <v>1</v>
      </c>
      <c r="H23" s="62">
        <f t="shared" si="8"/>
        <v>1</v>
      </c>
      <c r="I23" s="62">
        <f t="shared" si="8"/>
        <v>1</v>
      </c>
      <c r="J23" s="62">
        <f t="shared" si="8"/>
        <v>1</v>
      </c>
      <c r="K23" s="62">
        <f t="shared" si="8"/>
        <v>1</v>
      </c>
      <c r="L23" s="63">
        <f t="shared" si="8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135"/>
      <c r="AT23" s="136"/>
      <c r="AU23" s="136"/>
      <c r="AV23" s="136"/>
      <c r="AW23" s="136"/>
      <c r="AX23" s="136"/>
      <c r="AY23" s="136"/>
      <c r="AZ23" s="137"/>
      <c r="BA23" s="37">
        <f t="shared" si="5"/>
        <v>40</v>
      </c>
      <c r="BB23" s="9">
        <f t="shared" si="6"/>
        <v>448</v>
      </c>
      <c r="BC23" s="10">
        <f t="shared" si="7"/>
        <v>99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368</v>
      </c>
      <c r="E24" s="61">
        <v>1</v>
      </c>
      <c r="F24" s="62">
        <f t="shared" si="8"/>
        <v>1</v>
      </c>
      <c r="G24" s="62">
        <f t="shared" si="8"/>
        <v>1</v>
      </c>
      <c r="H24" s="62">
        <f t="shared" si="8"/>
        <v>1</v>
      </c>
      <c r="I24" s="62">
        <f t="shared" si="8"/>
        <v>1</v>
      </c>
      <c r="J24" s="62">
        <f t="shared" si="8"/>
        <v>1</v>
      </c>
      <c r="K24" s="62">
        <f t="shared" si="8"/>
        <v>1</v>
      </c>
      <c r="L24" s="63">
        <f t="shared" si="8"/>
        <v>1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135"/>
      <c r="AT24" s="136"/>
      <c r="AU24" s="136"/>
      <c r="AV24" s="136"/>
      <c r="AW24" s="136"/>
      <c r="AX24" s="136"/>
      <c r="AY24" s="136"/>
      <c r="AZ24" s="137"/>
      <c r="BA24" s="37">
        <f t="shared" si="5"/>
        <v>40</v>
      </c>
      <c r="BB24" s="9">
        <f t="shared" si="6"/>
        <v>408</v>
      </c>
      <c r="BC24" s="10">
        <f t="shared" si="7"/>
        <v>90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358</v>
      </c>
      <c r="E25" s="61">
        <v>1</v>
      </c>
      <c r="F25" s="62">
        <f t="shared" si="8"/>
        <v>1</v>
      </c>
      <c r="G25" s="62">
        <f t="shared" si="8"/>
        <v>1</v>
      </c>
      <c r="H25" s="62">
        <f t="shared" si="8"/>
        <v>1</v>
      </c>
      <c r="I25" s="62">
        <f t="shared" si="8"/>
        <v>1</v>
      </c>
      <c r="J25" s="62">
        <f t="shared" si="8"/>
        <v>1</v>
      </c>
      <c r="K25" s="62">
        <f t="shared" si="8"/>
        <v>1</v>
      </c>
      <c r="L25" s="63">
        <f t="shared" si="8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135"/>
      <c r="AT25" s="136"/>
      <c r="AU25" s="136"/>
      <c r="AV25" s="136"/>
      <c r="AW25" s="136"/>
      <c r="AX25" s="136"/>
      <c r="AY25" s="136"/>
      <c r="AZ25" s="137"/>
      <c r="BA25" s="37">
        <f t="shared" si="5"/>
        <v>40</v>
      </c>
      <c r="BB25" s="9">
        <f t="shared" si="6"/>
        <v>398</v>
      </c>
      <c r="BC25" s="10">
        <f t="shared" si="7"/>
        <v>88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371</v>
      </c>
      <c r="E26" s="61">
        <v>1</v>
      </c>
      <c r="F26" s="62">
        <f t="shared" si="8"/>
        <v>1</v>
      </c>
      <c r="G26" s="62">
        <f t="shared" si="8"/>
        <v>1</v>
      </c>
      <c r="H26" s="62">
        <f t="shared" si="8"/>
        <v>1</v>
      </c>
      <c r="I26" s="62">
        <f t="shared" si="8"/>
        <v>1</v>
      </c>
      <c r="J26" s="62">
        <f t="shared" si="8"/>
        <v>1</v>
      </c>
      <c r="K26" s="62">
        <f t="shared" si="8"/>
        <v>1</v>
      </c>
      <c r="L26" s="63">
        <f t="shared" si="8"/>
        <v>1</v>
      </c>
      <c r="M26" s="61">
        <v>1</v>
      </c>
      <c r="N26" s="62">
        <f t="shared" ref="N26:T41" si="9">M26</f>
        <v>1</v>
      </c>
      <c r="O26" s="62">
        <f t="shared" si="9"/>
        <v>1</v>
      </c>
      <c r="P26" s="62">
        <f t="shared" si="9"/>
        <v>1</v>
      </c>
      <c r="Q26" s="62">
        <f t="shared" si="9"/>
        <v>1</v>
      </c>
      <c r="R26" s="62">
        <f t="shared" si="9"/>
        <v>1</v>
      </c>
      <c r="S26" s="62">
        <f t="shared" si="9"/>
        <v>1</v>
      </c>
      <c r="T26" s="63">
        <f t="shared" si="9"/>
        <v>1</v>
      </c>
      <c r="U26" s="61">
        <v>1</v>
      </c>
      <c r="V26" s="62">
        <f t="shared" ref="V26:AB41" si="10">U26</f>
        <v>1</v>
      </c>
      <c r="W26" s="62">
        <f t="shared" si="10"/>
        <v>1</v>
      </c>
      <c r="X26" s="62">
        <f t="shared" si="10"/>
        <v>1</v>
      </c>
      <c r="Y26" s="62">
        <f t="shared" si="10"/>
        <v>1</v>
      </c>
      <c r="Z26" s="62">
        <f t="shared" si="10"/>
        <v>1</v>
      </c>
      <c r="AA26" s="62">
        <f t="shared" si="10"/>
        <v>1</v>
      </c>
      <c r="AB26" s="63">
        <f t="shared" si="10"/>
        <v>1</v>
      </c>
      <c r="AC26" s="61">
        <v>1</v>
      </c>
      <c r="AD26" s="62">
        <f t="shared" ref="AD26:AJ41" si="11">AC26</f>
        <v>1</v>
      </c>
      <c r="AE26" s="62">
        <f t="shared" si="11"/>
        <v>1</v>
      </c>
      <c r="AF26" s="62">
        <f t="shared" si="11"/>
        <v>1</v>
      </c>
      <c r="AG26" s="62">
        <f t="shared" si="11"/>
        <v>1</v>
      </c>
      <c r="AH26" s="62">
        <f t="shared" si="11"/>
        <v>1</v>
      </c>
      <c r="AI26" s="62">
        <f t="shared" si="11"/>
        <v>1</v>
      </c>
      <c r="AJ26" s="63">
        <f t="shared" si="11"/>
        <v>1</v>
      </c>
      <c r="AK26" s="61">
        <v>1</v>
      </c>
      <c r="AL26" s="62">
        <f t="shared" ref="AL26:AR41" si="12">AK26</f>
        <v>1</v>
      </c>
      <c r="AM26" s="62">
        <f t="shared" si="12"/>
        <v>1</v>
      </c>
      <c r="AN26" s="62">
        <f t="shared" si="12"/>
        <v>1</v>
      </c>
      <c r="AO26" s="62">
        <f t="shared" si="12"/>
        <v>1</v>
      </c>
      <c r="AP26" s="62">
        <f t="shared" si="12"/>
        <v>1</v>
      </c>
      <c r="AQ26" s="62">
        <f t="shared" si="12"/>
        <v>1</v>
      </c>
      <c r="AR26" s="63">
        <f t="shared" si="12"/>
        <v>1</v>
      </c>
      <c r="AS26" s="135"/>
      <c r="AT26" s="136"/>
      <c r="AU26" s="136"/>
      <c r="AV26" s="136"/>
      <c r="AW26" s="136"/>
      <c r="AX26" s="136"/>
      <c r="AY26" s="136"/>
      <c r="AZ26" s="137"/>
      <c r="BA26" s="37">
        <f t="shared" si="5"/>
        <v>40</v>
      </c>
      <c r="BB26" s="9">
        <f t="shared" si="6"/>
        <v>411</v>
      </c>
      <c r="BC26" s="10">
        <f t="shared" si="7"/>
        <v>91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390</v>
      </c>
      <c r="E27" s="61">
        <v>1</v>
      </c>
      <c r="F27" s="62">
        <f t="shared" si="8"/>
        <v>1</v>
      </c>
      <c r="G27" s="62">
        <f t="shared" si="8"/>
        <v>1</v>
      </c>
      <c r="H27" s="62">
        <f t="shared" si="8"/>
        <v>1</v>
      </c>
      <c r="I27" s="62">
        <f t="shared" si="8"/>
        <v>1</v>
      </c>
      <c r="J27" s="62">
        <f t="shared" si="8"/>
        <v>1</v>
      </c>
      <c r="K27" s="62">
        <f t="shared" si="8"/>
        <v>1</v>
      </c>
      <c r="L27" s="63">
        <f t="shared" si="8"/>
        <v>1</v>
      </c>
      <c r="M27" s="61">
        <v>1</v>
      </c>
      <c r="N27" s="62">
        <f t="shared" si="9"/>
        <v>1</v>
      </c>
      <c r="O27" s="62">
        <f t="shared" si="9"/>
        <v>1</v>
      </c>
      <c r="P27" s="62">
        <f t="shared" si="9"/>
        <v>1</v>
      </c>
      <c r="Q27" s="62">
        <f t="shared" si="9"/>
        <v>1</v>
      </c>
      <c r="R27" s="62">
        <f t="shared" si="9"/>
        <v>1</v>
      </c>
      <c r="S27" s="62">
        <f t="shared" si="9"/>
        <v>1</v>
      </c>
      <c r="T27" s="63">
        <f t="shared" si="9"/>
        <v>1</v>
      </c>
      <c r="U27" s="61">
        <v>1</v>
      </c>
      <c r="V27" s="62">
        <f t="shared" si="10"/>
        <v>1</v>
      </c>
      <c r="W27" s="62">
        <f t="shared" si="10"/>
        <v>1</v>
      </c>
      <c r="X27" s="62">
        <f t="shared" si="10"/>
        <v>1</v>
      </c>
      <c r="Y27" s="62">
        <f t="shared" si="10"/>
        <v>1</v>
      </c>
      <c r="Z27" s="62">
        <f t="shared" si="10"/>
        <v>1</v>
      </c>
      <c r="AA27" s="62">
        <f t="shared" si="10"/>
        <v>1</v>
      </c>
      <c r="AB27" s="63">
        <f t="shared" si="10"/>
        <v>1</v>
      </c>
      <c r="AC27" s="61">
        <v>1</v>
      </c>
      <c r="AD27" s="62">
        <f t="shared" si="11"/>
        <v>1</v>
      </c>
      <c r="AE27" s="62">
        <f t="shared" si="11"/>
        <v>1</v>
      </c>
      <c r="AF27" s="62">
        <f t="shared" si="11"/>
        <v>1</v>
      </c>
      <c r="AG27" s="62">
        <f t="shared" si="11"/>
        <v>1</v>
      </c>
      <c r="AH27" s="62">
        <f t="shared" si="11"/>
        <v>1</v>
      </c>
      <c r="AI27" s="62">
        <f t="shared" si="11"/>
        <v>1</v>
      </c>
      <c r="AJ27" s="63">
        <f t="shared" si="11"/>
        <v>1</v>
      </c>
      <c r="AK27" s="61">
        <v>1</v>
      </c>
      <c r="AL27" s="62">
        <f t="shared" si="12"/>
        <v>1</v>
      </c>
      <c r="AM27" s="62">
        <f t="shared" si="12"/>
        <v>1</v>
      </c>
      <c r="AN27" s="62">
        <f t="shared" si="12"/>
        <v>1</v>
      </c>
      <c r="AO27" s="62">
        <f t="shared" si="12"/>
        <v>1</v>
      </c>
      <c r="AP27" s="62">
        <f t="shared" si="12"/>
        <v>1</v>
      </c>
      <c r="AQ27" s="62">
        <f t="shared" si="12"/>
        <v>1</v>
      </c>
      <c r="AR27" s="63">
        <f t="shared" si="12"/>
        <v>1</v>
      </c>
      <c r="AS27" s="135"/>
      <c r="AT27" s="136"/>
      <c r="AU27" s="136"/>
      <c r="AV27" s="136"/>
      <c r="AW27" s="136"/>
      <c r="AX27" s="136"/>
      <c r="AY27" s="136"/>
      <c r="AZ27" s="137"/>
      <c r="BA27" s="37">
        <f t="shared" si="5"/>
        <v>40</v>
      </c>
      <c r="BB27" s="9">
        <f t="shared" si="6"/>
        <v>430</v>
      </c>
      <c r="BC27" s="10">
        <f t="shared" si="7"/>
        <v>95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382</v>
      </c>
      <c r="E28" s="61">
        <v>1</v>
      </c>
      <c r="F28" s="62">
        <f t="shared" ref="F28:L43" si="13">E28</f>
        <v>1</v>
      </c>
      <c r="G28" s="62">
        <f t="shared" si="13"/>
        <v>1</v>
      </c>
      <c r="H28" s="62">
        <f t="shared" si="13"/>
        <v>1</v>
      </c>
      <c r="I28" s="62">
        <f t="shared" si="13"/>
        <v>1</v>
      </c>
      <c r="J28" s="62">
        <f t="shared" si="13"/>
        <v>1</v>
      </c>
      <c r="K28" s="62">
        <f t="shared" si="13"/>
        <v>1</v>
      </c>
      <c r="L28" s="63">
        <f t="shared" si="13"/>
        <v>1</v>
      </c>
      <c r="M28" s="61">
        <v>1</v>
      </c>
      <c r="N28" s="62">
        <f t="shared" si="9"/>
        <v>1</v>
      </c>
      <c r="O28" s="62">
        <f t="shared" si="9"/>
        <v>1</v>
      </c>
      <c r="P28" s="62">
        <f t="shared" si="9"/>
        <v>1</v>
      </c>
      <c r="Q28" s="62">
        <f t="shared" si="9"/>
        <v>1</v>
      </c>
      <c r="R28" s="62">
        <f t="shared" si="9"/>
        <v>1</v>
      </c>
      <c r="S28" s="62">
        <f t="shared" si="9"/>
        <v>1</v>
      </c>
      <c r="T28" s="63">
        <f t="shared" si="9"/>
        <v>1</v>
      </c>
      <c r="U28" s="61">
        <v>1</v>
      </c>
      <c r="V28" s="62">
        <f t="shared" si="10"/>
        <v>1</v>
      </c>
      <c r="W28" s="62">
        <f t="shared" si="10"/>
        <v>1</v>
      </c>
      <c r="X28" s="62">
        <f t="shared" si="10"/>
        <v>1</v>
      </c>
      <c r="Y28" s="62">
        <f t="shared" si="10"/>
        <v>1</v>
      </c>
      <c r="Z28" s="62">
        <f t="shared" si="10"/>
        <v>1</v>
      </c>
      <c r="AA28" s="62">
        <f t="shared" si="10"/>
        <v>1</v>
      </c>
      <c r="AB28" s="63">
        <f t="shared" si="10"/>
        <v>1</v>
      </c>
      <c r="AC28" s="61" t="s">
        <v>124</v>
      </c>
      <c r="AD28" s="62" t="str">
        <f t="shared" si="11"/>
        <v>a</v>
      </c>
      <c r="AE28" s="62" t="str">
        <f t="shared" si="11"/>
        <v>a</v>
      </c>
      <c r="AF28" s="62" t="str">
        <f t="shared" si="11"/>
        <v>a</v>
      </c>
      <c r="AG28" s="62" t="str">
        <f t="shared" si="11"/>
        <v>a</v>
      </c>
      <c r="AH28" s="62" t="str">
        <f t="shared" si="11"/>
        <v>a</v>
      </c>
      <c r="AI28" s="62" t="str">
        <f t="shared" si="11"/>
        <v>a</v>
      </c>
      <c r="AJ28" s="63" t="str">
        <f t="shared" si="11"/>
        <v>a</v>
      </c>
      <c r="AK28" s="61">
        <v>1</v>
      </c>
      <c r="AL28" s="62">
        <f t="shared" si="12"/>
        <v>1</v>
      </c>
      <c r="AM28" s="62">
        <f t="shared" si="12"/>
        <v>1</v>
      </c>
      <c r="AN28" s="62">
        <f t="shared" si="12"/>
        <v>1</v>
      </c>
      <c r="AO28" s="62">
        <f t="shared" si="12"/>
        <v>1</v>
      </c>
      <c r="AP28" s="62">
        <f t="shared" si="12"/>
        <v>1</v>
      </c>
      <c r="AQ28" s="62">
        <f t="shared" si="12"/>
        <v>1</v>
      </c>
      <c r="AR28" s="63">
        <f t="shared" si="12"/>
        <v>1</v>
      </c>
      <c r="AS28" s="135"/>
      <c r="AT28" s="136"/>
      <c r="AU28" s="136"/>
      <c r="AV28" s="136"/>
      <c r="AW28" s="136"/>
      <c r="AX28" s="136"/>
      <c r="AY28" s="136"/>
      <c r="AZ28" s="137"/>
      <c r="BA28" s="37">
        <f t="shared" si="5"/>
        <v>32</v>
      </c>
      <c r="BB28" s="9">
        <f t="shared" si="6"/>
        <v>414</v>
      </c>
      <c r="BC28" s="10">
        <f t="shared" si="7"/>
        <v>91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352</v>
      </c>
      <c r="E29" s="61">
        <v>1</v>
      </c>
      <c r="F29" s="62">
        <f t="shared" si="13"/>
        <v>1</v>
      </c>
      <c r="G29" s="62">
        <f t="shared" si="13"/>
        <v>1</v>
      </c>
      <c r="H29" s="62">
        <f t="shared" si="13"/>
        <v>1</v>
      </c>
      <c r="I29" s="62">
        <f t="shared" si="13"/>
        <v>1</v>
      </c>
      <c r="J29" s="62">
        <f t="shared" si="13"/>
        <v>1</v>
      </c>
      <c r="K29" s="62">
        <f t="shared" si="13"/>
        <v>1</v>
      </c>
      <c r="L29" s="63">
        <f t="shared" si="13"/>
        <v>1</v>
      </c>
      <c r="M29" s="61">
        <v>1</v>
      </c>
      <c r="N29" s="62">
        <f t="shared" si="9"/>
        <v>1</v>
      </c>
      <c r="O29" s="62">
        <f t="shared" si="9"/>
        <v>1</v>
      </c>
      <c r="P29" s="62">
        <f t="shared" si="9"/>
        <v>1</v>
      </c>
      <c r="Q29" s="62">
        <f t="shared" si="9"/>
        <v>1</v>
      </c>
      <c r="R29" s="62">
        <f t="shared" si="9"/>
        <v>1</v>
      </c>
      <c r="S29" s="62">
        <f t="shared" si="9"/>
        <v>1</v>
      </c>
      <c r="T29" s="63">
        <f t="shared" si="9"/>
        <v>1</v>
      </c>
      <c r="U29" s="61">
        <v>1</v>
      </c>
      <c r="V29" s="62">
        <f t="shared" si="10"/>
        <v>1</v>
      </c>
      <c r="W29" s="62">
        <f t="shared" si="10"/>
        <v>1</v>
      </c>
      <c r="X29" s="62">
        <f t="shared" si="10"/>
        <v>1</v>
      </c>
      <c r="Y29" s="62">
        <f t="shared" si="10"/>
        <v>1</v>
      </c>
      <c r="Z29" s="62">
        <f t="shared" si="10"/>
        <v>1</v>
      </c>
      <c r="AA29" s="62">
        <f t="shared" si="10"/>
        <v>1</v>
      </c>
      <c r="AB29" s="63">
        <f t="shared" si="10"/>
        <v>1</v>
      </c>
      <c r="AC29" s="61">
        <v>1</v>
      </c>
      <c r="AD29" s="62">
        <f t="shared" si="11"/>
        <v>1</v>
      </c>
      <c r="AE29" s="62">
        <f t="shared" si="11"/>
        <v>1</v>
      </c>
      <c r="AF29" s="62">
        <f t="shared" si="11"/>
        <v>1</v>
      </c>
      <c r="AG29" s="62">
        <f t="shared" si="11"/>
        <v>1</v>
      </c>
      <c r="AH29" s="62">
        <f t="shared" si="11"/>
        <v>1</v>
      </c>
      <c r="AI29" s="62">
        <f t="shared" si="11"/>
        <v>1</v>
      </c>
      <c r="AJ29" s="63">
        <f t="shared" si="11"/>
        <v>1</v>
      </c>
      <c r="AK29" s="61">
        <v>1</v>
      </c>
      <c r="AL29" s="62">
        <f t="shared" si="12"/>
        <v>1</v>
      </c>
      <c r="AM29" s="62">
        <f t="shared" si="12"/>
        <v>1</v>
      </c>
      <c r="AN29" s="62">
        <f t="shared" si="12"/>
        <v>1</v>
      </c>
      <c r="AO29" s="62">
        <f t="shared" si="12"/>
        <v>1</v>
      </c>
      <c r="AP29" s="62">
        <f t="shared" si="12"/>
        <v>1</v>
      </c>
      <c r="AQ29" s="62">
        <f t="shared" si="12"/>
        <v>1</v>
      </c>
      <c r="AR29" s="63">
        <f t="shared" si="12"/>
        <v>1</v>
      </c>
      <c r="AS29" s="135"/>
      <c r="AT29" s="136"/>
      <c r="AU29" s="136"/>
      <c r="AV29" s="136"/>
      <c r="AW29" s="136"/>
      <c r="AX29" s="136"/>
      <c r="AY29" s="136"/>
      <c r="AZ29" s="137"/>
      <c r="BA29" s="37">
        <f t="shared" si="5"/>
        <v>40</v>
      </c>
      <c r="BB29" s="9">
        <f t="shared" si="6"/>
        <v>392</v>
      </c>
      <c r="BC29" s="10">
        <f t="shared" si="7"/>
        <v>86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400</v>
      </c>
      <c r="E30" s="61">
        <v>1</v>
      </c>
      <c r="F30" s="62">
        <f t="shared" si="13"/>
        <v>1</v>
      </c>
      <c r="G30" s="62">
        <f t="shared" si="13"/>
        <v>1</v>
      </c>
      <c r="H30" s="62">
        <f t="shared" si="13"/>
        <v>1</v>
      </c>
      <c r="I30" s="62">
        <f t="shared" si="13"/>
        <v>1</v>
      </c>
      <c r="J30" s="62">
        <f t="shared" si="13"/>
        <v>1</v>
      </c>
      <c r="K30" s="62">
        <f t="shared" si="13"/>
        <v>1</v>
      </c>
      <c r="L30" s="63">
        <f t="shared" si="13"/>
        <v>1</v>
      </c>
      <c r="M30" s="61">
        <v>1</v>
      </c>
      <c r="N30" s="62">
        <f t="shared" si="9"/>
        <v>1</v>
      </c>
      <c r="O30" s="62">
        <f t="shared" si="9"/>
        <v>1</v>
      </c>
      <c r="P30" s="62">
        <f t="shared" si="9"/>
        <v>1</v>
      </c>
      <c r="Q30" s="62">
        <f t="shared" si="9"/>
        <v>1</v>
      </c>
      <c r="R30" s="62">
        <f t="shared" si="9"/>
        <v>1</v>
      </c>
      <c r="S30" s="62">
        <f t="shared" si="9"/>
        <v>1</v>
      </c>
      <c r="T30" s="63">
        <f t="shared" si="9"/>
        <v>1</v>
      </c>
      <c r="U30" s="61" t="s">
        <v>124</v>
      </c>
      <c r="V30" s="62" t="str">
        <f t="shared" si="10"/>
        <v>a</v>
      </c>
      <c r="W30" s="62" t="str">
        <f t="shared" si="10"/>
        <v>a</v>
      </c>
      <c r="X30" s="62" t="str">
        <f t="shared" si="10"/>
        <v>a</v>
      </c>
      <c r="Y30" s="62" t="str">
        <f t="shared" si="10"/>
        <v>a</v>
      </c>
      <c r="Z30" s="62" t="str">
        <f t="shared" si="10"/>
        <v>a</v>
      </c>
      <c r="AA30" s="62" t="str">
        <f t="shared" si="10"/>
        <v>a</v>
      </c>
      <c r="AB30" s="63" t="str">
        <f t="shared" si="10"/>
        <v>a</v>
      </c>
      <c r="AC30" s="61">
        <v>1</v>
      </c>
      <c r="AD30" s="62">
        <f t="shared" si="11"/>
        <v>1</v>
      </c>
      <c r="AE30" s="62">
        <f t="shared" si="11"/>
        <v>1</v>
      </c>
      <c r="AF30" s="62">
        <f t="shared" si="11"/>
        <v>1</v>
      </c>
      <c r="AG30" s="62">
        <f t="shared" si="11"/>
        <v>1</v>
      </c>
      <c r="AH30" s="62">
        <f t="shared" si="11"/>
        <v>1</v>
      </c>
      <c r="AI30" s="62">
        <f t="shared" si="11"/>
        <v>1</v>
      </c>
      <c r="AJ30" s="63">
        <f t="shared" si="11"/>
        <v>1</v>
      </c>
      <c r="AK30" s="61">
        <v>1</v>
      </c>
      <c r="AL30" s="62">
        <f t="shared" si="12"/>
        <v>1</v>
      </c>
      <c r="AM30" s="62">
        <f t="shared" si="12"/>
        <v>1</v>
      </c>
      <c r="AN30" s="62">
        <f t="shared" si="12"/>
        <v>1</v>
      </c>
      <c r="AO30" s="62">
        <f t="shared" si="12"/>
        <v>1</v>
      </c>
      <c r="AP30" s="62">
        <f t="shared" si="12"/>
        <v>1</v>
      </c>
      <c r="AQ30" s="62">
        <f t="shared" si="12"/>
        <v>1</v>
      </c>
      <c r="AR30" s="63">
        <f t="shared" si="12"/>
        <v>1</v>
      </c>
      <c r="AS30" s="135"/>
      <c r="AT30" s="136"/>
      <c r="AU30" s="136"/>
      <c r="AV30" s="136"/>
      <c r="AW30" s="136"/>
      <c r="AX30" s="136"/>
      <c r="AY30" s="136"/>
      <c r="AZ30" s="137"/>
      <c r="BA30" s="37">
        <f t="shared" si="5"/>
        <v>32</v>
      </c>
      <c r="BB30" s="9">
        <f t="shared" si="6"/>
        <v>432</v>
      </c>
      <c r="BC30" s="10">
        <f t="shared" si="7"/>
        <v>95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382</v>
      </c>
      <c r="E31" s="61">
        <v>1</v>
      </c>
      <c r="F31" s="62">
        <f t="shared" si="13"/>
        <v>1</v>
      </c>
      <c r="G31" s="62">
        <f t="shared" si="13"/>
        <v>1</v>
      </c>
      <c r="H31" s="62">
        <f t="shared" si="13"/>
        <v>1</v>
      </c>
      <c r="I31" s="62">
        <f t="shared" si="13"/>
        <v>1</v>
      </c>
      <c r="J31" s="62">
        <f t="shared" si="13"/>
        <v>1</v>
      </c>
      <c r="K31" s="62">
        <f t="shared" si="13"/>
        <v>1</v>
      </c>
      <c r="L31" s="63">
        <f t="shared" si="13"/>
        <v>1</v>
      </c>
      <c r="M31" s="61">
        <v>1</v>
      </c>
      <c r="N31" s="62">
        <f t="shared" si="9"/>
        <v>1</v>
      </c>
      <c r="O31" s="62">
        <f t="shared" si="9"/>
        <v>1</v>
      </c>
      <c r="P31" s="62">
        <f t="shared" si="9"/>
        <v>1</v>
      </c>
      <c r="Q31" s="62">
        <f t="shared" si="9"/>
        <v>1</v>
      </c>
      <c r="R31" s="62">
        <f t="shared" si="9"/>
        <v>1</v>
      </c>
      <c r="S31" s="62">
        <f t="shared" si="9"/>
        <v>1</v>
      </c>
      <c r="T31" s="63">
        <f t="shared" si="9"/>
        <v>1</v>
      </c>
      <c r="U31" s="61">
        <v>1</v>
      </c>
      <c r="V31" s="62">
        <f t="shared" si="10"/>
        <v>1</v>
      </c>
      <c r="W31" s="62">
        <f t="shared" si="10"/>
        <v>1</v>
      </c>
      <c r="X31" s="62">
        <f t="shared" si="10"/>
        <v>1</v>
      </c>
      <c r="Y31" s="62">
        <f t="shared" si="10"/>
        <v>1</v>
      </c>
      <c r="Z31" s="62">
        <f t="shared" si="10"/>
        <v>1</v>
      </c>
      <c r="AA31" s="62">
        <f t="shared" si="10"/>
        <v>1</v>
      </c>
      <c r="AB31" s="63">
        <f t="shared" si="10"/>
        <v>1</v>
      </c>
      <c r="AC31" s="61">
        <v>1</v>
      </c>
      <c r="AD31" s="62">
        <f t="shared" si="11"/>
        <v>1</v>
      </c>
      <c r="AE31" s="62">
        <f t="shared" si="11"/>
        <v>1</v>
      </c>
      <c r="AF31" s="62">
        <f t="shared" si="11"/>
        <v>1</v>
      </c>
      <c r="AG31" s="62">
        <f t="shared" si="11"/>
        <v>1</v>
      </c>
      <c r="AH31" s="62">
        <f t="shared" si="11"/>
        <v>1</v>
      </c>
      <c r="AI31" s="62">
        <f t="shared" si="11"/>
        <v>1</v>
      </c>
      <c r="AJ31" s="63">
        <f t="shared" si="11"/>
        <v>1</v>
      </c>
      <c r="AK31" s="61">
        <v>1</v>
      </c>
      <c r="AL31" s="62">
        <f t="shared" si="12"/>
        <v>1</v>
      </c>
      <c r="AM31" s="62">
        <f t="shared" si="12"/>
        <v>1</v>
      </c>
      <c r="AN31" s="62">
        <f t="shared" si="12"/>
        <v>1</v>
      </c>
      <c r="AO31" s="62">
        <f t="shared" si="12"/>
        <v>1</v>
      </c>
      <c r="AP31" s="62">
        <f t="shared" si="12"/>
        <v>1</v>
      </c>
      <c r="AQ31" s="62">
        <f t="shared" si="12"/>
        <v>1</v>
      </c>
      <c r="AR31" s="63">
        <f t="shared" si="12"/>
        <v>1</v>
      </c>
      <c r="AS31" s="135"/>
      <c r="AT31" s="136"/>
      <c r="AU31" s="136"/>
      <c r="AV31" s="136"/>
      <c r="AW31" s="136"/>
      <c r="AX31" s="136"/>
      <c r="AY31" s="136"/>
      <c r="AZ31" s="137"/>
      <c r="BA31" s="37">
        <f t="shared" si="5"/>
        <v>40</v>
      </c>
      <c r="BB31" s="9">
        <f t="shared" si="6"/>
        <v>422</v>
      </c>
      <c r="BC31" s="10">
        <f t="shared" si="7"/>
        <v>93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365</v>
      </c>
      <c r="E32" s="61">
        <v>1</v>
      </c>
      <c r="F32" s="62">
        <f t="shared" si="13"/>
        <v>1</v>
      </c>
      <c r="G32" s="62">
        <f t="shared" si="13"/>
        <v>1</v>
      </c>
      <c r="H32" s="62">
        <f t="shared" si="13"/>
        <v>1</v>
      </c>
      <c r="I32" s="62">
        <f t="shared" si="13"/>
        <v>1</v>
      </c>
      <c r="J32" s="62">
        <f t="shared" si="13"/>
        <v>1</v>
      </c>
      <c r="K32" s="62">
        <f t="shared" si="13"/>
        <v>1</v>
      </c>
      <c r="L32" s="63">
        <f t="shared" si="13"/>
        <v>1</v>
      </c>
      <c r="M32" s="61">
        <v>1</v>
      </c>
      <c r="N32" s="62">
        <f t="shared" si="9"/>
        <v>1</v>
      </c>
      <c r="O32" s="62">
        <f t="shared" si="9"/>
        <v>1</v>
      </c>
      <c r="P32" s="62">
        <f t="shared" si="9"/>
        <v>1</v>
      </c>
      <c r="Q32" s="62">
        <f t="shared" si="9"/>
        <v>1</v>
      </c>
      <c r="R32" s="62">
        <f t="shared" si="9"/>
        <v>1</v>
      </c>
      <c r="S32" s="62">
        <f t="shared" si="9"/>
        <v>1</v>
      </c>
      <c r="T32" s="63">
        <f t="shared" si="9"/>
        <v>1</v>
      </c>
      <c r="U32" s="61">
        <v>1</v>
      </c>
      <c r="V32" s="62">
        <f t="shared" si="10"/>
        <v>1</v>
      </c>
      <c r="W32" s="62">
        <f t="shared" si="10"/>
        <v>1</v>
      </c>
      <c r="X32" s="62">
        <f t="shared" si="10"/>
        <v>1</v>
      </c>
      <c r="Y32" s="62">
        <f t="shared" si="10"/>
        <v>1</v>
      </c>
      <c r="Z32" s="62">
        <f t="shared" si="10"/>
        <v>1</v>
      </c>
      <c r="AA32" s="62">
        <f t="shared" si="10"/>
        <v>1</v>
      </c>
      <c r="AB32" s="63">
        <f t="shared" si="10"/>
        <v>1</v>
      </c>
      <c r="AC32" s="61">
        <v>1</v>
      </c>
      <c r="AD32" s="62">
        <f t="shared" si="11"/>
        <v>1</v>
      </c>
      <c r="AE32" s="62">
        <f t="shared" si="11"/>
        <v>1</v>
      </c>
      <c r="AF32" s="62">
        <f t="shared" si="11"/>
        <v>1</v>
      </c>
      <c r="AG32" s="62">
        <f t="shared" si="11"/>
        <v>1</v>
      </c>
      <c r="AH32" s="62">
        <f t="shared" si="11"/>
        <v>1</v>
      </c>
      <c r="AI32" s="62">
        <f t="shared" si="11"/>
        <v>1</v>
      </c>
      <c r="AJ32" s="63">
        <f t="shared" si="11"/>
        <v>1</v>
      </c>
      <c r="AK32" s="61">
        <v>1</v>
      </c>
      <c r="AL32" s="62">
        <f t="shared" si="12"/>
        <v>1</v>
      </c>
      <c r="AM32" s="62">
        <f t="shared" si="12"/>
        <v>1</v>
      </c>
      <c r="AN32" s="62">
        <f t="shared" si="12"/>
        <v>1</v>
      </c>
      <c r="AO32" s="62">
        <f t="shared" si="12"/>
        <v>1</v>
      </c>
      <c r="AP32" s="62">
        <f t="shared" si="12"/>
        <v>1</v>
      </c>
      <c r="AQ32" s="62">
        <f t="shared" si="12"/>
        <v>1</v>
      </c>
      <c r="AR32" s="63">
        <f t="shared" si="12"/>
        <v>1</v>
      </c>
      <c r="AS32" s="135"/>
      <c r="AT32" s="136"/>
      <c r="AU32" s="136"/>
      <c r="AV32" s="136"/>
      <c r="AW32" s="136"/>
      <c r="AX32" s="136"/>
      <c r="AY32" s="136"/>
      <c r="AZ32" s="137"/>
      <c r="BA32" s="37">
        <f t="shared" si="5"/>
        <v>40</v>
      </c>
      <c r="BB32" s="9">
        <f t="shared" si="6"/>
        <v>405</v>
      </c>
      <c r="BC32" s="10">
        <f t="shared" si="7"/>
        <v>89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392</v>
      </c>
      <c r="E33" s="61" t="s">
        <v>124</v>
      </c>
      <c r="F33" s="62" t="str">
        <f t="shared" si="13"/>
        <v>a</v>
      </c>
      <c r="G33" s="62" t="str">
        <f t="shared" si="13"/>
        <v>a</v>
      </c>
      <c r="H33" s="62" t="str">
        <f t="shared" si="13"/>
        <v>a</v>
      </c>
      <c r="I33" s="62" t="str">
        <f t="shared" si="13"/>
        <v>a</v>
      </c>
      <c r="J33" s="62" t="str">
        <f t="shared" si="13"/>
        <v>a</v>
      </c>
      <c r="K33" s="62" t="str">
        <f t="shared" si="13"/>
        <v>a</v>
      </c>
      <c r="L33" s="63" t="str">
        <f t="shared" si="13"/>
        <v>a</v>
      </c>
      <c r="M33" s="61">
        <v>1</v>
      </c>
      <c r="N33" s="62">
        <f t="shared" si="9"/>
        <v>1</v>
      </c>
      <c r="O33" s="62">
        <f t="shared" si="9"/>
        <v>1</v>
      </c>
      <c r="P33" s="62">
        <f t="shared" si="9"/>
        <v>1</v>
      </c>
      <c r="Q33" s="62">
        <f t="shared" si="9"/>
        <v>1</v>
      </c>
      <c r="R33" s="62">
        <f t="shared" si="9"/>
        <v>1</v>
      </c>
      <c r="S33" s="62">
        <f t="shared" si="9"/>
        <v>1</v>
      </c>
      <c r="T33" s="63">
        <f t="shared" si="9"/>
        <v>1</v>
      </c>
      <c r="U33" s="61">
        <v>1</v>
      </c>
      <c r="V33" s="62">
        <f t="shared" si="10"/>
        <v>1</v>
      </c>
      <c r="W33" s="62">
        <f t="shared" si="10"/>
        <v>1</v>
      </c>
      <c r="X33" s="62">
        <f t="shared" si="10"/>
        <v>1</v>
      </c>
      <c r="Y33" s="62">
        <f t="shared" si="10"/>
        <v>1</v>
      </c>
      <c r="Z33" s="62">
        <f t="shared" si="10"/>
        <v>1</v>
      </c>
      <c r="AA33" s="62">
        <f t="shared" si="10"/>
        <v>1</v>
      </c>
      <c r="AB33" s="63">
        <f t="shared" si="10"/>
        <v>1</v>
      </c>
      <c r="AC33" s="61">
        <v>1</v>
      </c>
      <c r="AD33" s="62">
        <f t="shared" si="11"/>
        <v>1</v>
      </c>
      <c r="AE33" s="62">
        <f t="shared" si="11"/>
        <v>1</v>
      </c>
      <c r="AF33" s="62">
        <f t="shared" si="11"/>
        <v>1</v>
      </c>
      <c r="AG33" s="62">
        <f t="shared" si="11"/>
        <v>1</v>
      </c>
      <c r="AH33" s="62">
        <f t="shared" si="11"/>
        <v>1</v>
      </c>
      <c r="AI33" s="62">
        <f t="shared" si="11"/>
        <v>1</v>
      </c>
      <c r="AJ33" s="63">
        <f t="shared" si="11"/>
        <v>1</v>
      </c>
      <c r="AK33" s="61">
        <v>1</v>
      </c>
      <c r="AL33" s="62">
        <f t="shared" si="12"/>
        <v>1</v>
      </c>
      <c r="AM33" s="62">
        <f t="shared" si="12"/>
        <v>1</v>
      </c>
      <c r="AN33" s="62">
        <f t="shared" si="12"/>
        <v>1</v>
      </c>
      <c r="AO33" s="62">
        <f t="shared" si="12"/>
        <v>1</v>
      </c>
      <c r="AP33" s="62">
        <f t="shared" si="12"/>
        <v>1</v>
      </c>
      <c r="AQ33" s="62">
        <f t="shared" si="12"/>
        <v>1</v>
      </c>
      <c r="AR33" s="63">
        <f t="shared" si="12"/>
        <v>1</v>
      </c>
      <c r="AS33" s="135"/>
      <c r="AT33" s="136"/>
      <c r="AU33" s="136"/>
      <c r="AV33" s="136"/>
      <c r="AW33" s="136"/>
      <c r="AX33" s="136"/>
      <c r="AY33" s="136"/>
      <c r="AZ33" s="137"/>
      <c r="BA33" s="37">
        <f t="shared" si="5"/>
        <v>32</v>
      </c>
      <c r="BB33" s="9">
        <f t="shared" si="6"/>
        <v>424</v>
      </c>
      <c r="BC33" s="10">
        <f t="shared" si="7"/>
        <v>93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359</v>
      </c>
      <c r="E34" s="61">
        <v>1</v>
      </c>
      <c r="F34" s="62">
        <f t="shared" si="13"/>
        <v>1</v>
      </c>
      <c r="G34" s="62">
        <f t="shared" si="13"/>
        <v>1</v>
      </c>
      <c r="H34" s="62">
        <f t="shared" si="13"/>
        <v>1</v>
      </c>
      <c r="I34" s="62">
        <f t="shared" si="13"/>
        <v>1</v>
      </c>
      <c r="J34" s="62">
        <f t="shared" si="13"/>
        <v>1</v>
      </c>
      <c r="K34" s="62">
        <f t="shared" si="13"/>
        <v>1</v>
      </c>
      <c r="L34" s="63">
        <f t="shared" si="13"/>
        <v>1</v>
      </c>
      <c r="M34" s="61">
        <v>1</v>
      </c>
      <c r="N34" s="62">
        <f t="shared" si="9"/>
        <v>1</v>
      </c>
      <c r="O34" s="62">
        <f t="shared" si="9"/>
        <v>1</v>
      </c>
      <c r="P34" s="62">
        <f t="shared" si="9"/>
        <v>1</v>
      </c>
      <c r="Q34" s="62">
        <f t="shared" si="9"/>
        <v>1</v>
      </c>
      <c r="R34" s="62">
        <f t="shared" si="9"/>
        <v>1</v>
      </c>
      <c r="S34" s="62">
        <f t="shared" si="9"/>
        <v>1</v>
      </c>
      <c r="T34" s="63">
        <f t="shared" si="9"/>
        <v>1</v>
      </c>
      <c r="U34" s="61" t="s">
        <v>124</v>
      </c>
      <c r="V34" s="62" t="str">
        <f t="shared" si="10"/>
        <v>a</v>
      </c>
      <c r="W34" s="62" t="str">
        <f t="shared" si="10"/>
        <v>a</v>
      </c>
      <c r="X34" s="62" t="str">
        <f t="shared" si="10"/>
        <v>a</v>
      </c>
      <c r="Y34" s="62" t="str">
        <f t="shared" si="10"/>
        <v>a</v>
      </c>
      <c r="Z34" s="62" t="str">
        <f t="shared" si="10"/>
        <v>a</v>
      </c>
      <c r="AA34" s="62" t="str">
        <f t="shared" si="10"/>
        <v>a</v>
      </c>
      <c r="AB34" s="63" t="str">
        <f t="shared" si="10"/>
        <v>a</v>
      </c>
      <c r="AC34" s="61">
        <v>1</v>
      </c>
      <c r="AD34" s="62">
        <f t="shared" si="11"/>
        <v>1</v>
      </c>
      <c r="AE34" s="62">
        <f t="shared" si="11"/>
        <v>1</v>
      </c>
      <c r="AF34" s="62">
        <f t="shared" si="11"/>
        <v>1</v>
      </c>
      <c r="AG34" s="62">
        <f t="shared" si="11"/>
        <v>1</v>
      </c>
      <c r="AH34" s="62">
        <f t="shared" si="11"/>
        <v>1</v>
      </c>
      <c r="AI34" s="62">
        <f t="shared" si="11"/>
        <v>1</v>
      </c>
      <c r="AJ34" s="63">
        <f t="shared" si="11"/>
        <v>1</v>
      </c>
      <c r="AK34" s="61">
        <v>1</v>
      </c>
      <c r="AL34" s="62">
        <f t="shared" si="12"/>
        <v>1</v>
      </c>
      <c r="AM34" s="62">
        <f t="shared" si="12"/>
        <v>1</v>
      </c>
      <c r="AN34" s="62">
        <f t="shared" si="12"/>
        <v>1</v>
      </c>
      <c r="AO34" s="62">
        <f t="shared" si="12"/>
        <v>1</v>
      </c>
      <c r="AP34" s="62">
        <f t="shared" si="12"/>
        <v>1</v>
      </c>
      <c r="AQ34" s="62">
        <f t="shared" si="12"/>
        <v>1</v>
      </c>
      <c r="AR34" s="63">
        <f t="shared" si="12"/>
        <v>1</v>
      </c>
      <c r="AS34" s="135"/>
      <c r="AT34" s="136"/>
      <c r="AU34" s="136"/>
      <c r="AV34" s="136"/>
      <c r="AW34" s="136"/>
      <c r="AX34" s="136"/>
      <c r="AY34" s="136"/>
      <c r="AZ34" s="137"/>
      <c r="BA34" s="37">
        <f t="shared" si="5"/>
        <v>32</v>
      </c>
      <c r="BB34" s="9">
        <f t="shared" si="6"/>
        <v>391</v>
      </c>
      <c r="BC34" s="10">
        <f t="shared" si="7"/>
        <v>86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414</v>
      </c>
      <c r="E35" s="61">
        <v>1</v>
      </c>
      <c r="F35" s="62">
        <f t="shared" si="13"/>
        <v>1</v>
      </c>
      <c r="G35" s="62">
        <f t="shared" si="13"/>
        <v>1</v>
      </c>
      <c r="H35" s="62">
        <f t="shared" si="13"/>
        <v>1</v>
      </c>
      <c r="I35" s="62">
        <f t="shared" si="13"/>
        <v>1</v>
      </c>
      <c r="J35" s="62">
        <f t="shared" si="13"/>
        <v>1</v>
      </c>
      <c r="K35" s="62">
        <f t="shared" si="13"/>
        <v>1</v>
      </c>
      <c r="L35" s="63">
        <f t="shared" si="13"/>
        <v>1</v>
      </c>
      <c r="M35" s="61">
        <v>1</v>
      </c>
      <c r="N35" s="62">
        <f t="shared" si="9"/>
        <v>1</v>
      </c>
      <c r="O35" s="62">
        <f t="shared" si="9"/>
        <v>1</v>
      </c>
      <c r="P35" s="62">
        <f t="shared" si="9"/>
        <v>1</v>
      </c>
      <c r="Q35" s="62">
        <f t="shared" si="9"/>
        <v>1</v>
      </c>
      <c r="R35" s="62">
        <f t="shared" si="9"/>
        <v>1</v>
      </c>
      <c r="S35" s="62">
        <f t="shared" si="9"/>
        <v>1</v>
      </c>
      <c r="T35" s="63">
        <f t="shared" si="9"/>
        <v>1</v>
      </c>
      <c r="U35" s="61">
        <v>1</v>
      </c>
      <c r="V35" s="62">
        <f t="shared" si="10"/>
        <v>1</v>
      </c>
      <c r="W35" s="62">
        <f t="shared" si="10"/>
        <v>1</v>
      </c>
      <c r="X35" s="62">
        <f t="shared" si="10"/>
        <v>1</v>
      </c>
      <c r="Y35" s="62">
        <f t="shared" si="10"/>
        <v>1</v>
      </c>
      <c r="Z35" s="62">
        <f t="shared" si="10"/>
        <v>1</v>
      </c>
      <c r="AA35" s="62">
        <f t="shared" si="10"/>
        <v>1</v>
      </c>
      <c r="AB35" s="63">
        <f t="shared" si="10"/>
        <v>1</v>
      </c>
      <c r="AC35" s="61">
        <v>1</v>
      </c>
      <c r="AD35" s="62">
        <f t="shared" si="11"/>
        <v>1</v>
      </c>
      <c r="AE35" s="62">
        <f t="shared" si="11"/>
        <v>1</v>
      </c>
      <c r="AF35" s="62">
        <f t="shared" si="11"/>
        <v>1</v>
      </c>
      <c r="AG35" s="62">
        <f t="shared" si="11"/>
        <v>1</v>
      </c>
      <c r="AH35" s="62">
        <f t="shared" si="11"/>
        <v>1</v>
      </c>
      <c r="AI35" s="62">
        <f t="shared" si="11"/>
        <v>1</v>
      </c>
      <c r="AJ35" s="63">
        <f t="shared" si="11"/>
        <v>1</v>
      </c>
      <c r="AK35" s="61">
        <v>1</v>
      </c>
      <c r="AL35" s="62">
        <f t="shared" si="12"/>
        <v>1</v>
      </c>
      <c r="AM35" s="62">
        <f t="shared" si="12"/>
        <v>1</v>
      </c>
      <c r="AN35" s="62">
        <f t="shared" si="12"/>
        <v>1</v>
      </c>
      <c r="AO35" s="62">
        <f t="shared" si="12"/>
        <v>1</v>
      </c>
      <c r="AP35" s="62">
        <f t="shared" si="12"/>
        <v>1</v>
      </c>
      <c r="AQ35" s="62">
        <f t="shared" si="12"/>
        <v>1</v>
      </c>
      <c r="AR35" s="63">
        <f t="shared" si="12"/>
        <v>1</v>
      </c>
      <c r="AS35" s="135"/>
      <c r="AT35" s="136"/>
      <c r="AU35" s="136"/>
      <c r="AV35" s="136"/>
      <c r="AW35" s="136"/>
      <c r="AX35" s="136"/>
      <c r="AY35" s="136"/>
      <c r="AZ35" s="137"/>
      <c r="BA35" s="37">
        <f t="shared" si="5"/>
        <v>40</v>
      </c>
      <c r="BB35" s="9">
        <f t="shared" si="6"/>
        <v>454</v>
      </c>
      <c r="BC35" s="10">
        <f t="shared" si="7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353</v>
      </c>
      <c r="E36" s="61">
        <v>1</v>
      </c>
      <c r="F36" s="62">
        <f t="shared" si="13"/>
        <v>1</v>
      </c>
      <c r="G36" s="62">
        <f t="shared" si="13"/>
        <v>1</v>
      </c>
      <c r="H36" s="62">
        <f t="shared" si="13"/>
        <v>1</v>
      </c>
      <c r="I36" s="62">
        <f t="shared" si="13"/>
        <v>1</v>
      </c>
      <c r="J36" s="62">
        <f t="shared" si="13"/>
        <v>1</v>
      </c>
      <c r="K36" s="62">
        <f t="shared" si="13"/>
        <v>1</v>
      </c>
      <c r="L36" s="63">
        <f t="shared" si="13"/>
        <v>1</v>
      </c>
      <c r="M36" s="61">
        <v>1</v>
      </c>
      <c r="N36" s="62">
        <f t="shared" si="9"/>
        <v>1</v>
      </c>
      <c r="O36" s="62">
        <f t="shared" si="9"/>
        <v>1</v>
      </c>
      <c r="P36" s="62">
        <f t="shared" si="9"/>
        <v>1</v>
      </c>
      <c r="Q36" s="62">
        <f t="shared" si="9"/>
        <v>1</v>
      </c>
      <c r="R36" s="62">
        <f t="shared" si="9"/>
        <v>1</v>
      </c>
      <c r="S36" s="62">
        <f t="shared" si="9"/>
        <v>1</v>
      </c>
      <c r="T36" s="63">
        <f t="shared" si="9"/>
        <v>1</v>
      </c>
      <c r="U36" s="61">
        <v>1</v>
      </c>
      <c r="V36" s="62">
        <f t="shared" si="10"/>
        <v>1</v>
      </c>
      <c r="W36" s="62">
        <f t="shared" si="10"/>
        <v>1</v>
      </c>
      <c r="X36" s="62">
        <f t="shared" si="10"/>
        <v>1</v>
      </c>
      <c r="Y36" s="62">
        <f t="shared" si="10"/>
        <v>1</v>
      </c>
      <c r="Z36" s="62">
        <f t="shared" si="10"/>
        <v>1</v>
      </c>
      <c r="AA36" s="62">
        <f t="shared" si="10"/>
        <v>1</v>
      </c>
      <c r="AB36" s="63">
        <f t="shared" si="10"/>
        <v>1</v>
      </c>
      <c r="AC36" s="61">
        <v>1</v>
      </c>
      <c r="AD36" s="62">
        <f t="shared" si="11"/>
        <v>1</v>
      </c>
      <c r="AE36" s="62">
        <f t="shared" si="11"/>
        <v>1</v>
      </c>
      <c r="AF36" s="62">
        <f t="shared" si="11"/>
        <v>1</v>
      </c>
      <c r="AG36" s="62">
        <f t="shared" si="11"/>
        <v>1</v>
      </c>
      <c r="AH36" s="62">
        <f t="shared" si="11"/>
        <v>1</v>
      </c>
      <c r="AI36" s="62">
        <f t="shared" si="11"/>
        <v>1</v>
      </c>
      <c r="AJ36" s="63">
        <f t="shared" si="11"/>
        <v>1</v>
      </c>
      <c r="AK36" s="61">
        <v>1</v>
      </c>
      <c r="AL36" s="62">
        <f t="shared" si="12"/>
        <v>1</v>
      </c>
      <c r="AM36" s="62">
        <f t="shared" si="12"/>
        <v>1</v>
      </c>
      <c r="AN36" s="62">
        <f t="shared" si="12"/>
        <v>1</v>
      </c>
      <c r="AO36" s="62">
        <f t="shared" si="12"/>
        <v>1</v>
      </c>
      <c r="AP36" s="62">
        <f t="shared" si="12"/>
        <v>1</v>
      </c>
      <c r="AQ36" s="62">
        <f t="shared" si="12"/>
        <v>1</v>
      </c>
      <c r="AR36" s="63">
        <f t="shared" si="12"/>
        <v>1</v>
      </c>
      <c r="AS36" s="135"/>
      <c r="AT36" s="136"/>
      <c r="AU36" s="136"/>
      <c r="AV36" s="136"/>
      <c r="AW36" s="136"/>
      <c r="AX36" s="136"/>
      <c r="AY36" s="136"/>
      <c r="AZ36" s="137"/>
      <c r="BA36" s="37">
        <f t="shared" si="5"/>
        <v>40</v>
      </c>
      <c r="BB36" s="9">
        <f t="shared" si="6"/>
        <v>393</v>
      </c>
      <c r="BC36" s="10">
        <f t="shared" si="7"/>
        <v>87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414</v>
      </c>
      <c r="E37" s="61">
        <v>1</v>
      </c>
      <c r="F37" s="62">
        <f t="shared" si="13"/>
        <v>1</v>
      </c>
      <c r="G37" s="62">
        <f t="shared" si="13"/>
        <v>1</v>
      </c>
      <c r="H37" s="62">
        <f t="shared" si="13"/>
        <v>1</v>
      </c>
      <c r="I37" s="62">
        <f t="shared" si="13"/>
        <v>1</v>
      </c>
      <c r="J37" s="62">
        <f t="shared" si="13"/>
        <v>1</v>
      </c>
      <c r="K37" s="62">
        <f t="shared" si="13"/>
        <v>1</v>
      </c>
      <c r="L37" s="63">
        <f t="shared" si="13"/>
        <v>1</v>
      </c>
      <c r="M37" s="61">
        <v>1</v>
      </c>
      <c r="N37" s="62">
        <f t="shared" si="9"/>
        <v>1</v>
      </c>
      <c r="O37" s="62">
        <f t="shared" si="9"/>
        <v>1</v>
      </c>
      <c r="P37" s="62">
        <f t="shared" si="9"/>
        <v>1</v>
      </c>
      <c r="Q37" s="62">
        <f t="shared" si="9"/>
        <v>1</v>
      </c>
      <c r="R37" s="62">
        <f t="shared" si="9"/>
        <v>1</v>
      </c>
      <c r="S37" s="62">
        <f t="shared" si="9"/>
        <v>1</v>
      </c>
      <c r="T37" s="63">
        <f t="shared" si="9"/>
        <v>1</v>
      </c>
      <c r="U37" s="61">
        <v>1</v>
      </c>
      <c r="V37" s="62">
        <f t="shared" si="10"/>
        <v>1</v>
      </c>
      <c r="W37" s="62">
        <f t="shared" si="10"/>
        <v>1</v>
      </c>
      <c r="X37" s="62">
        <f t="shared" si="10"/>
        <v>1</v>
      </c>
      <c r="Y37" s="62">
        <f t="shared" si="10"/>
        <v>1</v>
      </c>
      <c r="Z37" s="62">
        <f t="shared" si="10"/>
        <v>1</v>
      </c>
      <c r="AA37" s="62">
        <f t="shared" si="10"/>
        <v>1</v>
      </c>
      <c r="AB37" s="63">
        <f t="shared" si="10"/>
        <v>1</v>
      </c>
      <c r="AC37" s="61">
        <v>1</v>
      </c>
      <c r="AD37" s="62">
        <f t="shared" si="11"/>
        <v>1</v>
      </c>
      <c r="AE37" s="62">
        <f t="shared" si="11"/>
        <v>1</v>
      </c>
      <c r="AF37" s="62">
        <f t="shared" si="11"/>
        <v>1</v>
      </c>
      <c r="AG37" s="62">
        <f t="shared" si="11"/>
        <v>1</v>
      </c>
      <c r="AH37" s="62">
        <f t="shared" si="11"/>
        <v>1</v>
      </c>
      <c r="AI37" s="62">
        <f t="shared" si="11"/>
        <v>1</v>
      </c>
      <c r="AJ37" s="63">
        <f t="shared" si="11"/>
        <v>1</v>
      </c>
      <c r="AK37" s="61">
        <v>1</v>
      </c>
      <c r="AL37" s="62">
        <f t="shared" si="12"/>
        <v>1</v>
      </c>
      <c r="AM37" s="62">
        <f t="shared" si="12"/>
        <v>1</v>
      </c>
      <c r="AN37" s="62">
        <f t="shared" si="12"/>
        <v>1</v>
      </c>
      <c r="AO37" s="62">
        <f t="shared" si="12"/>
        <v>1</v>
      </c>
      <c r="AP37" s="62">
        <f t="shared" si="12"/>
        <v>1</v>
      </c>
      <c r="AQ37" s="62">
        <f t="shared" si="12"/>
        <v>1</v>
      </c>
      <c r="AR37" s="63">
        <f t="shared" si="12"/>
        <v>1</v>
      </c>
      <c r="AS37" s="135"/>
      <c r="AT37" s="136"/>
      <c r="AU37" s="136"/>
      <c r="AV37" s="136"/>
      <c r="AW37" s="136"/>
      <c r="AX37" s="136"/>
      <c r="AY37" s="136"/>
      <c r="AZ37" s="137"/>
      <c r="BA37" s="38">
        <f t="shared" si="5"/>
        <v>40</v>
      </c>
      <c r="BB37" s="9">
        <f t="shared" si="6"/>
        <v>454</v>
      </c>
      <c r="BC37" s="10">
        <f t="shared" si="7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358</v>
      </c>
      <c r="E38" s="61">
        <v>1</v>
      </c>
      <c r="F38" s="62">
        <f t="shared" si="13"/>
        <v>1</v>
      </c>
      <c r="G38" s="62">
        <f t="shared" si="13"/>
        <v>1</v>
      </c>
      <c r="H38" s="62">
        <f t="shared" si="13"/>
        <v>1</v>
      </c>
      <c r="I38" s="62">
        <f t="shared" si="13"/>
        <v>1</v>
      </c>
      <c r="J38" s="62">
        <f t="shared" si="13"/>
        <v>1</v>
      </c>
      <c r="K38" s="62">
        <f t="shared" si="13"/>
        <v>1</v>
      </c>
      <c r="L38" s="63">
        <f t="shared" si="13"/>
        <v>1</v>
      </c>
      <c r="M38" s="61">
        <v>1</v>
      </c>
      <c r="N38" s="62">
        <f t="shared" si="9"/>
        <v>1</v>
      </c>
      <c r="O38" s="62">
        <f t="shared" si="9"/>
        <v>1</v>
      </c>
      <c r="P38" s="62">
        <f t="shared" si="9"/>
        <v>1</v>
      </c>
      <c r="Q38" s="62">
        <f t="shared" si="9"/>
        <v>1</v>
      </c>
      <c r="R38" s="62">
        <f t="shared" si="9"/>
        <v>1</v>
      </c>
      <c r="S38" s="62">
        <f t="shared" si="9"/>
        <v>1</v>
      </c>
      <c r="T38" s="63">
        <f t="shared" si="9"/>
        <v>1</v>
      </c>
      <c r="U38" s="61" t="s">
        <v>124</v>
      </c>
      <c r="V38" s="62" t="str">
        <f t="shared" si="10"/>
        <v>a</v>
      </c>
      <c r="W38" s="62" t="str">
        <f t="shared" si="10"/>
        <v>a</v>
      </c>
      <c r="X38" s="62" t="str">
        <f t="shared" si="10"/>
        <v>a</v>
      </c>
      <c r="Y38" s="62" t="str">
        <f t="shared" si="10"/>
        <v>a</v>
      </c>
      <c r="Z38" s="62" t="str">
        <f t="shared" si="10"/>
        <v>a</v>
      </c>
      <c r="AA38" s="62" t="str">
        <f t="shared" si="10"/>
        <v>a</v>
      </c>
      <c r="AB38" s="63" t="str">
        <f t="shared" si="10"/>
        <v>a</v>
      </c>
      <c r="AC38" s="61">
        <v>1</v>
      </c>
      <c r="AD38" s="62">
        <f t="shared" si="11"/>
        <v>1</v>
      </c>
      <c r="AE38" s="62">
        <f t="shared" si="11"/>
        <v>1</v>
      </c>
      <c r="AF38" s="62">
        <f t="shared" si="11"/>
        <v>1</v>
      </c>
      <c r="AG38" s="62">
        <f t="shared" si="11"/>
        <v>1</v>
      </c>
      <c r="AH38" s="62">
        <f t="shared" si="11"/>
        <v>1</v>
      </c>
      <c r="AI38" s="62">
        <f t="shared" si="11"/>
        <v>1</v>
      </c>
      <c r="AJ38" s="63">
        <f t="shared" si="11"/>
        <v>1</v>
      </c>
      <c r="AK38" s="61">
        <v>1</v>
      </c>
      <c r="AL38" s="62">
        <f t="shared" si="12"/>
        <v>1</v>
      </c>
      <c r="AM38" s="62">
        <f t="shared" si="12"/>
        <v>1</v>
      </c>
      <c r="AN38" s="62">
        <f t="shared" si="12"/>
        <v>1</v>
      </c>
      <c r="AO38" s="62">
        <f t="shared" si="12"/>
        <v>1</v>
      </c>
      <c r="AP38" s="62">
        <f t="shared" si="12"/>
        <v>1</v>
      </c>
      <c r="AQ38" s="62">
        <f t="shared" si="12"/>
        <v>1</v>
      </c>
      <c r="AR38" s="63">
        <f t="shared" si="12"/>
        <v>1</v>
      </c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32</v>
      </c>
      <c r="BB38" s="9">
        <f t="shared" si="6"/>
        <v>390</v>
      </c>
      <c r="BC38" s="10">
        <f t="shared" si="7"/>
        <v>86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358</v>
      </c>
      <c r="E39" s="61">
        <v>1</v>
      </c>
      <c r="F39" s="62">
        <f t="shared" si="13"/>
        <v>1</v>
      </c>
      <c r="G39" s="62">
        <f t="shared" si="13"/>
        <v>1</v>
      </c>
      <c r="H39" s="62">
        <f t="shared" si="13"/>
        <v>1</v>
      </c>
      <c r="I39" s="62">
        <f t="shared" si="13"/>
        <v>1</v>
      </c>
      <c r="J39" s="62">
        <f t="shared" si="13"/>
        <v>1</v>
      </c>
      <c r="K39" s="62">
        <f t="shared" si="13"/>
        <v>1</v>
      </c>
      <c r="L39" s="63">
        <f t="shared" si="13"/>
        <v>1</v>
      </c>
      <c r="M39" s="61">
        <v>1</v>
      </c>
      <c r="N39" s="62">
        <f t="shared" si="9"/>
        <v>1</v>
      </c>
      <c r="O39" s="62">
        <f t="shared" si="9"/>
        <v>1</v>
      </c>
      <c r="P39" s="62">
        <f t="shared" si="9"/>
        <v>1</v>
      </c>
      <c r="Q39" s="62">
        <f t="shared" si="9"/>
        <v>1</v>
      </c>
      <c r="R39" s="62">
        <f t="shared" si="9"/>
        <v>1</v>
      </c>
      <c r="S39" s="62">
        <f t="shared" si="9"/>
        <v>1</v>
      </c>
      <c r="T39" s="63">
        <f t="shared" si="9"/>
        <v>1</v>
      </c>
      <c r="U39" s="61" t="s">
        <v>124</v>
      </c>
      <c r="V39" s="62" t="str">
        <f t="shared" si="10"/>
        <v>a</v>
      </c>
      <c r="W39" s="62" t="str">
        <f t="shared" si="10"/>
        <v>a</v>
      </c>
      <c r="X39" s="62" t="str">
        <f t="shared" si="10"/>
        <v>a</v>
      </c>
      <c r="Y39" s="62" t="str">
        <f t="shared" si="10"/>
        <v>a</v>
      </c>
      <c r="Z39" s="62" t="str">
        <f t="shared" si="10"/>
        <v>a</v>
      </c>
      <c r="AA39" s="62" t="str">
        <f t="shared" si="10"/>
        <v>a</v>
      </c>
      <c r="AB39" s="63" t="str">
        <f t="shared" si="10"/>
        <v>a</v>
      </c>
      <c r="AC39" s="61">
        <v>1</v>
      </c>
      <c r="AD39" s="62">
        <f t="shared" si="11"/>
        <v>1</v>
      </c>
      <c r="AE39" s="62">
        <f t="shared" si="11"/>
        <v>1</v>
      </c>
      <c r="AF39" s="62">
        <f t="shared" si="11"/>
        <v>1</v>
      </c>
      <c r="AG39" s="62">
        <f t="shared" si="11"/>
        <v>1</v>
      </c>
      <c r="AH39" s="62">
        <f t="shared" si="11"/>
        <v>1</v>
      </c>
      <c r="AI39" s="62">
        <f t="shared" si="11"/>
        <v>1</v>
      </c>
      <c r="AJ39" s="63">
        <f t="shared" si="11"/>
        <v>1</v>
      </c>
      <c r="AK39" s="61">
        <v>1</v>
      </c>
      <c r="AL39" s="62">
        <f t="shared" si="12"/>
        <v>1</v>
      </c>
      <c r="AM39" s="62">
        <f t="shared" si="12"/>
        <v>1</v>
      </c>
      <c r="AN39" s="62">
        <f t="shared" si="12"/>
        <v>1</v>
      </c>
      <c r="AO39" s="62">
        <f t="shared" si="12"/>
        <v>1</v>
      </c>
      <c r="AP39" s="62">
        <f t="shared" si="12"/>
        <v>1</v>
      </c>
      <c r="AQ39" s="62">
        <f t="shared" si="12"/>
        <v>1</v>
      </c>
      <c r="AR39" s="63">
        <f t="shared" si="12"/>
        <v>1</v>
      </c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4">SUM(E39:AZ39)</f>
        <v>32</v>
      </c>
      <c r="BB39" s="9">
        <f t="shared" si="6"/>
        <v>390</v>
      </c>
      <c r="BC39" s="10">
        <f t="shared" si="7"/>
        <v>86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328</v>
      </c>
      <c r="E40" s="61">
        <v>1</v>
      </c>
      <c r="F40" s="62">
        <f t="shared" si="13"/>
        <v>1</v>
      </c>
      <c r="G40" s="62">
        <f t="shared" si="13"/>
        <v>1</v>
      </c>
      <c r="H40" s="62">
        <f t="shared" si="13"/>
        <v>1</v>
      </c>
      <c r="I40" s="62">
        <f t="shared" si="13"/>
        <v>1</v>
      </c>
      <c r="J40" s="62">
        <f t="shared" si="13"/>
        <v>1</v>
      </c>
      <c r="K40" s="62">
        <f t="shared" si="13"/>
        <v>1</v>
      </c>
      <c r="L40" s="63">
        <f t="shared" si="13"/>
        <v>1</v>
      </c>
      <c r="M40" s="61">
        <v>1</v>
      </c>
      <c r="N40" s="62">
        <f t="shared" si="9"/>
        <v>1</v>
      </c>
      <c r="O40" s="62">
        <f t="shared" si="9"/>
        <v>1</v>
      </c>
      <c r="P40" s="62">
        <f t="shared" si="9"/>
        <v>1</v>
      </c>
      <c r="Q40" s="62">
        <f t="shared" si="9"/>
        <v>1</v>
      </c>
      <c r="R40" s="62">
        <f t="shared" si="9"/>
        <v>1</v>
      </c>
      <c r="S40" s="62">
        <f t="shared" si="9"/>
        <v>1</v>
      </c>
      <c r="T40" s="63">
        <f t="shared" si="9"/>
        <v>1</v>
      </c>
      <c r="U40" s="61">
        <v>1</v>
      </c>
      <c r="V40" s="62">
        <f t="shared" si="10"/>
        <v>1</v>
      </c>
      <c r="W40" s="62">
        <f t="shared" si="10"/>
        <v>1</v>
      </c>
      <c r="X40" s="62">
        <f t="shared" si="10"/>
        <v>1</v>
      </c>
      <c r="Y40" s="62">
        <f t="shared" si="10"/>
        <v>1</v>
      </c>
      <c r="Z40" s="62">
        <f t="shared" si="10"/>
        <v>1</v>
      </c>
      <c r="AA40" s="62">
        <f t="shared" si="10"/>
        <v>1</v>
      </c>
      <c r="AB40" s="63">
        <f t="shared" si="10"/>
        <v>1</v>
      </c>
      <c r="AC40" s="61">
        <v>1</v>
      </c>
      <c r="AD40" s="62">
        <f t="shared" si="11"/>
        <v>1</v>
      </c>
      <c r="AE40" s="62">
        <f t="shared" si="11"/>
        <v>1</v>
      </c>
      <c r="AF40" s="62">
        <f t="shared" si="11"/>
        <v>1</v>
      </c>
      <c r="AG40" s="62">
        <f t="shared" si="11"/>
        <v>1</v>
      </c>
      <c r="AH40" s="62">
        <f t="shared" si="11"/>
        <v>1</v>
      </c>
      <c r="AI40" s="62">
        <f t="shared" si="11"/>
        <v>1</v>
      </c>
      <c r="AJ40" s="63">
        <f t="shared" si="11"/>
        <v>1</v>
      </c>
      <c r="AK40" s="61">
        <v>1</v>
      </c>
      <c r="AL40" s="62">
        <f t="shared" si="12"/>
        <v>1</v>
      </c>
      <c r="AM40" s="62">
        <f t="shared" si="12"/>
        <v>1</v>
      </c>
      <c r="AN40" s="62">
        <f t="shared" si="12"/>
        <v>1</v>
      </c>
      <c r="AO40" s="62">
        <f t="shared" si="12"/>
        <v>1</v>
      </c>
      <c r="AP40" s="62">
        <f t="shared" si="12"/>
        <v>1</v>
      </c>
      <c r="AQ40" s="62">
        <f t="shared" si="12"/>
        <v>1</v>
      </c>
      <c r="AR40" s="63">
        <f t="shared" si="12"/>
        <v>1</v>
      </c>
      <c r="AS40" s="135"/>
      <c r="AT40" s="136"/>
      <c r="AU40" s="136"/>
      <c r="AV40" s="136"/>
      <c r="AW40" s="136"/>
      <c r="AX40" s="136"/>
      <c r="AY40" s="136"/>
      <c r="AZ40" s="137"/>
      <c r="BA40" s="37">
        <f t="shared" si="14"/>
        <v>40</v>
      </c>
      <c r="BB40" s="9">
        <f t="shared" si="6"/>
        <v>368</v>
      </c>
      <c r="BC40" s="10">
        <f t="shared" si="7"/>
        <v>81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362</v>
      </c>
      <c r="E41" s="61" t="s">
        <v>124</v>
      </c>
      <c r="F41" s="62" t="str">
        <f t="shared" si="13"/>
        <v>a</v>
      </c>
      <c r="G41" s="62" t="str">
        <f t="shared" si="13"/>
        <v>a</v>
      </c>
      <c r="H41" s="62" t="str">
        <f t="shared" si="13"/>
        <v>a</v>
      </c>
      <c r="I41" s="62" t="str">
        <f t="shared" si="13"/>
        <v>a</v>
      </c>
      <c r="J41" s="62" t="str">
        <f t="shared" si="13"/>
        <v>a</v>
      </c>
      <c r="K41" s="62" t="str">
        <f t="shared" si="13"/>
        <v>a</v>
      </c>
      <c r="L41" s="63" t="str">
        <f t="shared" si="13"/>
        <v>a</v>
      </c>
      <c r="M41" s="61">
        <v>1</v>
      </c>
      <c r="N41" s="62">
        <f t="shared" si="9"/>
        <v>1</v>
      </c>
      <c r="O41" s="62">
        <f t="shared" si="9"/>
        <v>1</v>
      </c>
      <c r="P41" s="62">
        <f t="shared" si="9"/>
        <v>1</v>
      </c>
      <c r="Q41" s="62">
        <f t="shared" si="9"/>
        <v>1</v>
      </c>
      <c r="R41" s="62">
        <f t="shared" si="9"/>
        <v>1</v>
      </c>
      <c r="S41" s="62">
        <f t="shared" si="9"/>
        <v>1</v>
      </c>
      <c r="T41" s="63">
        <f t="shared" si="9"/>
        <v>1</v>
      </c>
      <c r="U41" s="61">
        <v>1</v>
      </c>
      <c r="V41" s="62">
        <f t="shared" si="10"/>
        <v>1</v>
      </c>
      <c r="W41" s="62">
        <f t="shared" si="10"/>
        <v>1</v>
      </c>
      <c r="X41" s="62">
        <f t="shared" si="10"/>
        <v>1</v>
      </c>
      <c r="Y41" s="62">
        <f t="shared" si="10"/>
        <v>1</v>
      </c>
      <c r="Z41" s="62">
        <f t="shared" si="10"/>
        <v>1</v>
      </c>
      <c r="AA41" s="62">
        <f t="shared" si="10"/>
        <v>1</v>
      </c>
      <c r="AB41" s="63">
        <f t="shared" si="10"/>
        <v>1</v>
      </c>
      <c r="AC41" s="61">
        <v>1</v>
      </c>
      <c r="AD41" s="62">
        <f t="shared" si="11"/>
        <v>1</v>
      </c>
      <c r="AE41" s="62">
        <f t="shared" si="11"/>
        <v>1</v>
      </c>
      <c r="AF41" s="62">
        <f t="shared" si="11"/>
        <v>1</v>
      </c>
      <c r="AG41" s="62">
        <f t="shared" si="11"/>
        <v>1</v>
      </c>
      <c r="AH41" s="62">
        <f t="shared" si="11"/>
        <v>1</v>
      </c>
      <c r="AI41" s="62">
        <f t="shared" si="11"/>
        <v>1</v>
      </c>
      <c r="AJ41" s="63">
        <f t="shared" si="11"/>
        <v>1</v>
      </c>
      <c r="AK41" s="61">
        <v>1</v>
      </c>
      <c r="AL41" s="62">
        <f t="shared" si="12"/>
        <v>1</v>
      </c>
      <c r="AM41" s="62">
        <f t="shared" si="12"/>
        <v>1</v>
      </c>
      <c r="AN41" s="62">
        <f t="shared" si="12"/>
        <v>1</v>
      </c>
      <c r="AO41" s="62">
        <f t="shared" si="12"/>
        <v>1</v>
      </c>
      <c r="AP41" s="62">
        <f t="shared" si="12"/>
        <v>1</v>
      </c>
      <c r="AQ41" s="62">
        <f t="shared" si="12"/>
        <v>1</v>
      </c>
      <c r="AR41" s="63">
        <f t="shared" si="12"/>
        <v>1</v>
      </c>
      <c r="AS41" s="135"/>
      <c r="AT41" s="136"/>
      <c r="AU41" s="136"/>
      <c r="AV41" s="136"/>
      <c r="AW41" s="136"/>
      <c r="AX41" s="136"/>
      <c r="AY41" s="136"/>
      <c r="AZ41" s="137"/>
      <c r="BA41" s="37">
        <f t="shared" si="14"/>
        <v>32</v>
      </c>
      <c r="BB41" s="9">
        <f t="shared" si="6"/>
        <v>394</v>
      </c>
      <c r="BC41" s="10">
        <f t="shared" si="7"/>
        <v>87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381</v>
      </c>
      <c r="E42" s="61">
        <v>1</v>
      </c>
      <c r="F42" s="62">
        <f t="shared" si="13"/>
        <v>1</v>
      </c>
      <c r="G42" s="62">
        <f t="shared" si="13"/>
        <v>1</v>
      </c>
      <c r="H42" s="62">
        <f t="shared" si="13"/>
        <v>1</v>
      </c>
      <c r="I42" s="62">
        <f t="shared" si="13"/>
        <v>1</v>
      </c>
      <c r="J42" s="62">
        <f t="shared" si="13"/>
        <v>1</v>
      </c>
      <c r="K42" s="62">
        <f t="shared" si="13"/>
        <v>1</v>
      </c>
      <c r="L42" s="63">
        <f t="shared" si="13"/>
        <v>1</v>
      </c>
      <c r="M42" s="61">
        <v>1</v>
      </c>
      <c r="N42" s="62">
        <f t="shared" ref="N42:T57" si="15">M42</f>
        <v>1</v>
      </c>
      <c r="O42" s="62">
        <f t="shared" si="15"/>
        <v>1</v>
      </c>
      <c r="P42" s="62">
        <f t="shared" si="15"/>
        <v>1</v>
      </c>
      <c r="Q42" s="62">
        <f t="shared" si="15"/>
        <v>1</v>
      </c>
      <c r="R42" s="62">
        <f t="shared" si="15"/>
        <v>1</v>
      </c>
      <c r="S42" s="62">
        <f t="shared" si="15"/>
        <v>1</v>
      </c>
      <c r="T42" s="63">
        <f t="shared" si="15"/>
        <v>1</v>
      </c>
      <c r="U42" s="61" t="s">
        <v>124</v>
      </c>
      <c r="V42" s="62" t="str">
        <f t="shared" ref="V42:AB57" si="16">U42</f>
        <v>a</v>
      </c>
      <c r="W42" s="62" t="str">
        <f t="shared" si="16"/>
        <v>a</v>
      </c>
      <c r="X42" s="62" t="str">
        <f t="shared" si="16"/>
        <v>a</v>
      </c>
      <c r="Y42" s="62" t="str">
        <f t="shared" si="16"/>
        <v>a</v>
      </c>
      <c r="Z42" s="62" t="str">
        <f t="shared" si="16"/>
        <v>a</v>
      </c>
      <c r="AA42" s="62" t="str">
        <f t="shared" si="16"/>
        <v>a</v>
      </c>
      <c r="AB42" s="63" t="str">
        <f t="shared" si="16"/>
        <v>a</v>
      </c>
      <c r="AC42" s="61" t="s">
        <v>124</v>
      </c>
      <c r="AD42" s="62" t="str">
        <f t="shared" ref="AD42:AJ57" si="17">AC42</f>
        <v>a</v>
      </c>
      <c r="AE42" s="62" t="str">
        <f t="shared" si="17"/>
        <v>a</v>
      </c>
      <c r="AF42" s="62" t="str">
        <f t="shared" si="17"/>
        <v>a</v>
      </c>
      <c r="AG42" s="62" t="str">
        <f t="shared" si="17"/>
        <v>a</v>
      </c>
      <c r="AH42" s="62" t="str">
        <f t="shared" si="17"/>
        <v>a</v>
      </c>
      <c r="AI42" s="62" t="str">
        <f t="shared" si="17"/>
        <v>a</v>
      </c>
      <c r="AJ42" s="63" t="str">
        <f t="shared" si="17"/>
        <v>a</v>
      </c>
      <c r="AK42" s="61">
        <v>1</v>
      </c>
      <c r="AL42" s="62">
        <f t="shared" ref="AL42:AR57" si="18">AK42</f>
        <v>1</v>
      </c>
      <c r="AM42" s="62">
        <f t="shared" si="18"/>
        <v>1</v>
      </c>
      <c r="AN42" s="62">
        <f t="shared" si="18"/>
        <v>1</v>
      </c>
      <c r="AO42" s="62">
        <f t="shared" si="18"/>
        <v>1</v>
      </c>
      <c r="AP42" s="62">
        <f t="shared" si="18"/>
        <v>1</v>
      </c>
      <c r="AQ42" s="62">
        <f t="shared" si="18"/>
        <v>1</v>
      </c>
      <c r="AR42" s="63">
        <f t="shared" si="18"/>
        <v>1</v>
      </c>
      <c r="AS42" s="138"/>
      <c r="AT42" s="139"/>
      <c r="AU42" s="139"/>
      <c r="AV42" s="139"/>
      <c r="AW42" s="139"/>
      <c r="AX42" s="139"/>
      <c r="AY42" s="139"/>
      <c r="AZ42" s="140"/>
      <c r="BA42" s="37">
        <f t="shared" si="14"/>
        <v>24</v>
      </c>
      <c r="BB42" s="9">
        <f t="shared" si="6"/>
        <v>405</v>
      </c>
      <c r="BC42" s="10">
        <f t="shared" si="7"/>
        <v>89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341</v>
      </c>
      <c r="E43" s="61">
        <v>1</v>
      </c>
      <c r="F43" s="62">
        <f t="shared" si="13"/>
        <v>1</v>
      </c>
      <c r="G43" s="62">
        <f t="shared" si="13"/>
        <v>1</v>
      </c>
      <c r="H43" s="62">
        <f t="shared" si="13"/>
        <v>1</v>
      </c>
      <c r="I43" s="62">
        <f t="shared" si="13"/>
        <v>1</v>
      </c>
      <c r="J43" s="62">
        <f t="shared" si="13"/>
        <v>1</v>
      </c>
      <c r="K43" s="62">
        <f t="shared" si="13"/>
        <v>1</v>
      </c>
      <c r="L43" s="63">
        <f t="shared" si="13"/>
        <v>1</v>
      </c>
      <c r="M43" s="61">
        <v>1</v>
      </c>
      <c r="N43" s="62">
        <f t="shared" si="15"/>
        <v>1</v>
      </c>
      <c r="O43" s="62">
        <f t="shared" si="15"/>
        <v>1</v>
      </c>
      <c r="P43" s="62">
        <f t="shared" si="15"/>
        <v>1</v>
      </c>
      <c r="Q43" s="62">
        <f t="shared" si="15"/>
        <v>1</v>
      </c>
      <c r="R43" s="62">
        <f t="shared" si="15"/>
        <v>1</v>
      </c>
      <c r="S43" s="62">
        <f t="shared" si="15"/>
        <v>1</v>
      </c>
      <c r="T43" s="63">
        <f t="shared" si="15"/>
        <v>1</v>
      </c>
      <c r="U43" s="61">
        <v>1</v>
      </c>
      <c r="V43" s="62">
        <f t="shared" si="16"/>
        <v>1</v>
      </c>
      <c r="W43" s="62">
        <f t="shared" si="16"/>
        <v>1</v>
      </c>
      <c r="X43" s="62">
        <f t="shared" si="16"/>
        <v>1</v>
      </c>
      <c r="Y43" s="62">
        <f t="shared" si="16"/>
        <v>1</v>
      </c>
      <c r="Z43" s="62">
        <f t="shared" si="16"/>
        <v>1</v>
      </c>
      <c r="AA43" s="62">
        <f t="shared" si="16"/>
        <v>1</v>
      </c>
      <c r="AB43" s="63">
        <f t="shared" si="16"/>
        <v>1</v>
      </c>
      <c r="AC43" s="61">
        <v>1</v>
      </c>
      <c r="AD43" s="62">
        <f t="shared" si="17"/>
        <v>1</v>
      </c>
      <c r="AE43" s="62">
        <f t="shared" si="17"/>
        <v>1</v>
      </c>
      <c r="AF43" s="62">
        <f t="shared" si="17"/>
        <v>1</v>
      </c>
      <c r="AG43" s="62">
        <f t="shared" si="17"/>
        <v>1</v>
      </c>
      <c r="AH43" s="62">
        <f t="shared" si="17"/>
        <v>1</v>
      </c>
      <c r="AI43" s="62">
        <f t="shared" si="17"/>
        <v>1</v>
      </c>
      <c r="AJ43" s="63">
        <f t="shared" si="17"/>
        <v>1</v>
      </c>
      <c r="AK43" s="61">
        <v>1</v>
      </c>
      <c r="AL43" s="62">
        <f t="shared" si="18"/>
        <v>1</v>
      </c>
      <c r="AM43" s="62">
        <f t="shared" si="18"/>
        <v>1</v>
      </c>
      <c r="AN43" s="62">
        <f t="shared" si="18"/>
        <v>1</v>
      </c>
      <c r="AO43" s="62">
        <f t="shared" si="18"/>
        <v>1</v>
      </c>
      <c r="AP43" s="62">
        <f t="shared" si="18"/>
        <v>1</v>
      </c>
      <c r="AQ43" s="62">
        <f t="shared" si="18"/>
        <v>1</v>
      </c>
      <c r="AR43" s="63">
        <f t="shared" si="18"/>
        <v>1</v>
      </c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4"/>
        <v>40</v>
      </c>
      <c r="BB43" s="9">
        <f t="shared" si="6"/>
        <v>381</v>
      </c>
      <c r="BC43" s="10">
        <f t="shared" si="7"/>
        <v>84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336</v>
      </c>
      <c r="E44" s="61">
        <v>1</v>
      </c>
      <c r="F44" s="62">
        <f t="shared" ref="F44:L59" si="19">E44</f>
        <v>1</v>
      </c>
      <c r="G44" s="62">
        <f t="shared" si="19"/>
        <v>1</v>
      </c>
      <c r="H44" s="62">
        <f t="shared" si="19"/>
        <v>1</v>
      </c>
      <c r="I44" s="62">
        <f t="shared" si="19"/>
        <v>1</v>
      </c>
      <c r="J44" s="62">
        <f t="shared" si="19"/>
        <v>1</v>
      </c>
      <c r="K44" s="62">
        <f t="shared" si="19"/>
        <v>1</v>
      </c>
      <c r="L44" s="63">
        <f t="shared" si="19"/>
        <v>1</v>
      </c>
      <c r="M44" s="61">
        <v>1</v>
      </c>
      <c r="N44" s="62">
        <f t="shared" si="15"/>
        <v>1</v>
      </c>
      <c r="O44" s="62">
        <f t="shared" si="15"/>
        <v>1</v>
      </c>
      <c r="P44" s="62">
        <f t="shared" si="15"/>
        <v>1</v>
      </c>
      <c r="Q44" s="62">
        <f t="shared" si="15"/>
        <v>1</v>
      </c>
      <c r="R44" s="62">
        <f t="shared" si="15"/>
        <v>1</v>
      </c>
      <c r="S44" s="62">
        <f t="shared" si="15"/>
        <v>1</v>
      </c>
      <c r="T44" s="63">
        <f t="shared" si="15"/>
        <v>1</v>
      </c>
      <c r="U44" s="61">
        <v>1</v>
      </c>
      <c r="V44" s="62">
        <f t="shared" si="16"/>
        <v>1</v>
      </c>
      <c r="W44" s="62">
        <f t="shared" si="16"/>
        <v>1</v>
      </c>
      <c r="X44" s="62">
        <f t="shared" si="16"/>
        <v>1</v>
      </c>
      <c r="Y44" s="62">
        <f t="shared" si="16"/>
        <v>1</v>
      </c>
      <c r="Z44" s="62">
        <f t="shared" si="16"/>
        <v>1</v>
      </c>
      <c r="AA44" s="62">
        <f t="shared" si="16"/>
        <v>1</v>
      </c>
      <c r="AB44" s="63">
        <f t="shared" si="16"/>
        <v>1</v>
      </c>
      <c r="AC44" s="61">
        <v>1</v>
      </c>
      <c r="AD44" s="62">
        <f t="shared" si="17"/>
        <v>1</v>
      </c>
      <c r="AE44" s="62">
        <f t="shared" si="17"/>
        <v>1</v>
      </c>
      <c r="AF44" s="62">
        <f t="shared" si="17"/>
        <v>1</v>
      </c>
      <c r="AG44" s="62">
        <f t="shared" si="17"/>
        <v>1</v>
      </c>
      <c r="AH44" s="62">
        <f t="shared" si="17"/>
        <v>1</v>
      </c>
      <c r="AI44" s="62">
        <f t="shared" si="17"/>
        <v>1</v>
      </c>
      <c r="AJ44" s="63">
        <f t="shared" si="17"/>
        <v>1</v>
      </c>
      <c r="AK44" s="61">
        <v>1</v>
      </c>
      <c r="AL44" s="62">
        <f t="shared" si="18"/>
        <v>1</v>
      </c>
      <c r="AM44" s="62">
        <f t="shared" si="18"/>
        <v>1</v>
      </c>
      <c r="AN44" s="62">
        <f t="shared" si="18"/>
        <v>1</v>
      </c>
      <c r="AO44" s="62">
        <f t="shared" si="18"/>
        <v>1</v>
      </c>
      <c r="AP44" s="62">
        <f t="shared" si="18"/>
        <v>1</v>
      </c>
      <c r="AQ44" s="62">
        <f t="shared" si="18"/>
        <v>1</v>
      </c>
      <c r="AR44" s="63">
        <f t="shared" si="18"/>
        <v>1</v>
      </c>
      <c r="AS44" s="135"/>
      <c r="AT44" s="136"/>
      <c r="AU44" s="136"/>
      <c r="AV44" s="136"/>
      <c r="AW44" s="136"/>
      <c r="AX44" s="136"/>
      <c r="AY44" s="136"/>
      <c r="AZ44" s="137"/>
      <c r="BA44" s="37">
        <f t="shared" si="14"/>
        <v>40</v>
      </c>
      <c r="BB44" s="9">
        <f t="shared" si="6"/>
        <v>376</v>
      </c>
      <c r="BC44" s="10">
        <f t="shared" si="7"/>
        <v>83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374</v>
      </c>
      <c r="E45" s="61">
        <v>1</v>
      </c>
      <c r="F45" s="62">
        <f t="shared" si="19"/>
        <v>1</v>
      </c>
      <c r="G45" s="62">
        <f t="shared" si="19"/>
        <v>1</v>
      </c>
      <c r="H45" s="62">
        <f t="shared" si="19"/>
        <v>1</v>
      </c>
      <c r="I45" s="62">
        <f t="shared" si="19"/>
        <v>1</v>
      </c>
      <c r="J45" s="62">
        <f t="shared" si="19"/>
        <v>1</v>
      </c>
      <c r="K45" s="62">
        <f t="shared" si="19"/>
        <v>1</v>
      </c>
      <c r="L45" s="63">
        <f t="shared" si="19"/>
        <v>1</v>
      </c>
      <c r="M45" s="61">
        <v>1</v>
      </c>
      <c r="N45" s="62">
        <f t="shared" si="15"/>
        <v>1</v>
      </c>
      <c r="O45" s="62">
        <f t="shared" si="15"/>
        <v>1</v>
      </c>
      <c r="P45" s="62">
        <f t="shared" si="15"/>
        <v>1</v>
      </c>
      <c r="Q45" s="62">
        <f t="shared" si="15"/>
        <v>1</v>
      </c>
      <c r="R45" s="62">
        <f t="shared" si="15"/>
        <v>1</v>
      </c>
      <c r="S45" s="62">
        <f t="shared" si="15"/>
        <v>1</v>
      </c>
      <c r="T45" s="63">
        <f t="shared" si="15"/>
        <v>1</v>
      </c>
      <c r="U45" s="61">
        <v>1</v>
      </c>
      <c r="V45" s="62">
        <f t="shared" si="16"/>
        <v>1</v>
      </c>
      <c r="W45" s="62">
        <f t="shared" si="16"/>
        <v>1</v>
      </c>
      <c r="X45" s="62">
        <f t="shared" si="16"/>
        <v>1</v>
      </c>
      <c r="Y45" s="62">
        <f t="shared" si="16"/>
        <v>1</v>
      </c>
      <c r="Z45" s="62">
        <f t="shared" si="16"/>
        <v>1</v>
      </c>
      <c r="AA45" s="62">
        <f t="shared" si="16"/>
        <v>1</v>
      </c>
      <c r="AB45" s="63">
        <f t="shared" si="16"/>
        <v>1</v>
      </c>
      <c r="AC45" s="61">
        <v>1</v>
      </c>
      <c r="AD45" s="62">
        <f t="shared" si="17"/>
        <v>1</v>
      </c>
      <c r="AE45" s="62">
        <f t="shared" si="17"/>
        <v>1</v>
      </c>
      <c r="AF45" s="62">
        <f t="shared" si="17"/>
        <v>1</v>
      </c>
      <c r="AG45" s="62">
        <f t="shared" si="17"/>
        <v>1</v>
      </c>
      <c r="AH45" s="62">
        <f t="shared" si="17"/>
        <v>1</v>
      </c>
      <c r="AI45" s="62">
        <f t="shared" si="17"/>
        <v>1</v>
      </c>
      <c r="AJ45" s="63">
        <f t="shared" si="17"/>
        <v>1</v>
      </c>
      <c r="AK45" s="61">
        <v>1</v>
      </c>
      <c r="AL45" s="62">
        <f t="shared" si="18"/>
        <v>1</v>
      </c>
      <c r="AM45" s="62">
        <f t="shared" si="18"/>
        <v>1</v>
      </c>
      <c r="AN45" s="62">
        <f t="shared" si="18"/>
        <v>1</v>
      </c>
      <c r="AO45" s="62">
        <f t="shared" si="18"/>
        <v>1</v>
      </c>
      <c r="AP45" s="62">
        <f t="shared" si="18"/>
        <v>1</v>
      </c>
      <c r="AQ45" s="62">
        <f t="shared" si="18"/>
        <v>1</v>
      </c>
      <c r="AR45" s="63">
        <f t="shared" si="18"/>
        <v>1</v>
      </c>
      <c r="AS45" s="135"/>
      <c r="AT45" s="136"/>
      <c r="AU45" s="136"/>
      <c r="AV45" s="136"/>
      <c r="AW45" s="136"/>
      <c r="AX45" s="136"/>
      <c r="AY45" s="136"/>
      <c r="AZ45" s="137"/>
      <c r="BA45" s="37">
        <f t="shared" si="14"/>
        <v>40</v>
      </c>
      <c r="BB45" s="9">
        <f t="shared" si="6"/>
        <v>414</v>
      </c>
      <c r="BC45" s="10">
        <f t="shared" si="7"/>
        <v>91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376</v>
      </c>
      <c r="E46" s="61">
        <v>1</v>
      </c>
      <c r="F46" s="62">
        <f t="shared" si="19"/>
        <v>1</v>
      </c>
      <c r="G46" s="62">
        <f t="shared" si="19"/>
        <v>1</v>
      </c>
      <c r="H46" s="62">
        <f t="shared" si="19"/>
        <v>1</v>
      </c>
      <c r="I46" s="62">
        <f t="shared" si="19"/>
        <v>1</v>
      </c>
      <c r="J46" s="62">
        <f t="shared" si="19"/>
        <v>1</v>
      </c>
      <c r="K46" s="62">
        <f t="shared" si="19"/>
        <v>1</v>
      </c>
      <c r="L46" s="63">
        <f t="shared" si="19"/>
        <v>1</v>
      </c>
      <c r="M46" s="61">
        <v>1</v>
      </c>
      <c r="N46" s="62">
        <f t="shared" si="15"/>
        <v>1</v>
      </c>
      <c r="O46" s="62">
        <f t="shared" si="15"/>
        <v>1</v>
      </c>
      <c r="P46" s="62">
        <f t="shared" si="15"/>
        <v>1</v>
      </c>
      <c r="Q46" s="62">
        <f t="shared" si="15"/>
        <v>1</v>
      </c>
      <c r="R46" s="62">
        <f t="shared" si="15"/>
        <v>1</v>
      </c>
      <c r="S46" s="62">
        <f t="shared" si="15"/>
        <v>1</v>
      </c>
      <c r="T46" s="63">
        <f t="shared" si="15"/>
        <v>1</v>
      </c>
      <c r="U46" s="61">
        <v>1</v>
      </c>
      <c r="V46" s="62">
        <f t="shared" si="16"/>
        <v>1</v>
      </c>
      <c r="W46" s="62">
        <f t="shared" si="16"/>
        <v>1</v>
      </c>
      <c r="X46" s="62">
        <f t="shared" si="16"/>
        <v>1</v>
      </c>
      <c r="Y46" s="62">
        <f t="shared" si="16"/>
        <v>1</v>
      </c>
      <c r="Z46" s="62">
        <f t="shared" si="16"/>
        <v>1</v>
      </c>
      <c r="AA46" s="62">
        <f t="shared" si="16"/>
        <v>1</v>
      </c>
      <c r="AB46" s="63">
        <f t="shared" si="16"/>
        <v>1</v>
      </c>
      <c r="AC46" s="61">
        <v>1</v>
      </c>
      <c r="AD46" s="62">
        <f t="shared" si="17"/>
        <v>1</v>
      </c>
      <c r="AE46" s="62">
        <f t="shared" si="17"/>
        <v>1</v>
      </c>
      <c r="AF46" s="62">
        <f t="shared" si="17"/>
        <v>1</v>
      </c>
      <c r="AG46" s="62">
        <f t="shared" si="17"/>
        <v>1</v>
      </c>
      <c r="AH46" s="62">
        <f t="shared" si="17"/>
        <v>1</v>
      </c>
      <c r="AI46" s="62">
        <f t="shared" si="17"/>
        <v>1</v>
      </c>
      <c r="AJ46" s="63">
        <f t="shared" si="17"/>
        <v>1</v>
      </c>
      <c r="AK46" s="61">
        <v>1</v>
      </c>
      <c r="AL46" s="62">
        <f t="shared" si="18"/>
        <v>1</v>
      </c>
      <c r="AM46" s="62">
        <f t="shared" si="18"/>
        <v>1</v>
      </c>
      <c r="AN46" s="62">
        <f t="shared" si="18"/>
        <v>1</v>
      </c>
      <c r="AO46" s="62">
        <f t="shared" si="18"/>
        <v>1</v>
      </c>
      <c r="AP46" s="62">
        <f t="shared" si="18"/>
        <v>1</v>
      </c>
      <c r="AQ46" s="62">
        <f t="shared" si="18"/>
        <v>1</v>
      </c>
      <c r="AR46" s="63">
        <f t="shared" si="18"/>
        <v>1</v>
      </c>
      <c r="AS46" s="135"/>
      <c r="AT46" s="136"/>
      <c r="AU46" s="136"/>
      <c r="AV46" s="136"/>
      <c r="AW46" s="136"/>
      <c r="AX46" s="136"/>
      <c r="AY46" s="136"/>
      <c r="AZ46" s="137"/>
      <c r="BA46" s="37">
        <f t="shared" si="14"/>
        <v>40</v>
      </c>
      <c r="BB46" s="9">
        <f t="shared" si="6"/>
        <v>416</v>
      </c>
      <c r="BC46" s="10">
        <f t="shared" si="7"/>
        <v>92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368</v>
      </c>
      <c r="E47" s="61">
        <v>1</v>
      </c>
      <c r="F47" s="62">
        <f t="shared" si="19"/>
        <v>1</v>
      </c>
      <c r="G47" s="62">
        <f t="shared" si="19"/>
        <v>1</v>
      </c>
      <c r="H47" s="62">
        <f t="shared" si="19"/>
        <v>1</v>
      </c>
      <c r="I47" s="62">
        <f t="shared" si="19"/>
        <v>1</v>
      </c>
      <c r="J47" s="62">
        <f t="shared" si="19"/>
        <v>1</v>
      </c>
      <c r="K47" s="62">
        <f t="shared" si="19"/>
        <v>1</v>
      </c>
      <c r="L47" s="63">
        <f t="shared" si="19"/>
        <v>1</v>
      </c>
      <c r="M47" s="61">
        <v>1</v>
      </c>
      <c r="N47" s="62">
        <f t="shared" si="15"/>
        <v>1</v>
      </c>
      <c r="O47" s="62">
        <f t="shared" si="15"/>
        <v>1</v>
      </c>
      <c r="P47" s="62">
        <f t="shared" si="15"/>
        <v>1</v>
      </c>
      <c r="Q47" s="62">
        <f t="shared" si="15"/>
        <v>1</v>
      </c>
      <c r="R47" s="62">
        <f t="shared" si="15"/>
        <v>1</v>
      </c>
      <c r="S47" s="62">
        <f t="shared" si="15"/>
        <v>1</v>
      </c>
      <c r="T47" s="63">
        <f t="shared" si="15"/>
        <v>1</v>
      </c>
      <c r="U47" s="61">
        <v>1</v>
      </c>
      <c r="V47" s="62">
        <f t="shared" si="16"/>
        <v>1</v>
      </c>
      <c r="W47" s="62">
        <f t="shared" si="16"/>
        <v>1</v>
      </c>
      <c r="X47" s="62">
        <f t="shared" si="16"/>
        <v>1</v>
      </c>
      <c r="Y47" s="62">
        <f t="shared" si="16"/>
        <v>1</v>
      </c>
      <c r="Z47" s="62">
        <f t="shared" si="16"/>
        <v>1</v>
      </c>
      <c r="AA47" s="62">
        <f t="shared" si="16"/>
        <v>1</v>
      </c>
      <c r="AB47" s="63">
        <f t="shared" si="16"/>
        <v>1</v>
      </c>
      <c r="AC47" s="61">
        <v>1</v>
      </c>
      <c r="AD47" s="62">
        <f t="shared" si="17"/>
        <v>1</v>
      </c>
      <c r="AE47" s="62">
        <f t="shared" si="17"/>
        <v>1</v>
      </c>
      <c r="AF47" s="62">
        <f t="shared" si="17"/>
        <v>1</v>
      </c>
      <c r="AG47" s="62">
        <f t="shared" si="17"/>
        <v>1</v>
      </c>
      <c r="AH47" s="62">
        <f t="shared" si="17"/>
        <v>1</v>
      </c>
      <c r="AI47" s="62">
        <f t="shared" si="17"/>
        <v>1</v>
      </c>
      <c r="AJ47" s="63">
        <f t="shared" si="17"/>
        <v>1</v>
      </c>
      <c r="AK47" s="61">
        <v>1</v>
      </c>
      <c r="AL47" s="62">
        <f t="shared" si="18"/>
        <v>1</v>
      </c>
      <c r="AM47" s="62">
        <f t="shared" si="18"/>
        <v>1</v>
      </c>
      <c r="AN47" s="62">
        <f t="shared" si="18"/>
        <v>1</v>
      </c>
      <c r="AO47" s="62">
        <f t="shared" si="18"/>
        <v>1</v>
      </c>
      <c r="AP47" s="62">
        <f t="shared" si="18"/>
        <v>1</v>
      </c>
      <c r="AQ47" s="62">
        <f t="shared" si="18"/>
        <v>1</v>
      </c>
      <c r="AR47" s="63">
        <f t="shared" si="18"/>
        <v>1</v>
      </c>
      <c r="AS47" s="135"/>
      <c r="AT47" s="136"/>
      <c r="AU47" s="136"/>
      <c r="AV47" s="136"/>
      <c r="AW47" s="136"/>
      <c r="AX47" s="136"/>
      <c r="AY47" s="136"/>
      <c r="AZ47" s="137"/>
      <c r="BA47" s="37">
        <f t="shared" si="14"/>
        <v>40</v>
      </c>
      <c r="BB47" s="9">
        <f t="shared" si="6"/>
        <v>408</v>
      </c>
      <c r="BC47" s="10">
        <f t="shared" si="7"/>
        <v>90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338</v>
      </c>
      <c r="E48" s="61">
        <v>1</v>
      </c>
      <c r="F48" s="62">
        <f t="shared" si="19"/>
        <v>1</v>
      </c>
      <c r="G48" s="62">
        <f t="shared" si="19"/>
        <v>1</v>
      </c>
      <c r="H48" s="62">
        <f t="shared" si="19"/>
        <v>1</v>
      </c>
      <c r="I48" s="62">
        <f t="shared" si="19"/>
        <v>1</v>
      </c>
      <c r="J48" s="62">
        <f t="shared" si="19"/>
        <v>1</v>
      </c>
      <c r="K48" s="62">
        <f t="shared" si="19"/>
        <v>1</v>
      </c>
      <c r="L48" s="63">
        <f t="shared" si="19"/>
        <v>1</v>
      </c>
      <c r="M48" s="61">
        <v>1</v>
      </c>
      <c r="N48" s="62">
        <f t="shared" si="15"/>
        <v>1</v>
      </c>
      <c r="O48" s="62">
        <f t="shared" si="15"/>
        <v>1</v>
      </c>
      <c r="P48" s="62">
        <f t="shared" si="15"/>
        <v>1</v>
      </c>
      <c r="Q48" s="62">
        <f t="shared" si="15"/>
        <v>1</v>
      </c>
      <c r="R48" s="62">
        <f t="shared" si="15"/>
        <v>1</v>
      </c>
      <c r="S48" s="62">
        <f t="shared" si="15"/>
        <v>1</v>
      </c>
      <c r="T48" s="63">
        <f t="shared" si="15"/>
        <v>1</v>
      </c>
      <c r="U48" s="61">
        <v>1</v>
      </c>
      <c r="V48" s="62">
        <f t="shared" si="16"/>
        <v>1</v>
      </c>
      <c r="W48" s="62">
        <f t="shared" si="16"/>
        <v>1</v>
      </c>
      <c r="X48" s="62">
        <f t="shared" si="16"/>
        <v>1</v>
      </c>
      <c r="Y48" s="62">
        <f t="shared" si="16"/>
        <v>1</v>
      </c>
      <c r="Z48" s="62">
        <f t="shared" si="16"/>
        <v>1</v>
      </c>
      <c r="AA48" s="62">
        <f t="shared" si="16"/>
        <v>1</v>
      </c>
      <c r="AB48" s="63">
        <f t="shared" si="16"/>
        <v>1</v>
      </c>
      <c r="AC48" s="61">
        <v>1</v>
      </c>
      <c r="AD48" s="62">
        <f t="shared" si="17"/>
        <v>1</v>
      </c>
      <c r="AE48" s="62">
        <f t="shared" si="17"/>
        <v>1</v>
      </c>
      <c r="AF48" s="62">
        <f t="shared" si="17"/>
        <v>1</v>
      </c>
      <c r="AG48" s="62">
        <f t="shared" si="17"/>
        <v>1</v>
      </c>
      <c r="AH48" s="62">
        <f t="shared" si="17"/>
        <v>1</v>
      </c>
      <c r="AI48" s="62">
        <f t="shared" si="17"/>
        <v>1</v>
      </c>
      <c r="AJ48" s="63">
        <f t="shared" si="17"/>
        <v>1</v>
      </c>
      <c r="AK48" s="61">
        <v>1</v>
      </c>
      <c r="AL48" s="62">
        <f t="shared" si="18"/>
        <v>1</v>
      </c>
      <c r="AM48" s="62">
        <f t="shared" si="18"/>
        <v>1</v>
      </c>
      <c r="AN48" s="62">
        <f t="shared" si="18"/>
        <v>1</v>
      </c>
      <c r="AO48" s="62">
        <f t="shared" si="18"/>
        <v>1</v>
      </c>
      <c r="AP48" s="62">
        <f t="shared" si="18"/>
        <v>1</v>
      </c>
      <c r="AQ48" s="62">
        <f t="shared" si="18"/>
        <v>1</v>
      </c>
      <c r="AR48" s="63">
        <f t="shared" si="18"/>
        <v>1</v>
      </c>
      <c r="AS48" s="135"/>
      <c r="AT48" s="136"/>
      <c r="AU48" s="136"/>
      <c r="AV48" s="136"/>
      <c r="AW48" s="136"/>
      <c r="AX48" s="136"/>
      <c r="AY48" s="136"/>
      <c r="AZ48" s="137"/>
      <c r="BA48" s="37">
        <f t="shared" si="14"/>
        <v>40</v>
      </c>
      <c r="BB48" s="9">
        <f t="shared" si="6"/>
        <v>378</v>
      </c>
      <c r="BC48" s="10">
        <f t="shared" si="7"/>
        <v>83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398</v>
      </c>
      <c r="E49" s="61">
        <v>1</v>
      </c>
      <c r="F49" s="62">
        <f t="shared" si="19"/>
        <v>1</v>
      </c>
      <c r="G49" s="62">
        <f t="shared" si="19"/>
        <v>1</v>
      </c>
      <c r="H49" s="62">
        <f t="shared" si="19"/>
        <v>1</v>
      </c>
      <c r="I49" s="62">
        <f t="shared" si="19"/>
        <v>1</v>
      </c>
      <c r="J49" s="62">
        <f t="shared" si="19"/>
        <v>1</v>
      </c>
      <c r="K49" s="62">
        <f t="shared" si="19"/>
        <v>1</v>
      </c>
      <c r="L49" s="63">
        <f t="shared" si="19"/>
        <v>1</v>
      </c>
      <c r="M49" s="61">
        <v>1</v>
      </c>
      <c r="N49" s="62">
        <f t="shared" si="15"/>
        <v>1</v>
      </c>
      <c r="O49" s="62">
        <f t="shared" si="15"/>
        <v>1</v>
      </c>
      <c r="P49" s="62">
        <f t="shared" si="15"/>
        <v>1</v>
      </c>
      <c r="Q49" s="62">
        <f t="shared" si="15"/>
        <v>1</v>
      </c>
      <c r="R49" s="62">
        <f t="shared" si="15"/>
        <v>1</v>
      </c>
      <c r="S49" s="62">
        <f t="shared" si="15"/>
        <v>1</v>
      </c>
      <c r="T49" s="63">
        <f t="shared" si="15"/>
        <v>1</v>
      </c>
      <c r="U49" s="61">
        <v>1</v>
      </c>
      <c r="V49" s="62">
        <f t="shared" si="16"/>
        <v>1</v>
      </c>
      <c r="W49" s="62">
        <f t="shared" si="16"/>
        <v>1</v>
      </c>
      <c r="X49" s="62">
        <f t="shared" si="16"/>
        <v>1</v>
      </c>
      <c r="Y49" s="62">
        <f t="shared" si="16"/>
        <v>1</v>
      </c>
      <c r="Z49" s="62">
        <f t="shared" si="16"/>
        <v>1</v>
      </c>
      <c r="AA49" s="62">
        <f t="shared" si="16"/>
        <v>1</v>
      </c>
      <c r="AB49" s="63">
        <f t="shared" si="16"/>
        <v>1</v>
      </c>
      <c r="AC49" s="61">
        <v>1</v>
      </c>
      <c r="AD49" s="62">
        <f t="shared" si="17"/>
        <v>1</v>
      </c>
      <c r="AE49" s="62">
        <f t="shared" si="17"/>
        <v>1</v>
      </c>
      <c r="AF49" s="62">
        <f t="shared" si="17"/>
        <v>1</v>
      </c>
      <c r="AG49" s="62">
        <f t="shared" si="17"/>
        <v>1</v>
      </c>
      <c r="AH49" s="62">
        <f t="shared" si="17"/>
        <v>1</v>
      </c>
      <c r="AI49" s="62">
        <f t="shared" si="17"/>
        <v>1</v>
      </c>
      <c r="AJ49" s="63">
        <f t="shared" si="17"/>
        <v>1</v>
      </c>
      <c r="AK49" s="61">
        <v>1</v>
      </c>
      <c r="AL49" s="62">
        <f t="shared" si="18"/>
        <v>1</v>
      </c>
      <c r="AM49" s="62">
        <f t="shared" si="18"/>
        <v>1</v>
      </c>
      <c r="AN49" s="62">
        <f t="shared" si="18"/>
        <v>1</v>
      </c>
      <c r="AO49" s="62">
        <f t="shared" si="18"/>
        <v>1</v>
      </c>
      <c r="AP49" s="62">
        <f t="shared" si="18"/>
        <v>1</v>
      </c>
      <c r="AQ49" s="62">
        <f t="shared" si="18"/>
        <v>1</v>
      </c>
      <c r="AR49" s="63">
        <f t="shared" si="18"/>
        <v>1</v>
      </c>
      <c r="AS49" s="135"/>
      <c r="AT49" s="136"/>
      <c r="AU49" s="136"/>
      <c r="AV49" s="136"/>
      <c r="AW49" s="136"/>
      <c r="AX49" s="136"/>
      <c r="AY49" s="136"/>
      <c r="AZ49" s="137"/>
      <c r="BA49" s="37">
        <f t="shared" si="14"/>
        <v>40</v>
      </c>
      <c r="BB49" s="9">
        <f t="shared" si="6"/>
        <v>438</v>
      </c>
      <c r="BC49" s="10">
        <f t="shared" si="7"/>
        <v>96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392</v>
      </c>
      <c r="E50" s="61">
        <v>1</v>
      </c>
      <c r="F50" s="62">
        <f t="shared" si="19"/>
        <v>1</v>
      </c>
      <c r="G50" s="62">
        <f t="shared" si="19"/>
        <v>1</v>
      </c>
      <c r="H50" s="62">
        <f t="shared" si="19"/>
        <v>1</v>
      </c>
      <c r="I50" s="62">
        <f t="shared" si="19"/>
        <v>1</v>
      </c>
      <c r="J50" s="62">
        <f t="shared" si="19"/>
        <v>1</v>
      </c>
      <c r="K50" s="62">
        <f t="shared" si="19"/>
        <v>1</v>
      </c>
      <c r="L50" s="63">
        <f t="shared" si="19"/>
        <v>1</v>
      </c>
      <c r="M50" s="61">
        <v>1</v>
      </c>
      <c r="N50" s="62">
        <f t="shared" si="15"/>
        <v>1</v>
      </c>
      <c r="O50" s="62">
        <f t="shared" si="15"/>
        <v>1</v>
      </c>
      <c r="P50" s="62">
        <f t="shared" si="15"/>
        <v>1</v>
      </c>
      <c r="Q50" s="62">
        <f t="shared" si="15"/>
        <v>1</v>
      </c>
      <c r="R50" s="62">
        <f t="shared" si="15"/>
        <v>1</v>
      </c>
      <c r="S50" s="62">
        <f t="shared" si="15"/>
        <v>1</v>
      </c>
      <c r="T50" s="63">
        <f t="shared" si="15"/>
        <v>1</v>
      </c>
      <c r="U50" s="61" t="s">
        <v>124</v>
      </c>
      <c r="V50" s="62" t="str">
        <f t="shared" si="16"/>
        <v>a</v>
      </c>
      <c r="W50" s="62" t="str">
        <f t="shared" si="16"/>
        <v>a</v>
      </c>
      <c r="X50" s="62" t="str">
        <f t="shared" si="16"/>
        <v>a</v>
      </c>
      <c r="Y50" s="62" t="str">
        <f t="shared" si="16"/>
        <v>a</v>
      </c>
      <c r="Z50" s="62" t="str">
        <f t="shared" si="16"/>
        <v>a</v>
      </c>
      <c r="AA50" s="62" t="str">
        <f t="shared" si="16"/>
        <v>a</v>
      </c>
      <c r="AB50" s="63" t="str">
        <f t="shared" si="16"/>
        <v>a</v>
      </c>
      <c r="AC50" s="61">
        <v>1</v>
      </c>
      <c r="AD50" s="62">
        <f t="shared" si="17"/>
        <v>1</v>
      </c>
      <c r="AE50" s="62">
        <f t="shared" si="17"/>
        <v>1</v>
      </c>
      <c r="AF50" s="62">
        <f t="shared" si="17"/>
        <v>1</v>
      </c>
      <c r="AG50" s="62">
        <f t="shared" si="17"/>
        <v>1</v>
      </c>
      <c r="AH50" s="62">
        <f t="shared" si="17"/>
        <v>1</v>
      </c>
      <c r="AI50" s="62">
        <f t="shared" si="17"/>
        <v>1</v>
      </c>
      <c r="AJ50" s="63">
        <f t="shared" si="17"/>
        <v>1</v>
      </c>
      <c r="AK50" s="61">
        <v>1</v>
      </c>
      <c r="AL50" s="62">
        <f t="shared" si="18"/>
        <v>1</v>
      </c>
      <c r="AM50" s="62">
        <f t="shared" si="18"/>
        <v>1</v>
      </c>
      <c r="AN50" s="62">
        <f t="shared" si="18"/>
        <v>1</v>
      </c>
      <c r="AO50" s="62">
        <f t="shared" si="18"/>
        <v>1</v>
      </c>
      <c r="AP50" s="62">
        <f t="shared" si="18"/>
        <v>1</v>
      </c>
      <c r="AQ50" s="62">
        <f t="shared" si="18"/>
        <v>1</v>
      </c>
      <c r="AR50" s="63">
        <f t="shared" si="18"/>
        <v>1</v>
      </c>
      <c r="AS50" s="135"/>
      <c r="AT50" s="136"/>
      <c r="AU50" s="136"/>
      <c r="AV50" s="136"/>
      <c r="AW50" s="136"/>
      <c r="AX50" s="136"/>
      <c r="AY50" s="136"/>
      <c r="AZ50" s="137"/>
      <c r="BA50" s="37">
        <f t="shared" si="14"/>
        <v>32</v>
      </c>
      <c r="BB50" s="9">
        <f t="shared" si="6"/>
        <v>424</v>
      </c>
      <c r="BC50" s="10">
        <f t="shared" si="7"/>
        <v>93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384</v>
      </c>
      <c r="E51" s="61">
        <v>1</v>
      </c>
      <c r="F51" s="62">
        <f t="shared" si="19"/>
        <v>1</v>
      </c>
      <c r="G51" s="62">
        <f t="shared" si="19"/>
        <v>1</v>
      </c>
      <c r="H51" s="62">
        <f t="shared" si="19"/>
        <v>1</v>
      </c>
      <c r="I51" s="62">
        <f t="shared" si="19"/>
        <v>1</v>
      </c>
      <c r="J51" s="62">
        <f t="shared" si="19"/>
        <v>1</v>
      </c>
      <c r="K51" s="62">
        <f t="shared" si="19"/>
        <v>1</v>
      </c>
      <c r="L51" s="63">
        <f t="shared" si="19"/>
        <v>1</v>
      </c>
      <c r="M51" s="61">
        <v>1</v>
      </c>
      <c r="N51" s="62">
        <f t="shared" si="15"/>
        <v>1</v>
      </c>
      <c r="O51" s="62">
        <f t="shared" si="15"/>
        <v>1</v>
      </c>
      <c r="P51" s="62">
        <f t="shared" si="15"/>
        <v>1</v>
      </c>
      <c r="Q51" s="62">
        <f t="shared" si="15"/>
        <v>1</v>
      </c>
      <c r="R51" s="62">
        <f t="shared" si="15"/>
        <v>1</v>
      </c>
      <c r="S51" s="62">
        <f t="shared" si="15"/>
        <v>1</v>
      </c>
      <c r="T51" s="63">
        <f t="shared" si="15"/>
        <v>1</v>
      </c>
      <c r="U51" s="61">
        <v>1</v>
      </c>
      <c r="V51" s="62">
        <f t="shared" si="16"/>
        <v>1</v>
      </c>
      <c r="W51" s="62">
        <f t="shared" si="16"/>
        <v>1</v>
      </c>
      <c r="X51" s="62">
        <f t="shared" si="16"/>
        <v>1</v>
      </c>
      <c r="Y51" s="62">
        <f t="shared" si="16"/>
        <v>1</v>
      </c>
      <c r="Z51" s="62">
        <f t="shared" si="16"/>
        <v>1</v>
      </c>
      <c r="AA51" s="62">
        <f t="shared" si="16"/>
        <v>1</v>
      </c>
      <c r="AB51" s="63">
        <f t="shared" si="16"/>
        <v>1</v>
      </c>
      <c r="AC51" s="61">
        <v>1</v>
      </c>
      <c r="AD51" s="62">
        <f t="shared" si="17"/>
        <v>1</v>
      </c>
      <c r="AE51" s="62">
        <f t="shared" si="17"/>
        <v>1</v>
      </c>
      <c r="AF51" s="62">
        <f t="shared" si="17"/>
        <v>1</v>
      </c>
      <c r="AG51" s="62">
        <f t="shared" si="17"/>
        <v>1</v>
      </c>
      <c r="AH51" s="62">
        <f t="shared" si="17"/>
        <v>1</v>
      </c>
      <c r="AI51" s="62">
        <f t="shared" si="17"/>
        <v>1</v>
      </c>
      <c r="AJ51" s="63">
        <f t="shared" si="17"/>
        <v>1</v>
      </c>
      <c r="AK51" s="61">
        <v>1</v>
      </c>
      <c r="AL51" s="62">
        <f t="shared" si="18"/>
        <v>1</v>
      </c>
      <c r="AM51" s="62">
        <f t="shared" si="18"/>
        <v>1</v>
      </c>
      <c r="AN51" s="62">
        <f t="shared" si="18"/>
        <v>1</v>
      </c>
      <c r="AO51" s="62">
        <f t="shared" si="18"/>
        <v>1</v>
      </c>
      <c r="AP51" s="62">
        <f t="shared" si="18"/>
        <v>1</v>
      </c>
      <c r="AQ51" s="62">
        <f t="shared" si="18"/>
        <v>1</v>
      </c>
      <c r="AR51" s="63">
        <f t="shared" si="18"/>
        <v>1</v>
      </c>
      <c r="AS51" s="135"/>
      <c r="AT51" s="136"/>
      <c r="AU51" s="136"/>
      <c r="AV51" s="136"/>
      <c r="AW51" s="136"/>
      <c r="AX51" s="136"/>
      <c r="AY51" s="136"/>
      <c r="AZ51" s="137"/>
      <c r="BA51" s="37">
        <f t="shared" si="14"/>
        <v>40</v>
      </c>
      <c r="BB51" s="9">
        <f t="shared" si="6"/>
        <v>424</v>
      </c>
      <c r="BC51" s="10">
        <f t="shared" si="7"/>
        <v>93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388</v>
      </c>
      <c r="E52" s="61" t="s">
        <v>124</v>
      </c>
      <c r="F52" s="62" t="str">
        <f t="shared" si="19"/>
        <v>a</v>
      </c>
      <c r="G52" s="62" t="str">
        <f t="shared" si="19"/>
        <v>a</v>
      </c>
      <c r="H52" s="62" t="str">
        <f t="shared" si="19"/>
        <v>a</v>
      </c>
      <c r="I52" s="62" t="str">
        <f t="shared" si="19"/>
        <v>a</v>
      </c>
      <c r="J52" s="62" t="str">
        <f t="shared" si="19"/>
        <v>a</v>
      </c>
      <c r="K52" s="62" t="str">
        <f t="shared" si="19"/>
        <v>a</v>
      </c>
      <c r="L52" s="63" t="str">
        <f t="shared" si="19"/>
        <v>a</v>
      </c>
      <c r="M52" s="61">
        <v>1</v>
      </c>
      <c r="N52" s="62">
        <f t="shared" si="15"/>
        <v>1</v>
      </c>
      <c r="O52" s="62">
        <f t="shared" si="15"/>
        <v>1</v>
      </c>
      <c r="P52" s="62">
        <f t="shared" si="15"/>
        <v>1</v>
      </c>
      <c r="Q52" s="62">
        <f t="shared" si="15"/>
        <v>1</v>
      </c>
      <c r="R52" s="62">
        <f t="shared" si="15"/>
        <v>1</v>
      </c>
      <c r="S52" s="62">
        <f t="shared" si="15"/>
        <v>1</v>
      </c>
      <c r="T52" s="63">
        <f t="shared" si="15"/>
        <v>1</v>
      </c>
      <c r="U52" s="61">
        <v>1</v>
      </c>
      <c r="V52" s="62">
        <f t="shared" si="16"/>
        <v>1</v>
      </c>
      <c r="W52" s="62">
        <f t="shared" si="16"/>
        <v>1</v>
      </c>
      <c r="X52" s="62">
        <f t="shared" si="16"/>
        <v>1</v>
      </c>
      <c r="Y52" s="62">
        <f t="shared" si="16"/>
        <v>1</v>
      </c>
      <c r="Z52" s="62">
        <f t="shared" si="16"/>
        <v>1</v>
      </c>
      <c r="AA52" s="62">
        <f t="shared" si="16"/>
        <v>1</v>
      </c>
      <c r="AB52" s="63">
        <f t="shared" si="16"/>
        <v>1</v>
      </c>
      <c r="AC52" s="61">
        <v>1</v>
      </c>
      <c r="AD52" s="62">
        <f t="shared" si="17"/>
        <v>1</v>
      </c>
      <c r="AE52" s="62">
        <f t="shared" si="17"/>
        <v>1</v>
      </c>
      <c r="AF52" s="62">
        <f t="shared" si="17"/>
        <v>1</v>
      </c>
      <c r="AG52" s="62">
        <f t="shared" si="17"/>
        <v>1</v>
      </c>
      <c r="AH52" s="62">
        <f t="shared" si="17"/>
        <v>1</v>
      </c>
      <c r="AI52" s="62">
        <f t="shared" si="17"/>
        <v>1</v>
      </c>
      <c r="AJ52" s="63">
        <f t="shared" si="17"/>
        <v>1</v>
      </c>
      <c r="AK52" s="61">
        <v>1</v>
      </c>
      <c r="AL52" s="62">
        <f t="shared" si="18"/>
        <v>1</v>
      </c>
      <c r="AM52" s="62">
        <f t="shared" si="18"/>
        <v>1</v>
      </c>
      <c r="AN52" s="62">
        <f t="shared" si="18"/>
        <v>1</v>
      </c>
      <c r="AO52" s="62">
        <f t="shared" si="18"/>
        <v>1</v>
      </c>
      <c r="AP52" s="62">
        <f t="shared" si="18"/>
        <v>1</v>
      </c>
      <c r="AQ52" s="62">
        <f t="shared" si="18"/>
        <v>1</v>
      </c>
      <c r="AR52" s="63">
        <f t="shared" si="18"/>
        <v>1</v>
      </c>
      <c r="AS52" s="135"/>
      <c r="AT52" s="136"/>
      <c r="AU52" s="136"/>
      <c r="AV52" s="136"/>
      <c r="AW52" s="136"/>
      <c r="AX52" s="136"/>
      <c r="AY52" s="136"/>
      <c r="AZ52" s="137"/>
      <c r="BA52" s="37">
        <f t="shared" si="14"/>
        <v>32</v>
      </c>
      <c r="BB52" s="9">
        <f t="shared" si="6"/>
        <v>420</v>
      </c>
      <c r="BC52" s="10">
        <f t="shared" si="7"/>
        <v>93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366</v>
      </c>
      <c r="E53" s="61">
        <v>1</v>
      </c>
      <c r="F53" s="62">
        <f t="shared" si="19"/>
        <v>1</v>
      </c>
      <c r="G53" s="62">
        <f t="shared" si="19"/>
        <v>1</v>
      </c>
      <c r="H53" s="62">
        <f t="shared" si="19"/>
        <v>1</v>
      </c>
      <c r="I53" s="62">
        <f t="shared" si="19"/>
        <v>1</v>
      </c>
      <c r="J53" s="62">
        <f t="shared" si="19"/>
        <v>1</v>
      </c>
      <c r="K53" s="62">
        <f t="shared" si="19"/>
        <v>1</v>
      </c>
      <c r="L53" s="63">
        <f t="shared" si="19"/>
        <v>1</v>
      </c>
      <c r="M53" s="61">
        <v>1</v>
      </c>
      <c r="N53" s="62">
        <f t="shared" si="15"/>
        <v>1</v>
      </c>
      <c r="O53" s="62">
        <f t="shared" si="15"/>
        <v>1</v>
      </c>
      <c r="P53" s="62">
        <f t="shared" si="15"/>
        <v>1</v>
      </c>
      <c r="Q53" s="62">
        <f t="shared" si="15"/>
        <v>1</v>
      </c>
      <c r="R53" s="62">
        <f t="shared" si="15"/>
        <v>1</v>
      </c>
      <c r="S53" s="62">
        <f t="shared" si="15"/>
        <v>1</v>
      </c>
      <c r="T53" s="63">
        <f t="shared" si="15"/>
        <v>1</v>
      </c>
      <c r="U53" s="61">
        <v>1</v>
      </c>
      <c r="V53" s="62">
        <f t="shared" si="16"/>
        <v>1</v>
      </c>
      <c r="W53" s="62">
        <f t="shared" si="16"/>
        <v>1</v>
      </c>
      <c r="X53" s="62">
        <f t="shared" si="16"/>
        <v>1</v>
      </c>
      <c r="Y53" s="62">
        <f t="shared" si="16"/>
        <v>1</v>
      </c>
      <c r="Z53" s="62">
        <f t="shared" si="16"/>
        <v>1</v>
      </c>
      <c r="AA53" s="62">
        <f t="shared" si="16"/>
        <v>1</v>
      </c>
      <c r="AB53" s="63">
        <f t="shared" si="16"/>
        <v>1</v>
      </c>
      <c r="AC53" s="61">
        <v>1</v>
      </c>
      <c r="AD53" s="62">
        <f t="shared" si="17"/>
        <v>1</v>
      </c>
      <c r="AE53" s="62">
        <f t="shared" si="17"/>
        <v>1</v>
      </c>
      <c r="AF53" s="62">
        <f t="shared" si="17"/>
        <v>1</v>
      </c>
      <c r="AG53" s="62">
        <f t="shared" si="17"/>
        <v>1</v>
      </c>
      <c r="AH53" s="62">
        <f t="shared" si="17"/>
        <v>1</v>
      </c>
      <c r="AI53" s="62">
        <f t="shared" si="17"/>
        <v>1</v>
      </c>
      <c r="AJ53" s="63">
        <f t="shared" si="17"/>
        <v>1</v>
      </c>
      <c r="AK53" s="61">
        <v>1</v>
      </c>
      <c r="AL53" s="62">
        <f t="shared" si="18"/>
        <v>1</v>
      </c>
      <c r="AM53" s="62">
        <f t="shared" si="18"/>
        <v>1</v>
      </c>
      <c r="AN53" s="62">
        <f t="shared" si="18"/>
        <v>1</v>
      </c>
      <c r="AO53" s="62">
        <f t="shared" si="18"/>
        <v>1</v>
      </c>
      <c r="AP53" s="62">
        <f t="shared" si="18"/>
        <v>1</v>
      </c>
      <c r="AQ53" s="62">
        <f t="shared" si="18"/>
        <v>1</v>
      </c>
      <c r="AR53" s="63">
        <f t="shared" si="18"/>
        <v>1</v>
      </c>
      <c r="AS53" s="135"/>
      <c r="AT53" s="136"/>
      <c r="AU53" s="136"/>
      <c r="AV53" s="136"/>
      <c r="AW53" s="136"/>
      <c r="AX53" s="136"/>
      <c r="AY53" s="136"/>
      <c r="AZ53" s="137"/>
      <c r="BA53" s="37">
        <f t="shared" si="14"/>
        <v>40</v>
      </c>
      <c r="BB53" s="9">
        <f t="shared" si="6"/>
        <v>406</v>
      </c>
      <c r="BC53" s="10">
        <f t="shared" si="7"/>
        <v>89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368</v>
      </c>
      <c r="E54" s="61">
        <v>1</v>
      </c>
      <c r="F54" s="62">
        <f t="shared" si="19"/>
        <v>1</v>
      </c>
      <c r="G54" s="62">
        <f t="shared" si="19"/>
        <v>1</v>
      </c>
      <c r="H54" s="62">
        <f t="shared" si="19"/>
        <v>1</v>
      </c>
      <c r="I54" s="62">
        <f t="shared" si="19"/>
        <v>1</v>
      </c>
      <c r="J54" s="62">
        <f t="shared" si="19"/>
        <v>1</v>
      </c>
      <c r="K54" s="62">
        <f t="shared" si="19"/>
        <v>1</v>
      </c>
      <c r="L54" s="63">
        <f t="shared" si="19"/>
        <v>1</v>
      </c>
      <c r="M54" s="61">
        <v>1</v>
      </c>
      <c r="N54" s="62">
        <f t="shared" si="15"/>
        <v>1</v>
      </c>
      <c r="O54" s="62">
        <f t="shared" si="15"/>
        <v>1</v>
      </c>
      <c r="P54" s="62">
        <f t="shared" si="15"/>
        <v>1</v>
      </c>
      <c r="Q54" s="62">
        <f t="shared" si="15"/>
        <v>1</v>
      </c>
      <c r="R54" s="62">
        <f t="shared" si="15"/>
        <v>1</v>
      </c>
      <c r="S54" s="62">
        <f t="shared" si="15"/>
        <v>1</v>
      </c>
      <c r="T54" s="63">
        <f t="shared" si="15"/>
        <v>1</v>
      </c>
      <c r="U54" s="61" t="s">
        <v>124</v>
      </c>
      <c r="V54" s="62" t="str">
        <f t="shared" si="16"/>
        <v>a</v>
      </c>
      <c r="W54" s="62" t="str">
        <f t="shared" si="16"/>
        <v>a</v>
      </c>
      <c r="X54" s="62" t="str">
        <f t="shared" si="16"/>
        <v>a</v>
      </c>
      <c r="Y54" s="62" t="str">
        <f t="shared" si="16"/>
        <v>a</v>
      </c>
      <c r="Z54" s="62" t="str">
        <f t="shared" si="16"/>
        <v>a</v>
      </c>
      <c r="AA54" s="62" t="str">
        <f t="shared" si="16"/>
        <v>a</v>
      </c>
      <c r="AB54" s="63" t="str">
        <f t="shared" si="16"/>
        <v>a</v>
      </c>
      <c r="AC54" s="61">
        <v>1</v>
      </c>
      <c r="AD54" s="62">
        <f t="shared" si="17"/>
        <v>1</v>
      </c>
      <c r="AE54" s="62">
        <f t="shared" si="17"/>
        <v>1</v>
      </c>
      <c r="AF54" s="62">
        <f t="shared" si="17"/>
        <v>1</v>
      </c>
      <c r="AG54" s="62">
        <f t="shared" si="17"/>
        <v>1</v>
      </c>
      <c r="AH54" s="62">
        <f t="shared" si="17"/>
        <v>1</v>
      </c>
      <c r="AI54" s="62">
        <f t="shared" si="17"/>
        <v>1</v>
      </c>
      <c r="AJ54" s="63">
        <f t="shared" si="17"/>
        <v>1</v>
      </c>
      <c r="AK54" s="61">
        <v>1</v>
      </c>
      <c r="AL54" s="62">
        <f t="shared" si="18"/>
        <v>1</v>
      </c>
      <c r="AM54" s="62">
        <f t="shared" si="18"/>
        <v>1</v>
      </c>
      <c r="AN54" s="62">
        <f t="shared" si="18"/>
        <v>1</v>
      </c>
      <c r="AO54" s="62">
        <f t="shared" si="18"/>
        <v>1</v>
      </c>
      <c r="AP54" s="62">
        <f t="shared" si="18"/>
        <v>1</v>
      </c>
      <c r="AQ54" s="62">
        <f t="shared" si="18"/>
        <v>1</v>
      </c>
      <c r="AR54" s="63">
        <f t="shared" si="18"/>
        <v>1</v>
      </c>
      <c r="AS54" s="135"/>
      <c r="AT54" s="136"/>
      <c r="AU54" s="136"/>
      <c r="AV54" s="136"/>
      <c r="AW54" s="136"/>
      <c r="AX54" s="136"/>
      <c r="AY54" s="136"/>
      <c r="AZ54" s="137"/>
      <c r="BA54" s="37">
        <f t="shared" si="14"/>
        <v>32</v>
      </c>
      <c r="BB54" s="9">
        <f t="shared" si="6"/>
        <v>400</v>
      </c>
      <c r="BC54" s="10">
        <f t="shared" si="7"/>
        <v>88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350</v>
      </c>
      <c r="E55" s="61">
        <v>1</v>
      </c>
      <c r="F55" s="62">
        <f t="shared" si="19"/>
        <v>1</v>
      </c>
      <c r="G55" s="62">
        <f t="shared" si="19"/>
        <v>1</v>
      </c>
      <c r="H55" s="62">
        <f t="shared" si="19"/>
        <v>1</v>
      </c>
      <c r="I55" s="62">
        <f t="shared" si="19"/>
        <v>1</v>
      </c>
      <c r="J55" s="62">
        <f t="shared" si="19"/>
        <v>1</v>
      </c>
      <c r="K55" s="62">
        <f t="shared" si="19"/>
        <v>1</v>
      </c>
      <c r="L55" s="63">
        <f t="shared" si="19"/>
        <v>1</v>
      </c>
      <c r="M55" s="61">
        <v>1</v>
      </c>
      <c r="N55" s="62">
        <f t="shared" si="15"/>
        <v>1</v>
      </c>
      <c r="O55" s="62">
        <f t="shared" si="15"/>
        <v>1</v>
      </c>
      <c r="P55" s="62">
        <f t="shared" si="15"/>
        <v>1</v>
      </c>
      <c r="Q55" s="62">
        <f t="shared" si="15"/>
        <v>1</v>
      </c>
      <c r="R55" s="62">
        <f t="shared" si="15"/>
        <v>1</v>
      </c>
      <c r="S55" s="62">
        <f t="shared" si="15"/>
        <v>1</v>
      </c>
      <c r="T55" s="63">
        <f t="shared" si="15"/>
        <v>1</v>
      </c>
      <c r="U55" s="61" t="s">
        <v>124</v>
      </c>
      <c r="V55" s="62" t="str">
        <f t="shared" si="16"/>
        <v>a</v>
      </c>
      <c r="W55" s="62" t="str">
        <f t="shared" si="16"/>
        <v>a</v>
      </c>
      <c r="X55" s="62" t="str">
        <f t="shared" si="16"/>
        <v>a</v>
      </c>
      <c r="Y55" s="62" t="str">
        <f t="shared" si="16"/>
        <v>a</v>
      </c>
      <c r="Z55" s="62" t="str">
        <f t="shared" si="16"/>
        <v>a</v>
      </c>
      <c r="AA55" s="62" t="str">
        <f t="shared" si="16"/>
        <v>a</v>
      </c>
      <c r="AB55" s="63" t="str">
        <f t="shared" si="16"/>
        <v>a</v>
      </c>
      <c r="AC55" s="61">
        <v>1</v>
      </c>
      <c r="AD55" s="62">
        <f t="shared" si="17"/>
        <v>1</v>
      </c>
      <c r="AE55" s="62">
        <f t="shared" si="17"/>
        <v>1</v>
      </c>
      <c r="AF55" s="62">
        <f t="shared" si="17"/>
        <v>1</v>
      </c>
      <c r="AG55" s="62">
        <f t="shared" si="17"/>
        <v>1</v>
      </c>
      <c r="AH55" s="62">
        <f t="shared" si="17"/>
        <v>1</v>
      </c>
      <c r="AI55" s="62">
        <f t="shared" si="17"/>
        <v>1</v>
      </c>
      <c r="AJ55" s="63">
        <f t="shared" si="17"/>
        <v>1</v>
      </c>
      <c r="AK55" s="61">
        <v>1</v>
      </c>
      <c r="AL55" s="62">
        <f t="shared" si="18"/>
        <v>1</v>
      </c>
      <c r="AM55" s="62">
        <f t="shared" si="18"/>
        <v>1</v>
      </c>
      <c r="AN55" s="62">
        <f t="shared" si="18"/>
        <v>1</v>
      </c>
      <c r="AO55" s="62">
        <f t="shared" si="18"/>
        <v>1</v>
      </c>
      <c r="AP55" s="62">
        <f t="shared" si="18"/>
        <v>1</v>
      </c>
      <c r="AQ55" s="62">
        <f t="shared" si="18"/>
        <v>1</v>
      </c>
      <c r="AR55" s="63">
        <f t="shared" si="18"/>
        <v>1</v>
      </c>
      <c r="AS55" s="135"/>
      <c r="AT55" s="136"/>
      <c r="AU55" s="136"/>
      <c r="AV55" s="136"/>
      <c r="AW55" s="136"/>
      <c r="AX55" s="136"/>
      <c r="AY55" s="136"/>
      <c r="AZ55" s="137"/>
      <c r="BA55" s="37">
        <f t="shared" si="14"/>
        <v>32</v>
      </c>
      <c r="BB55" s="9">
        <f t="shared" si="6"/>
        <v>382</v>
      </c>
      <c r="BC55" s="10">
        <f t="shared" si="7"/>
        <v>84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382</v>
      </c>
      <c r="E56" s="61">
        <v>1</v>
      </c>
      <c r="F56" s="62">
        <f t="shared" si="19"/>
        <v>1</v>
      </c>
      <c r="G56" s="62">
        <f t="shared" si="19"/>
        <v>1</v>
      </c>
      <c r="H56" s="62">
        <f t="shared" si="19"/>
        <v>1</v>
      </c>
      <c r="I56" s="62">
        <f t="shared" si="19"/>
        <v>1</v>
      </c>
      <c r="J56" s="62">
        <f t="shared" si="19"/>
        <v>1</v>
      </c>
      <c r="K56" s="62">
        <f t="shared" si="19"/>
        <v>1</v>
      </c>
      <c r="L56" s="63">
        <f t="shared" si="19"/>
        <v>1</v>
      </c>
      <c r="M56" s="61">
        <v>1</v>
      </c>
      <c r="N56" s="62">
        <f t="shared" si="15"/>
        <v>1</v>
      </c>
      <c r="O56" s="62">
        <f t="shared" si="15"/>
        <v>1</v>
      </c>
      <c r="P56" s="62">
        <f t="shared" si="15"/>
        <v>1</v>
      </c>
      <c r="Q56" s="62">
        <f t="shared" si="15"/>
        <v>1</v>
      </c>
      <c r="R56" s="62">
        <f t="shared" si="15"/>
        <v>1</v>
      </c>
      <c r="S56" s="62">
        <f t="shared" si="15"/>
        <v>1</v>
      </c>
      <c r="T56" s="63">
        <f t="shared" si="15"/>
        <v>1</v>
      </c>
      <c r="U56" s="61">
        <v>1</v>
      </c>
      <c r="V56" s="62">
        <f t="shared" si="16"/>
        <v>1</v>
      </c>
      <c r="W56" s="62">
        <f t="shared" si="16"/>
        <v>1</v>
      </c>
      <c r="X56" s="62">
        <f t="shared" si="16"/>
        <v>1</v>
      </c>
      <c r="Y56" s="62">
        <f t="shared" si="16"/>
        <v>1</v>
      </c>
      <c r="Z56" s="62">
        <f t="shared" si="16"/>
        <v>1</v>
      </c>
      <c r="AA56" s="62">
        <f t="shared" si="16"/>
        <v>1</v>
      </c>
      <c r="AB56" s="63">
        <f t="shared" si="16"/>
        <v>1</v>
      </c>
      <c r="AC56" s="61">
        <v>1</v>
      </c>
      <c r="AD56" s="62">
        <f t="shared" si="17"/>
        <v>1</v>
      </c>
      <c r="AE56" s="62">
        <f t="shared" si="17"/>
        <v>1</v>
      </c>
      <c r="AF56" s="62">
        <f t="shared" si="17"/>
        <v>1</v>
      </c>
      <c r="AG56" s="62">
        <f t="shared" si="17"/>
        <v>1</v>
      </c>
      <c r="AH56" s="62">
        <f t="shared" si="17"/>
        <v>1</v>
      </c>
      <c r="AI56" s="62">
        <f t="shared" si="17"/>
        <v>1</v>
      </c>
      <c r="AJ56" s="63">
        <f t="shared" si="17"/>
        <v>1</v>
      </c>
      <c r="AK56" s="61">
        <v>1</v>
      </c>
      <c r="AL56" s="62">
        <f t="shared" si="18"/>
        <v>1</v>
      </c>
      <c r="AM56" s="62">
        <f t="shared" si="18"/>
        <v>1</v>
      </c>
      <c r="AN56" s="62">
        <f t="shared" si="18"/>
        <v>1</v>
      </c>
      <c r="AO56" s="62">
        <f t="shared" si="18"/>
        <v>1</v>
      </c>
      <c r="AP56" s="62">
        <f t="shared" si="18"/>
        <v>1</v>
      </c>
      <c r="AQ56" s="62">
        <f t="shared" si="18"/>
        <v>1</v>
      </c>
      <c r="AR56" s="63">
        <f t="shared" si="18"/>
        <v>1</v>
      </c>
      <c r="AS56" s="135"/>
      <c r="AT56" s="136"/>
      <c r="AU56" s="136"/>
      <c r="AV56" s="136"/>
      <c r="AW56" s="136"/>
      <c r="AX56" s="136"/>
      <c r="AY56" s="136"/>
      <c r="AZ56" s="137"/>
      <c r="BA56" s="37">
        <f t="shared" si="14"/>
        <v>40</v>
      </c>
      <c r="BB56" s="9">
        <f t="shared" si="6"/>
        <v>422</v>
      </c>
      <c r="BC56" s="10">
        <f t="shared" si="7"/>
        <v>93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358</v>
      </c>
      <c r="E57" s="61">
        <v>1</v>
      </c>
      <c r="F57" s="62">
        <f t="shared" si="19"/>
        <v>1</v>
      </c>
      <c r="G57" s="62">
        <f t="shared" si="19"/>
        <v>1</v>
      </c>
      <c r="H57" s="62">
        <f t="shared" si="19"/>
        <v>1</v>
      </c>
      <c r="I57" s="62">
        <f t="shared" si="19"/>
        <v>1</v>
      </c>
      <c r="J57" s="62">
        <f t="shared" si="19"/>
        <v>1</v>
      </c>
      <c r="K57" s="62">
        <f t="shared" si="19"/>
        <v>1</v>
      </c>
      <c r="L57" s="63">
        <f t="shared" si="19"/>
        <v>1</v>
      </c>
      <c r="M57" s="61" t="s">
        <v>124</v>
      </c>
      <c r="N57" s="62" t="str">
        <f t="shared" si="15"/>
        <v>a</v>
      </c>
      <c r="O57" s="62" t="str">
        <f t="shared" si="15"/>
        <v>a</v>
      </c>
      <c r="P57" s="62" t="str">
        <f t="shared" si="15"/>
        <v>a</v>
      </c>
      <c r="Q57" s="62" t="str">
        <f t="shared" si="15"/>
        <v>a</v>
      </c>
      <c r="R57" s="62" t="str">
        <f t="shared" si="15"/>
        <v>a</v>
      </c>
      <c r="S57" s="62" t="str">
        <f t="shared" si="15"/>
        <v>a</v>
      </c>
      <c r="T57" s="63" t="str">
        <f t="shared" si="15"/>
        <v>a</v>
      </c>
      <c r="U57" s="61">
        <v>1</v>
      </c>
      <c r="V57" s="62">
        <f t="shared" si="16"/>
        <v>1</v>
      </c>
      <c r="W57" s="62">
        <f t="shared" si="16"/>
        <v>1</v>
      </c>
      <c r="X57" s="62">
        <f t="shared" si="16"/>
        <v>1</v>
      </c>
      <c r="Y57" s="62">
        <f t="shared" si="16"/>
        <v>1</v>
      </c>
      <c r="Z57" s="62">
        <f t="shared" si="16"/>
        <v>1</v>
      </c>
      <c r="AA57" s="62">
        <f t="shared" si="16"/>
        <v>1</v>
      </c>
      <c r="AB57" s="63">
        <f t="shared" si="16"/>
        <v>1</v>
      </c>
      <c r="AC57" s="61">
        <v>1</v>
      </c>
      <c r="AD57" s="62">
        <f t="shared" si="17"/>
        <v>1</v>
      </c>
      <c r="AE57" s="62">
        <f t="shared" si="17"/>
        <v>1</v>
      </c>
      <c r="AF57" s="62">
        <f t="shared" si="17"/>
        <v>1</v>
      </c>
      <c r="AG57" s="62">
        <f t="shared" si="17"/>
        <v>1</v>
      </c>
      <c r="AH57" s="62">
        <f t="shared" si="17"/>
        <v>1</v>
      </c>
      <c r="AI57" s="62">
        <f t="shared" si="17"/>
        <v>1</v>
      </c>
      <c r="AJ57" s="63">
        <f t="shared" si="17"/>
        <v>1</v>
      </c>
      <c r="AK57" s="61">
        <v>1</v>
      </c>
      <c r="AL57" s="62">
        <f t="shared" si="18"/>
        <v>1</v>
      </c>
      <c r="AM57" s="62">
        <f t="shared" si="18"/>
        <v>1</v>
      </c>
      <c r="AN57" s="62">
        <f t="shared" si="18"/>
        <v>1</v>
      </c>
      <c r="AO57" s="62">
        <f t="shared" si="18"/>
        <v>1</v>
      </c>
      <c r="AP57" s="62">
        <f t="shared" si="18"/>
        <v>1</v>
      </c>
      <c r="AQ57" s="62">
        <f t="shared" si="18"/>
        <v>1</v>
      </c>
      <c r="AR57" s="63">
        <f t="shared" si="18"/>
        <v>1</v>
      </c>
      <c r="AS57" s="135"/>
      <c r="AT57" s="136"/>
      <c r="AU57" s="136"/>
      <c r="AV57" s="136"/>
      <c r="AW57" s="136"/>
      <c r="AX57" s="136"/>
      <c r="AY57" s="136"/>
      <c r="AZ57" s="137"/>
      <c r="BA57" s="37">
        <f t="shared" si="14"/>
        <v>32</v>
      </c>
      <c r="BB57" s="9">
        <f t="shared" si="6"/>
        <v>390</v>
      </c>
      <c r="BC57" s="10">
        <f t="shared" si="7"/>
        <v>86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398</v>
      </c>
      <c r="E58" s="61">
        <v>1</v>
      </c>
      <c r="F58" s="62">
        <f t="shared" si="19"/>
        <v>1</v>
      </c>
      <c r="G58" s="62">
        <f t="shared" si="19"/>
        <v>1</v>
      </c>
      <c r="H58" s="62">
        <f t="shared" si="19"/>
        <v>1</v>
      </c>
      <c r="I58" s="62">
        <f t="shared" si="19"/>
        <v>1</v>
      </c>
      <c r="J58" s="62">
        <f t="shared" si="19"/>
        <v>1</v>
      </c>
      <c r="K58" s="62">
        <f t="shared" si="19"/>
        <v>1</v>
      </c>
      <c r="L58" s="63">
        <f t="shared" si="19"/>
        <v>1</v>
      </c>
      <c r="M58" s="61">
        <v>1</v>
      </c>
      <c r="N58" s="62">
        <f t="shared" ref="N58:T73" si="20">M58</f>
        <v>1</v>
      </c>
      <c r="O58" s="62">
        <f t="shared" si="20"/>
        <v>1</v>
      </c>
      <c r="P58" s="62">
        <f t="shared" si="20"/>
        <v>1</v>
      </c>
      <c r="Q58" s="62">
        <f t="shared" si="20"/>
        <v>1</v>
      </c>
      <c r="R58" s="62">
        <f t="shared" si="20"/>
        <v>1</v>
      </c>
      <c r="S58" s="62">
        <f t="shared" si="20"/>
        <v>1</v>
      </c>
      <c r="T58" s="63">
        <f t="shared" si="20"/>
        <v>1</v>
      </c>
      <c r="U58" s="61">
        <v>1</v>
      </c>
      <c r="V58" s="62">
        <f t="shared" ref="V58:AB73" si="21">U58</f>
        <v>1</v>
      </c>
      <c r="W58" s="62">
        <f t="shared" si="21"/>
        <v>1</v>
      </c>
      <c r="X58" s="62">
        <f t="shared" si="21"/>
        <v>1</v>
      </c>
      <c r="Y58" s="62">
        <f t="shared" si="21"/>
        <v>1</v>
      </c>
      <c r="Z58" s="62">
        <f t="shared" si="21"/>
        <v>1</v>
      </c>
      <c r="AA58" s="62">
        <f t="shared" si="21"/>
        <v>1</v>
      </c>
      <c r="AB58" s="63">
        <f t="shared" si="21"/>
        <v>1</v>
      </c>
      <c r="AC58" s="61">
        <v>1</v>
      </c>
      <c r="AD58" s="62">
        <f t="shared" ref="AD58:AJ73" si="22">AC58</f>
        <v>1</v>
      </c>
      <c r="AE58" s="62">
        <f t="shared" si="22"/>
        <v>1</v>
      </c>
      <c r="AF58" s="62">
        <f t="shared" si="22"/>
        <v>1</v>
      </c>
      <c r="AG58" s="62">
        <f t="shared" si="22"/>
        <v>1</v>
      </c>
      <c r="AH58" s="62">
        <f t="shared" si="22"/>
        <v>1</v>
      </c>
      <c r="AI58" s="62">
        <f t="shared" si="22"/>
        <v>1</v>
      </c>
      <c r="AJ58" s="63">
        <f t="shared" si="22"/>
        <v>1</v>
      </c>
      <c r="AK58" s="61">
        <v>1</v>
      </c>
      <c r="AL58" s="62">
        <f t="shared" ref="AL58:AR73" si="23">AK58</f>
        <v>1</v>
      </c>
      <c r="AM58" s="62">
        <f t="shared" si="23"/>
        <v>1</v>
      </c>
      <c r="AN58" s="62">
        <f t="shared" si="23"/>
        <v>1</v>
      </c>
      <c r="AO58" s="62">
        <f t="shared" si="23"/>
        <v>1</v>
      </c>
      <c r="AP58" s="62">
        <f t="shared" si="23"/>
        <v>1</v>
      </c>
      <c r="AQ58" s="62">
        <f t="shared" si="23"/>
        <v>1</v>
      </c>
      <c r="AR58" s="63">
        <f t="shared" si="23"/>
        <v>1</v>
      </c>
      <c r="AS58" s="135"/>
      <c r="AT58" s="136"/>
      <c r="AU58" s="136"/>
      <c r="AV58" s="136"/>
      <c r="AW58" s="136"/>
      <c r="AX58" s="136"/>
      <c r="AY58" s="136"/>
      <c r="AZ58" s="137"/>
      <c r="BA58" s="37">
        <f t="shared" si="14"/>
        <v>40</v>
      </c>
      <c r="BB58" s="9">
        <f t="shared" si="6"/>
        <v>438</v>
      </c>
      <c r="BC58" s="10">
        <f t="shared" si="7"/>
        <v>96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398</v>
      </c>
      <c r="E59" s="61">
        <v>1</v>
      </c>
      <c r="F59" s="62">
        <f t="shared" si="19"/>
        <v>1</v>
      </c>
      <c r="G59" s="62">
        <f t="shared" si="19"/>
        <v>1</v>
      </c>
      <c r="H59" s="62">
        <f t="shared" si="19"/>
        <v>1</v>
      </c>
      <c r="I59" s="62">
        <f t="shared" si="19"/>
        <v>1</v>
      </c>
      <c r="J59" s="62">
        <f t="shared" si="19"/>
        <v>1</v>
      </c>
      <c r="K59" s="62">
        <f t="shared" si="19"/>
        <v>1</v>
      </c>
      <c r="L59" s="63">
        <f t="shared" si="19"/>
        <v>1</v>
      </c>
      <c r="M59" s="61">
        <v>1</v>
      </c>
      <c r="N59" s="62">
        <f t="shared" si="20"/>
        <v>1</v>
      </c>
      <c r="O59" s="62">
        <f t="shared" si="20"/>
        <v>1</v>
      </c>
      <c r="P59" s="62">
        <f t="shared" si="20"/>
        <v>1</v>
      </c>
      <c r="Q59" s="62">
        <f t="shared" si="20"/>
        <v>1</v>
      </c>
      <c r="R59" s="62">
        <f t="shared" si="20"/>
        <v>1</v>
      </c>
      <c r="S59" s="62">
        <f t="shared" si="20"/>
        <v>1</v>
      </c>
      <c r="T59" s="63">
        <f t="shared" si="20"/>
        <v>1</v>
      </c>
      <c r="U59" s="61" t="s">
        <v>124</v>
      </c>
      <c r="V59" s="62" t="str">
        <f t="shared" si="21"/>
        <v>a</v>
      </c>
      <c r="W59" s="62" t="str">
        <f t="shared" si="21"/>
        <v>a</v>
      </c>
      <c r="X59" s="62" t="str">
        <f t="shared" si="21"/>
        <v>a</v>
      </c>
      <c r="Y59" s="62" t="str">
        <f t="shared" si="21"/>
        <v>a</v>
      </c>
      <c r="Z59" s="62" t="str">
        <f t="shared" si="21"/>
        <v>a</v>
      </c>
      <c r="AA59" s="62" t="str">
        <f t="shared" si="21"/>
        <v>a</v>
      </c>
      <c r="AB59" s="63" t="str">
        <f t="shared" si="21"/>
        <v>a</v>
      </c>
      <c r="AC59" s="61">
        <v>1</v>
      </c>
      <c r="AD59" s="62">
        <f t="shared" si="22"/>
        <v>1</v>
      </c>
      <c r="AE59" s="62">
        <f t="shared" si="22"/>
        <v>1</v>
      </c>
      <c r="AF59" s="62">
        <f t="shared" si="22"/>
        <v>1</v>
      </c>
      <c r="AG59" s="62">
        <f t="shared" si="22"/>
        <v>1</v>
      </c>
      <c r="AH59" s="62">
        <f t="shared" si="22"/>
        <v>1</v>
      </c>
      <c r="AI59" s="62">
        <f t="shared" si="22"/>
        <v>1</v>
      </c>
      <c r="AJ59" s="63">
        <f t="shared" si="22"/>
        <v>1</v>
      </c>
      <c r="AK59" s="61">
        <v>1</v>
      </c>
      <c r="AL59" s="62">
        <f t="shared" si="23"/>
        <v>1</v>
      </c>
      <c r="AM59" s="62">
        <f t="shared" si="23"/>
        <v>1</v>
      </c>
      <c r="AN59" s="62">
        <f t="shared" si="23"/>
        <v>1</v>
      </c>
      <c r="AO59" s="62">
        <f t="shared" si="23"/>
        <v>1</v>
      </c>
      <c r="AP59" s="62">
        <f t="shared" si="23"/>
        <v>1</v>
      </c>
      <c r="AQ59" s="62">
        <f t="shared" si="23"/>
        <v>1</v>
      </c>
      <c r="AR59" s="63">
        <f t="shared" si="23"/>
        <v>1</v>
      </c>
      <c r="AS59" s="135"/>
      <c r="AT59" s="136"/>
      <c r="AU59" s="136"/>
      <c r="AV59" s="136"/>
      <c r="AW59" s="136"/>
      <c r="AX59" s="136"/>
      <c r="AY59" s="136"/>
      <c r="AZ59" s="137"/>
      <c r="BA59" s="37">
        <f t="shared" si="14"/>
        <v>32</v>
      </c>
      <c r="BB59" s="9">
        <f t="shared" si="6"/>
        <v>430</v>
      </c>
      <c r="BC59" s="10">
        <f t="shared" si="7"/>
        <v>95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310</v>
      </c>
      <c r="E60" s="61">
        <v>1</v>
      </c>
      <c r="F60" s="62">
        <f t="shared" ref="F60:L73" si="24">E60</f>
        <v>1</v>
      </c>
      <c r="G60" s="62">
        <f t="shared" si="24"/>
        <v>1</v>
      </c>
      <c r="H60" s="62">
        <f t="shared" si="24"/>
        <v>1</v>
      </c>
      <c r="I60" s="62">
        <f t="shared" si="24"/>
        <v>1</v>
      </c>
      <c r="J60" s="62">
        <f t="shared" si="24"/>
        <v>1</v>
      </c>
      <c r="K60" s="62">
        <f t="shared" si="24"/>
        <v>1</v>
      </c>
      <c r="L60" s="63">
        <f t="shared" si="24"/>
        <v>1</v>
      </c>
      <c r="M60" s="61">
        <v>1</v>
      </c>
      <c r="N60" s="62">
        <f t="shared" si="20"/>
        <v>1</v>
      </c>
      <c r="O60" s="62">
        <f t="shared" si="20"/>
        <v>1</v>
      </c>
      <c r="P60" s="62">
        <f t="shared" si="20"/>
        <v>1</v>
      </c>
      <c r="Q60" s="62">
        <f t="shared" si="20"/>
        <v>1</v>
      </c>
      <c r="R60" s="62">
        <f t="shared" si="20"/>
        <v>1</v>
      </c>
      <c r="S60" s="62">
        <f t="shared" si="20"/>
        <v>1</v>
      </c>
      <c r="T60" s="63">
        <f t="shared" si="20"/>
        <v>1</v>
      </c>
      <c r="U60" s="61">
        <v>1</v>
      </c>
      <c r="V60" s="62">
        <f t="shared" si="21"/>
        <v>1</v>
      </c>
      <c r="W60" s="62">
        <f t="shared" si="21"/>
        <v>1</v>
      </c>
      <c r="X60" s="62">
        <f t="shared" si="21"/>
        <v>1</v>
      </c>
      <c r="Y60" s="62">
        <f t="shared" si="21"/>
        <v>1</v>
      </c>
      <c r="Z60" s="62">
        <f t="shared" si="21"/>
        <v>1</v>
      </c>
      <c r="AA60" s="62">
        <f t="shared" si="21"/>
        <v>1</v>
      </c>
      <c r="AB60" s="63">
        <f t="shared" si="21"/>
        <v>1</v>
      </c>
      <c r="AC60" s="61">
        <v>1</v>
      </c>
      <c r="AD60" s="62">
        <f t="shared" si="22"/>
        <v>1</v>
      </c>
      <c r="AE60" s="62">
        <f t="shared" si="22"/>
        <v>1</v>
      </c>
      <c r="AF60" s="62">
        <f t="shared" si="22"/>
        <v>1</v>
      </c>
      <c r="AG60" s="62">
        <f t="shared" si="22"/>
        <v>1</v>
      </c>
      <c r="AH60" s="62">
        <f t="shared" si="22"/>
        <v>1</v>
      </c>
      <c r="AI60" s="62">
        <f t="shared" si="22"/>
        <v>1</v>
      </c>
      <c r="AJ60" s="63">
        <f t="shared" si="22"/>
        <v>1</v>
      </c>
      <c r="AK60" s="61">
        <v>1</v>
      </c>
      <c r="AL60" s="62">
        <f t="shared" si="23"/>
        <v>1</v>
      </c>
      <c r="AM60" s="62">
        <f t="shared" si="23"/>
        <v>1</v>
      </c>
      <c r="AN60" s="62">
        <f t="shared" si="23"/>
        <v>1</v>
      </c>
      <c r="AO60" s="62">
        <f t="shared" si="23"/>
        <v>1</v>
      </c>
      <c r="AP60" s="62">
        <f t="shared" si="23"/>
        <v>1</v>
      </c>
      <c r="AQ60" s="62">
        <f t="shared" si="23"/>
        <v>1</v>
      </c>
      <c r="AR60" s="63">
        <f t="shared" si="23"/>
        <v>1</v>
      </c>
      <c r="AS60" s="135"/>
      <c r="AT60" s="136"/>
      <c r="AU60" s="136"/>
      <c r="AV60" s="136"/>
      <c r="AW60" s="136"/>
      <c r="AX60" s="136"/>
      <c r="AY60" s="136"/>
      <c r="AZ60" s="137"/>
      <c r="BA60" s="37">
        <f t="shared" si="14"/>
        <v>40</v>
      </c>
      <c r="BB60" s="9">
        <f t="shared" si="6"/>
        <v>350</v>
      </c>
      <c r="BC60" s="10">
        <f t="shared" si="7"/>
        <v>77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390</v>
      </c>
      <c r="E61" s="61">
        <v>1</v>
      </c>
      <c r="F61" s="62">
        <f t="shared" si="24"/>
        <v>1</v>
      </c>
      <c r="G61" s="62">
        <f t="shared" si="24"/>
        <v>1</v>
      </c>
      <c r="H61" s="62">
        <f t="shared" si="24"/>
        <v>1</v>
      </c>
      <c r="I61" s="62">
        <f t="shared" si="24"/>
        <v>1</v>
      </c>
      <c r="J61" s="62">
        <f t="shared" si="24"/>
        <v>1</v>
      </c>
      <c r="K61" s="62">
        <f t="shared" si="24"/>
        <v>1</v>
      </c>
      <c r="L61" s="63">
        <f t="shared" si="24"/>
        <v>1</v>
      </c>
      <c r="M61" s="61">
        <v>1</v>
      </c>
      <c r="N61" s="62">
        <f t="shared" si="20"/>
        <v>1</v>
      </c>
      <c r="O61" s="62">
        <f t="shared" si="20"/>
        <v>1</v>
      </c>
      <c r="P61" s="62">
        <f t="shared" si="20"/>
        <v>1</v>
      </c>
      <c r="Q61" s="62">
        <f t="shared" si="20"/>
        <v>1</v>
      </c>
      <c r="R61" s="62">
        <f t="shared" si="20"/>
        <v>1</v>
      </c>
      <c r="S61" s="62">
        <f t="shared" si="20"/>
        <v>1</v>
      </c>
      <c r="T61" s="63">
        <f t="shared" si="20"/>
        <v>1</v>
      </c>
      <c r="U61" s="61">
        <v>1</v>
      </c>
      <c r="V61" s="62">
        <f t="shared" si="21"/>
        <v>1</v>
      </c>
      <c r="W61" s="62">
        <f t="shared" si="21"/>
        <v>1</v>
      </c>
      <c r="X61" s="62">
        <f t="shared" si="21"/>
        <v>1</v>
      </c>
      <c r="Y61" s="62">
        <f t="shared" si="21"/>
        <v>1</v>
      </c>
      <c r="Z61" s="62">
        <f t="shared" si="21"/>
        <v>1</v>
      </c>
      <c r="AA61" s="62">
        <f t="shared" si="21"/>
        <v>1</v>
      </c>
      <c r="AB61" s="63">
        <f t="shared" si="21"/>
        <v>1</v>
      </c>
      <c r="AC61" s="61">
        <v>1</v>
      </c>
      <c r="AD61" s="62">
        <f t="shared" si="22"/>
        <v>1</v>
      </c>
      <c r="AE61" s="62">
        <f t="shared" si="22"/>
        <v>1</v>
      </c>
      <c r="AF61" s="62">
        <f t="shared" si="22"/>
        <v>1</v>
      </c>
      <c r="AG61" s="62">
        <f t="shared" si="22"/>
        <v>1</v>
      </c>
      <c r="AH61" s="62">
        <f t="shared" si="22"/>
        <v>1</v>
      </c>
      <c r="AI61" s="62">
        <f t="shared" si="22"/>
        <v>1</v>
      </c>
      <c r="AJ61" s="63">
        <f t="shared" si="22"/>
        <v>1</v>
      </c>
      <c r="AK61" s="61">
        <v>1</v>
      </c>
      <c r="AL61" s="62">
        <f t="shared" si="23"/>
        <v>1</v>
      </c>
      <c r="AM61" s="62">
        <f t="shared" si="23"/>
        <v>1</v>
      </c>
      <c r="AN61" s="62">
        <f t="shared" si="23"/>
        <v>1</v>
      </c>
      <c r="AO61" s="62">
        <f t="shared" si="23"/>
        <v>1</v>
      </c>
      <c r="AP61" s="62">
        <f t="shared" si="23"/>
        <v>1</v>
      </c>
      <c r="AQ61" s="62">
        <f t="shared" si="23"/>
        <v>1</v>
      </c>
      <c r="AR61" s="63">
        <f t="shared" si="23"/>
        <v>1</v>
      </c>
      <c r="AS61" s="135"/>
      <c r="AT61" s="136"/>
      <c r="AU61" s="136"/>
      <c r="AV61" s="136"/>
      <c r="AW61" s="136"/>
      <c r="AX61" s="136"/>
      <c r="AY61" s="136"/>
      <c r="AZ61" s="137"/>
      <c r="BA61" s="37">
        <f t="shared" si="14"/>
        <v>40</v>
      </c>
      <c r="BB61" s="9">
        <f t="shared" si="6"/>
        <v>430</v>
      </c>
      <c r="BC61" s="10">
        <f t="shared" si="7"/>
        <v>95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308</v>
      </c>
      <c r="E62" s="61" t="s">
        <v>124</v>
      </c>
      <c r="F62" s="62" t="str">
        <f t="shared" si="24"/>
        <v>a</v>
      </c>
      <c r="G62" s="62" t="str">
        <f t="shared" si="24"/>
        <v>a</v>
      </c>
      <c r="H62" s="62" t="str">
        <f t="shared" si="24"/>
        <v>a</v>
      </c>
      <c r="I62" s="62" t="str">
        <f t="shared" si="24"/>
        <v>a</v>
      </c>
      <c r="J62" s="62" t="str">
        <f t="shared" si="24"/>
        <v>a</v>
      </c>
      <c r="K62" s="62" t="str">
        <f t="shared" si="24"/>
        <v>a</v>
      </c>
      <c r="L62" s="63" t="str">
        <f t="shared" si="24"/>
        <v>a</v>
      </c>
      <c r="M62" s="61" t="s">
        <v>124</v>
      </c>
      <c r="N62" s="62" t="str">
        <f t="shared" si="20"/>
        <v>a</v>
      </c>
      <c r="O62" s="62" t="str">
        <f t="shared" si="20"/>
        <v>a</v>
      </c>
      <c r="P62" s="62" t="str">
        <f t="shared" si="20"/>
        <v>a</v>
      </c>
      <c r="Q62" s="62" t="str">
        <f t="shared" si="20"/>
        <v>a</v>
      </c>
      <c r="R62" s="62" t="str">
        <f t="shared" si="20"/>
        <v>a</v>
      </c>
      <c r="S62" s="62" t="str">
        <f t="shared" si="20"/>
        <v>a</v>
      </c>
      <c r="T62" s="63" t="str">
        <f t="shared" si="20"/>
        <v>a</v>
      </c>
      <c r="U62" s="61">
        <v>1</v>
      </c>
      <c r="V62" s="62">
        <f t="shared" si="21"/>
        <v>1</v>
      </c>
      <c r="W62" s="62">
        <f t="shared" si="21"/>
        <v>1</v>
      </c>
      <c r="X62" s="62">
        <f t="shared" si="21"/>
        <v>1</v>
      </c>
      <c r="Y62" s="62">
        <f t="shared" si="21"/>
        <v>1</v>
      </c>
      <c r="Z62" s="62">
        <f t="shared" si="21"/>
        <v>1</v>
      </c>
      <c r="AA62" s="62">
        <f t="shared" si="21"/>
        <v>1</v>
      </c>
      <c r="AB62" s="63">
        <f t="shared" si="21"/>
        <v>1</v>
      </c>
      <c r="AC62" s="61" t="s">
        <v>124</v>
      </c>
      <c r="AD62" s="62" t="str">
        <f t="shared" si="22"/>
        <v>a</v>
      </c>
      <c r="AE62" s="62" t="str">
        <f t="shared" si="22"/>
        <v>a</v>
      </c>
      <c r="AF62" s="62" t="str">
        <f t="shared" si="22"/>
        <v>a</v>
      </c>
      <c r="AG62" s="62" t="str">
        <f t="shared" si="22"/>
        <v>a</v>
      </c>
      <c r="AH62" s="62" t="str">
        <f t="shared" si="22"/>
        <v>a</v>
      </c>
      <c r="AI62" s="62" t="str">
        <f t="shared" si="22"/>
        <v>a</v>
      </c>
      <c r="AJ62" s="63" t="str">
        <f t="shared" si="22"/>
        <v>a</v>
      </c>
      <c r="AK62" s="61">
        <v>1</v>
      </c>
      <c r="AL62" s="62">
        <f t="shared" si="23"/>
        <v>1</v>
      </c>
      <c r="AM62" s="62">
        <f t="shared" si="23"/>
        <v>1</v>
      </c>
      <c r="AN62" s="62">
        <f t="shared" si="23"/>
        <v>1</v>
      </c>
      <c r="AO62" s="62">
        <f t="shared" si="23"/>
        <v>1</v>
      </c>
      <c r="AP62" s="62">
        <f t="shared" si="23"/>
        <v>1</v>
      </c>
      <c r="AQ62" s="62">
        <f t="shared" si="23"/>
        <v>1</v>
      </c>
      <c r="AR62" s="63">
        <f t="shared" si="23"/>
        <v>1</v>
      </c>
      <c r="AS62" s="135"/>
      <c r="AT62" s="136"/>
      <c r="AU62" s="136"/>
      <c r="AV62" s="136"/>
      <c r="AW62" s="136"/>
      <c r="AX62" s="136"/>
      <c r="AY62" s="136"/>
      <c r="AZ62" s="137"/>
      <c r="BA62" s="42">
        <f t="shared" si="14"/>
        <v>16</v>
      </c>
      <c r="BB62" s="9">
        <f t="shared" si="6"/>
        <v>324</v>
      </c>
      <c r="BC62" s="10">
        <f t="shared" si="7"/>
        <v>71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327</v>
      </c>
      <c r="E63" s="61">
        <v>1</v>
      </c>
      <c r="F63" s="62">
        <f t="shared" si="24"/>
        <v>1</v>
      </c>
      <c r="G63" s="62">
        <f t="shared" si="24"/>
        <v>1</v>
      </c>
      <c r="H63" s="62">
        <f t="shared" si="24"/>
        <v>1</v>
      </c>
      <c r="I63" s="62">
        <f t="shared" si="24"/>
        <v>1</v>
      </c>
      <c r="J63" s="62">
        <f t="shared" si="24"/>
        <v>1</v>
      </c>
      <c r="K63" s="62">
        <f t="shared" si="24"/>
        <v>1</v>
      </c>
      <c r="L63" s="63">
        <f t="shared" si="24"/>
        <v>1</v>
      </c>
      <c r="M63" s="61">
        <v>1</v>
      </c>
      <c r="N63" s="62">
        <f t="shared" si="20"/>
        <v>1</v>
      </c>
      <c r="O63" s="62">
        <f t="shared" si="20"/>
        <v>1</v>
      </c>
      <c r="P63" s="62">
        <f t="shared" si="20"/>
        <v>1</v>
      </c>
      <c r="Q63" s="62">
        <f t="shared" si="20"/>
        <v>1</v>
      </c>
      <c r="R63" s="62">
        <f t="shared" si="20"/>
        <v>1</v>
      </c>
      <c r="S63" s="62">
        <f t="shared" si="20"/>
        <v>1</v>
      </c>
      <c r="T63" s="63">
        <f t="shared" si="20"/>
        <v>1</v>
      </c>
      <c r="U63" s="61" t="s">
        <v>124</v>
      </c>
      <c r="V63" s="62" t="str">
        <f t="shared" si="21"/>
        <v>a</v>
      </c>
      <c r="W63" s="62" t="str">
        <f t="shared" si="21"/>
        <v>a</v>
      </c>
      <c r="X63" s="62" t="str">
        <f t="shared" si="21"/>
        <v>a</v>
      </c>
      <c r="Y63" s="62" t="str">
        <f t="shared" si="21"/>
        <v>a</v>
      </c>
      <c r="Z63" s="62" t="str">
        <f t="shared" si="21"/>
        <v>a</v>
      </c>
      <c r="AA63" s="62" t="str">
        <f t="shared" si="21"/>
        <v>a</v>
      </c>
      <c r="AB63" s="63" t="str">
        <f t="shared" si="21"/>
        <v>a</v>
      </c>
      <c r="AC63" s="61">
        <v>1</v>
      </c>
      <c r="AD63" s="62">
        <f t="shared" si="22"/>
        <v>1</v>
      </c>
      <c r="AE63" s="62">
        <f t="shared" si="22"/>
        <v>1</v>
      </c>
      <c r="AF63" s="62">
        <f t="shared" si="22"/>
        <v>1</v>
      </c>
      <c r="AG63" s="62">
        <f t="shared" si="22"/>
        <v>1</v>
      </c>
      <c r="AH63" s="62">
        <f t="shared" si="22"/>
        <v>1</v>
      </c>
      <c r="AI63" s="62">
        <f t="shared" si="22"/>
        <v>1</v>
      </c>
      <c r="AJ63" s="63">
        <f t="shared" si="22"/>
        <v>1</v>
      </c>
      <c r="AK63" s="61">
        <v>1</v>
      </c>
      <c r="AL63" s="62">
        <f t="shared" si="23"/>
        <v>1</v>
      </c>
      <c r="AM63" s="62">
        <f t="shared" si="23"/>
        <v>1</v>
      </c>
      <c r="AN63" s="62">
        <f t="shared" si="23"/>
        <v>1</v>
      </c>
      <c r="AO63" s="62">
        <f t="shared" si="23"/>
        <v>1</v>
      </c>
      <c r="AP63" s="62">
        <f t="shared" si="23"/>
        <v>1</v>
      </c>
      <c r="AQ63" s="62">
        <f t="shared" si="23"/>
        <v>1</v>
      </c>
      <c r="AR63" s="63">
        <f t="shared" si="23"/>
        <v>1</v>
      </c>
      <c r="AS63" s="135"/>
      <c r="AT63" s="136"/>
      <c r="AU63" s="136"/>
      <c r="AV63" s="136"/>
      <c r="AW63" s="136"/>
      <c r="AX63" s="136"/>
      <c r="AY63" s="136"/>
      <c r="AZ63" s="137"/>
      <c r="BA63" s="42">
        <f t="shared" si="14"/>
        <v>32</v>
      </c>
      <c r="BB63" s="9">
        <f t="shared" si="6"/>
        <v>359</v>
      </c>
      <c r="BC63" s="10">
        <f t="shared" si="7"/>
        <v>79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360</v>
      </c>
      <c r="E64" s="61">
        <v>1</v>
      </c>
      <c r="F64" s="62">
        <f t="shared" si="24"/>
        <v>1</v>
      </c>
      <c r="G64" s="62">
        <f t="shared" si="24"/>
        <v>1</v>
      </c>
      <c r="H64" s="62">
        <f t="shared" si="24"/>
        <v>1</v>
      </c>
      <c r="I64" s="62">
        <f t="shared" si="24"/>
        <v>1</v>
      </c>
      <c r="J64" s="62">
        <f t="shared" si="24"/>
        <v>1</v>
      </c>
      <c r="K64" s="62">
        <f t="shared" si="24"/>
        <v>1</v>
      </c>
      <c r="L64" s="63">
        <f t="shared" si="24"/>
        <v>1</v>
      </c>
      <c r="M64" s="61">
        <v>1</v>
      </c>
      <c r="N64" s="62">
        <f t="shared" si="20"/>
        <v>1</v>
      </c>
      <c r="O64" s="62">
        <f t="shared" si="20"/>
        <v>1</v>
      </c>
      <c r="P64" s="62">
        <f t="shared" si="20"/>
        <v>1</v>
      </c>
      <c r="Q64" s="62">
        <f t="shared" si="20"/>
        <v>1</v>
      </c>
      <c r="R64" s="62">
        <f t="shared" si="20"/>
        <v>1</v>
      </c>
      <c r="S64" s="62">
        <f t="shared" si="20"/>
        <v>1</v>
      </c>
      <c r="T64" s="63">
        <f t="shared" si="20"/>
        <v>1</v>
      </c>
      <c r="U64" s="61">
        <v>1</v>
      </c>
      <c r="V64" s="62">
        <f t="shared" si="21"/>
        <v>1</v>
      </c>
      <c r="W64" s="62">
        <f t="shared" si="21"/>
        <v>1</v>
      </c>
      <c r="X64" s="62">
        <f t="shared" si="21"/>
        <v>1</v>
      </c>
      <c r="Y64" s="62">
        <f t="shared" si="21"/>
        <v>1</v>
      </c>
      <c r="Z64" s="62">
        <f t="shared" si="21"/>
        <v>1</v>
      </c>
      <c r="AA64" s="62">
        <f t="shared" si="21"/>
        <v>1</v>
      </c>
      <c r="AB64" s="63">
        <f t="shared" si="21"/>
        <v>1</v>
      </c>
      <c r="AC64" s="61">
        <v>1</v>
      </c>
      <c r="AD64" s="62">
        <f t="shared" si="22"/>
        <v>1</v>
      </c>
      <c r="AE64" s="62">
        <f t="shared" si="22"/>
        <v>1</v>
      </c>
      <c r="AF64" s="62">
        <f t="shared" si="22"/>
        <v>1</v>
      </c>
      <c r="AG64" s="62">
        <f t="shared" si="22"/>
        <v>1</v>
      </c>
      <c r="AH64" s="62">
        <f t="shared" si="22"/>
        <v>1</v>
      </c>
      <c r="AI64" s="62">
        <f t="shared" si="22"/>
        <v>1</v>
      </c>
      <c r="AJ64" s="63">
        <f t="shared" si="22"/>
        <v>1</v>
      </c>
      <c r="AK64" s="61">
        <v>1</v>
      </c>
      <c r="AL64" s="62">
        <f t="shared" si="23"/>
        <v>1</v>
      </c>
      <c r="AM64" s="62">
        <f t="shared" si="23"/>
        <v>1</v>
      </c>
      <c r="AN64" s="62">
        <f t="shared" si="23"/>
        <v>1</v>
      </c>
      <c r="AO64" s="62">
        <f t="shared" si="23"/>
        <v>1</v>
      </c>
      <c r="AP64" s="62">
        <f t="shared" si="23"/>
        <v>1</v>
      </c>
      <c r="AQ64" s="62">
        <f t="shared" si="23"/>
        <v>1</v>
      </c>
      <c r="AR64" s="63">
        <f t="shared" si="23"/>
        <v>1</v>
      </c>
      <c r="AS64" s="135"/>
      <c r="AT64" s="136"/>
      <c r="AU64" s="136"/>
      <c r="AV64" s="136"/>
      <c r="AW64" s="136"/>
      <c r="AX64" s="136"/>
      <c r="AY64" s="136"/>
      <c r="AZ64" s="137"/>
      <c r="BA64" s="42">
        <f t="shared" si="14"/>
        <v>40</v>
      </c>
      <c r="BB64" s="9">
        <f t="shared" si="6"/>
        <v>400</v>
      </c>
      <c r="BC64" s="10">
        <f t="shared" si="7"/>
        <v>88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348</v>
      </c>
      <c r="E65" s="61">
        <v>1</v>
      </c>
      <c r="F65" s="62">
        <f t="shared" si="24"/>
        <v>1</v>
      </c>
      <c r="G65" s="62">
        <f t="shared" si="24"/>
        <v>1</v>
      </c>
      <c r="H65" s="62">
        <f t="shared" si="24"/>
        <v>1</v>
      </c>
      <c r="I65" s="62">
        <f t="shared" si="24"/>
        <v>1</v>
      </c>
      <c r="J65" s="62">
        <f t="shared" si="24"/>
        <v>1</v>
      </c>
      <c r="K65" s="62">
        <f t="shared" si="24"/>
        <v>1</v>
      </c>
      <c r="L65" s="63">
        <f t="shared" si="24"/>
        <v>1</v>
      </c>
      <c r="M65" s="61" t="s">
        <v>124</v>
      </c>
      <c r="N65" s="62" t="str">
        <f t="shared" si="20"/>
        <v>a</v>
      </c>
      <c r="O65" s="62" t="str">
        <f t="shared" si="20"/>
        <v>a</v>
      </c>
      <c r="P65" s="62" t="str">
        <f t="shared" si="20"/>
        <v>a</v>
      </c>
      <c r="Q65" s="62" t="str">
        <f t="shared" si="20"/>
        <v>a</v>
      </c>
      <c r="R65" s="62" t="str">
        <f t="shared" si="20"/>
        <v>a</v>
      </c>
      <c r="S65" s="62" t="str">
        <f t="shared" si="20"/>
        <v>a</v>
      </c>
      <c r="T65" s="63" t="str">
        <f t="shared" si="20"/>
        <v>a</v>
      </c>
      <c r="U65" s="61">
        <v>1</v>
      </c>
      <c r="V65" s="62">
        <f t="shared" si="21"/>
        <v>1</v>
      </c>
      <c r="W65" s="62">
        <f t="shared" si="21"/>
        <v>1</v>
      </c>
      <c r="X65" s="62">
        <f t="shared" si="21"/>
        <v>1</v>
      </c>
      <c r="Y65" s="62">
        <f t="shared" si="21"/>
        <v>1</v>
      </c>
      <c r="Z65" s="62">
        <f t="shared" si="21"/>
        <v>1</v>
      </c>
      <c r="AA65" s="62">
        <f t="shared" si="21"/>
        <v>1</v>
      </c>
      <c r="AB65" s="63">
        <f t="shared" si="21"/>
        <v>1</v>
      </c>
      <c r="AC65" s="61">
        <v>1</v>
      </c>
      <c r="AD65" s="62">
        <f t="shared" si="22"/>
        <v>1</v>
      </c>
      <c r="AE65" s="62">
        <f t="shared" si="22"/>
        <v>1</v>
      </c>
      <c r="AF65" s="62">
        <f t="shared" si="22"/>
        <v>1</v>
      </c>
      <c r="AG65" s="62">
        <f t="shared" si="22"/>
        <v>1</v>
      </c>
      <c r="AH65" s="62">
        <f t="shared" si="22"/>
        <v>1</v>
      </c>
      <c r="AI65" s="62">
        <f t="shared" si="22"/>
        <v>1</v>
      </c>
      <c r="AJ65" s="63">
        <f t="shared" si="22"/>
        <v>1</v>
      </c>
      <c r="AK65" s="61">
        <v>1</v>
      </c>
      <c r="AL65" s="62">
        <f t="shared" si="23"/>
        <v>1</v>
      </c>
      <c r="AM65" s="62">
        <f t="shared" si="23"/>
        <v>1</v>
      </c>
      <c r="AN65" s="62">
        <f t="shared" si="23"/>
        <v>1</v>
      </c>
      <c r="AO65" s="62">
        <f t="shared" si="23"/>
        <v>1</v>
      </c>
      <c r="AP65" s="62">
        <f t="shared" si="23"/>
        <v>1</v>
      </c>
      <c r="AQ65" s="62">
        <f t="shared" si="23"/>
        <v>1</v>
      </c>
      <c r="AR65" s="63">
        <f t="shared" si="23"/>
        <v>1</v>
      </c>
      <c r="AS65" s="135"/>
      <c r="AT65" s="136"/>
      <c r="AU65" s="136"/>
      <c r="AV65" s="136"/>
      <c r="AW65" s="136"/>
      <c r="AX65" s="136"/>
      <c r="AY65" s="136"/>
      <c r="AZ65" s="137"/>
      <c r="BA65" s="37">
        <f t="shared" si="14"/>
        <v>32</v>
      </c>
      <c r="BB65" s="9">
        <f t="shared" si="6"/>
        <v>380</v>
      </c>
      <c r="BC65" s="10">
        <f t="shared" si="7"/>
        <v>84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398</v>
      </c>
      <c r="E66" s="61">
        <v>1</v>
      </c>
      <c r="F66" s="62">
        <f t="shared" si="24"/>
        <v>1</v>
      </c>
      <c r="G66" s="62">
        <f t="shared" si="24"/>
        <v>1</v>
      </c>
      <c r="H66" s="62">
        <f t="shared" si="24"/>
        <v>1</v>
      </c>
      <c r="I66" s="62">
        <f t="shared" si="24"/>
        <v>1</v>
      </c>
      <c r="J66" s="62">
        <f t="shared" si="24"/>
        <v>1</v>
      </c>
      <c r="K66" s="62">
        <f t="shared" si="24"/>
        <v>1</v>
      </c>
      <c r="L66" s="63">
        <f t="shared" si="24"/>
        <v>1</v>
      </c>
      <c r="M66" s="61">
        <v>1</v>
      </c>
      <c r="N66" s="62">
        <f t="shared" si="20"/>
        <v>1</v>
      </c>
      <c r="O66" s="62">
        <f t="shared" si="20"/>
        <v>1</v>
      </c>
      <c r="P66" s="62">
        <f t="shared" si="20"/>
        <v>1</v>
      </c>
      <c r="Q66" s="62">
        <f t="shared" si="20"/>
        <v>1</v>
      </c>
      <c r="R66" s="62">
        <f t="shared" si="20"/>
        <v>1</v>
      </c>
      <c r="S66" s="62">
        <f t="shared" si="20"/>
        <v>1</v>
      </c>
      <c r="T66" s="63">
        <f t="shared" si="20"/>
        <v>1</v>
      </c>
      <c r="U66" s="61">
        <v>1</v>
      </c>
      <c r="V66" s="62">
        <f t="shared" si="21"/>
        <v>1</v>
      </c>
      <c r="W66" s="62">
        <f t="shared" si="21"/>
        <v>1</v>
      </c>
      <c r="X66" s="62">
        <f t="shared" si="21"/>
        <v>1</v>
      </c>
      <c r="Y66" s="62">
        <f t="shared" si="21"/>
        <v>1</v>
      </c>
      <c r="Z66" s="62">
        <f t="shared" si="21"/>
        <v>1</v>
      </c>
      <c r="AA66" s="62">
        <f t="shared" si="21"/>
        <v>1</v>
      </c>
      <c r="AB66" s="63">
        <f t="shared" si="21"/>
        <v>1</v>
      </c>
      <c r="AC66" s="61" t="s">
        <v>124</v>
      </c>
      <c r="AD66" s="62" t="str">
        <f t="shared" si="22"/>
        <v>a</v>
      </c>
      <c r="AE66" s="62" t="str">
        <f t="shared" si="22"/>
        <v>a</v>
      </c>
      <c r="AF66" s="62" t="str">
        <f t="shared" si="22"/>
        <v>a</v>
      </c>
      <c r="AG66" s="62" t="str">
        <f t="shared" si="22"/>
        <v>a</v>
      </c>
      <c r="AH66" s="62" t="str">
        <f t="shared" si="22"/>
        <v>a</v>
      </c>
      <c r="AI66" s="62" t="str">
        <f t="shared" si="22"/>
        <v>a</v>
      </c>
      <c r="AJ66" s="63" t="str">
        <f t="shared" si="22"/>
        <v>a</v>
      </c>
      <c r="AK66" s="61">
        <v>1</v>
      </c>
      <c r="AL66" s="62">
        <f t="shared" si="23"/>
        <v>1</v>
      </c>
      <c r="AM66" s="62">
        <f t="shared" si="23"/>
        <v>1</v>
      </c>
      <c r="AN66" s="62">
        <f t="shared" si="23"/>
        <v>1</v>
      </c>
      <c r="AO66" s="62">
        <f t="shared" si="23"/>
        <v>1</v>
      </c>
      <c r="AP66" s="62">
        <f t="shared" si="23"/>
        <v>1</v>
      </c>
      <c r="AQ66" s="62">
        <f t="shared" si="23"/>
        <v>1</v>
      </c>
      <c r="AR66" s="63">
        <f t="shared" si="23"/>
        <v>1</v>
      </c>
      <c r="AS66" s="135"/>
      <c r="AT66" s="136"/>
      <c r="AU66" s="136"/>
      <c r="AV66" s="136"/>
      <c r="AW66" s="136"/>
      <c r="AX66" s="136"/>
      <c r="AY66" s="136"/>
      <c r="AZ66" s="137"/>
      <c r="BA66" s="37">
        <f t="shared" si="14"/>
        <v>32</v>
      </c>
      <c r="BB66" s="9">
        <f t="shared" si="6"/>
        <v>430</v>
      </c>
      <c r="BC66" s="10">
        <f t="shared" si="7"/>
        <v>95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358</v>
      </c>
      <c r="E67" s="61">
        <v>1</v>
      </c>
      <c r="F67" s="62">
        <f t="shared" si="24"/>
        <v>1</v>
      </c>
      <c r="G67" s="62">
        <f t="shared" si="24"/>
        <v>1</v>
      </c>
      <c r="H67" s="62">
        <f t="shared" si="24"/>
        <v>1</v>
      </c>
      <c r="I67" s="62">
        <f t="shared" si="24"/>
        <v>1</v>
      </c>
      <c r="J67" s="62">
        <f t="shared" si="24"/>
        <v>1</v>
      </c>
      <c r="K67" s="62">
        <f t="shared" si="24"/>
        <v>1</v>
      </c>
      <c r="L67" s="63">
        <f t="shared" si="24"/>
        <v>1</v>
      </c>
      <c r="M67" s="61">
        <v>1</v>
      </c>
      <c r="N67" s="62">
        <f t="shared" si="20"/>
        <v>1</v>
      </c>
      <c r="O67" s="62">
        <f t="shared" si="20"/>
        <v>1</v>
      </c>
      <c r="P67" s="62">
        <f t="shared" si="20"/>
        <v>1</v>
      </c>
      <c r="Q67" s="62">
        <f t="shared" si="20"/>
        <v>1</v>
      </c>
      <c r="R67" s="62">
        <f t="shared" si="20"/>
        <v>1</v>
      </c>
      <c r="S67" s="62">
        <f t="shared" si="20"/>
        <v>1</v>
      </c>
      <c r="T67" s="63">
        <f t="shared" si="20"/>
        <v>1</v>
      </c>
      <c r="U67" s="61" t="s">
        <v>124</v>
      </c>
      <c r="V67" s="62" t="str">
        <f t="shared" si="21"/>
        <v>a</v>
      </c>
      <c r="W67" s="62" t="str">
        <f t="shared" si="21"/>
        <v>a</v>
      </c>
      <c r="X67" s="62" t="str">
        <f t="shared" si="21"/>
        <v>a</v>
      </c>
      <c r="Y67" s="62" t="str">
        <f t="shared" si="21"/>
        <v>a</v>
      </c>
      <c r="Z67" s="62" t="str">
        <f t="shared" si="21"/>
        <v>a</v>
      </c>
      <c r="AA67" s="62" t="str">
        <f t="shared" si="21"/>
        <v>a</v>
      </c>
      <c r="AB67" s="63" t="str">
        <f t="shared" si="21"/>
        <v>a</v>
      </c>
      <c r="AC67" s="61">
        <v>1</v>
      </c>
      <c r="AD67" s="62">
        <f t="shared" si="22"/>
        <v>1</v>
      </c>
      <c r="AE67" s="62">
        <f t="shared" si="22"/>
        <v>1</v>
      </c>
      <c r="AF67" s="62">
        <f t="shared" si="22"/>
        <v>1</v>
      </c>
      <c r="AG67" s="62">
        <f t="shared" si="22"/>
        <v>1</v>
      </c>
      <c r="AH67" s="62">
        <f t="shared" si="22"/>
        <v>1</v>
      </c>
      <c r="AI67" s="62">
        <f t="shared" si="22"/>
        <v>1</v>
      </c>
      <c r="AJ67" s="63">
        <f t="shared" si="22"/>
        <v>1</v>
      </c>
      <c r="AK67" s="61">
        <v>1</v>
      </c>
      <c r="AL67" s="62">
        <f t="shared" si="23"/>
        <v>1</v>
      </c>
      <c r="AM67" s="62">
        <f t="shared" si="23"/>
        <v>1</v>
      </c>
      <c r="AN67" s="62">
        <f t="shared" si="23"/>
        <v>1</v>
      </c>
      <c r="AO67" s="62">
        <f t="shared" si="23"/>
        <v>1</v>
      </c>
      <c r="AP67" s="62">
        <f t="shared" si="23"/>
        <v>1</v>
      </c>
      <c r="AQ67" s="62">
        <f t="shared" si="23"/>
        <v>1</v>
      </c>
      <c r="AR67" s="63">
        <f t="shared" si="23"/>
        <v>1</v>
      </c>
      <c r="AS67" s="135"/>
      <c r="AT67" s="136"/>
      <c r="AU67" s="136"/>
      <c r="AV67" s="136"/>
      <c r="AW67" s="136"/>
      <c r="AX67" s="136"/>
      <c r="AY67" s="136"/>
      <c r="AZ67" s="137"/>
      <c r="BA67" s="42">
        <f t="shared" si="14"/>
        <v>32</v>
      </c>
      <c r="BB67" s="9">
        <f t="shared" si="6"/>
        <v>390</v>
      </c>
      <c r="BC67" s="10">
        <f t="shared" si="7"/>
        <v>86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370</v>
      </c>
      <c r="E68" s="61">
        <v>1</v>
      </c>
      <c r="F68" s="62">
        <f t="shared" si="24"/>
        <v>1</v>
      </c>
      <c r="G68" s="62">
        <f t="shared" si="24"/>
        <v>1</v>
      </c>
      <c r="H68" s="62">
        <f t="shared" si="24"/>
        <v>1</v>
      </c>
      <c r="I68" s="62">
        <f t="shared" si="24"/>
        <v>1</v>
      </c>
      <c r="J68" s="62">
        <f t="shared" si="24"/>
        <v>1</v>
      </c>
      <c r="K68" s="62">
        <f t="shared" si="24"/>
        <v>1</v>
      </c>
      <c r="L68" s="63">
        <f t="shared" si="24"/>
        <v>1</v>
      </c>
      <c r="M68" s="61" t="s">
        <v>124</v>
      </c>
      <c r="N68" s="62" t="str">
        <f t="shared" si="20"/>
        <v>a</v>
      </c>
      <c r="O68" s="62" t="str">
        <f t="shared" si="20"/>
        <v>a</v>
      </c>
      <c r="P68" s="62" t="str">
        <f t="shared" si="20"/>
        <v>a</v>
      </c>
      <c r="Q68" s="62" t="str">
        <f t="shared" si="20"/>
        <v>a</v>
      </c>
      <c r="R68" s="62" t="str">
        <f t="shared" si="20"/>
        <v>a</v>
      </c>
      <c r="S68" s="62" t="str">
        <f t="shared" si="20"/>
        <v>a</v>
      </c>
      <c r="T68" s="63" t="str">
        <f t="shared" si="20"/>
        <v>a</v>
      </c>
      <c r="U68" s="61">
        <v>1</v>
      </c>
      <c r="V68" s="62">
        <f t="shared" si="21"/>
        <v>1</v>
      </c>
      <c r="W68" s="62">
        <f t="shared" si="21"/>
        <v>1</v>
      </c>
      <c r="X68" s="62">
        <f t="shared" si="21"/>
        <v>1</v>
      </c>
      <c r="Y68" s="62">
        <f t="shared" si="21"/>
        <v>1</v>
      </c>
      <c r="Z68" s="62">
        <f t="shared" si="21"/>
        <v>1</v>
      </c>
      <c r="AA68" s="62">
        <f t="shared" si="21"/>
        <v>1</v>
      </c>
      <c r="AB68" s="63">
        <f t="shared" si="21"/>
        <v>1</v>
      </c>
      <c r="AC68" s="61" t="s">
        <v>124</v>
      </c>
      <c r="AD68" s="62" t="str">
        <f t="shared" si="22"/>
        <v>a</v>
      </c>
      <c r="AE68" s="62" t="str">
        <f t="shared" si="22"/>
        <v>a</v>
      </c>
      <c r="AF68" s="62" t="str">
        <f t="shared" si="22"/>
        <v>a</v>
      </c>
      <c r="AG68" s="62" t="str">
        <f t="shared" si="22"/>
        <v>a</v>
      </c>
      <c r="AH68" s="62" t="str">
        <f t="shared" si="22"/>
        <v>a</v>
      </c>
      <c r="AI68" s="62" t="str">
        <f t="shared" si="22"/>
        <v>a</v>
      </c>
      <c r="AJ68" s="63" t="str">
        <f t="shared" si="22"/>
        <v>a</v>
      </c>
      <c r="AK68" s="61">
        <v>1</v>
      </c>
      <c r="AL68" s="62">
        <f t="shared" si="23"/>
        <v>1</v>
      </c>
      <c r="AM68" s="62">
        <f t="shared" si="23"/>
        <v>1</v>
      </c>
      <c r="AN68" s="62">
        <f t="shared" si="23"/>
        <v>1</v>
      </c>
      <c r="AO68" s="62">
        <f t="shared" si="23"/>
        <v>1</v>
      </c>
      <c r="AP68" s="62">
        <f t="shared" si="23"/>
        <v>1</v>
      </c>
      <c r="AQ68" s="62">
        <f t="shared" si="23"/>
        <v>1</v>
      </c>
      <c r="AR68" s="63">
        <f t="shared" si="23"/>
        <v>1</v>
      </c>
      <c r="AS68" s="135"/>
      <c r="AT68" s="136"/>
      <c r="AU68" s="136"/>
      <c r="AV68" s="136"/>
      <c r="AW68" s="136"/>
      <c r="AX68" s="136"/>
      <c r="AY68" s="136"/>
      <c r="AZ68" s="137"/>
      <c r="BA68" s="37">
        <f t="shared" si="14"/>
        <v>24</v>
      </c>
      <c r="BB68" s="9">
        <f t="shared" si="6"/>
        <v>394</v>
      </c>
      <c r="BC68" s="10">
        <f t="shared" si="7"/>
        <v>87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403</v>
      </c>
      <c r="E69" s="61">
        <v>1</v>
      </c>
      <c r="F69" s="62">
        <f t="shared" si="24"/>
        <v>1</v>
      </c>
      <c r="G69" s="62">
        <f t="shared" si="24"/>
        <v>1</v>
      </c>
      <c r="H69" s="62">
        <f t="shared" si="24"/>
        <v>1</v>
      </c>
      <c r="I69" s="62">
        <f t="shared" si="24"/>
        <v>1</v>
      </c>
      <c r="J69" s="62">
        <f t="shared" si="24"/>
        <v>1</v>
      </c>
      <c r="K69" s="62">
        <f t="shared" si="24"/>
        <v>1</v>
      </c>
      <c r="L69" s="63">
        <f t="shared" si="24"/>
        <v>1</v>
      </c>
      <c r="M69" s="61">
        <v>1</v>
      </c>
      <c r="N69" s="62">
        <f t="shared" si="20"/>
        <v>1</v>
      </c>
      <c r="O69" s="62">
        <f t="shared" si="20"/>
        <v>1</v>
      </c>
      <c r="P69" s="62">
        <f t="shared" si="20"/>
        <v>1</v>
      </c>
      <c r="Q69" s="62">
        <f t="shared" si="20"/>
        <v>1</v>
      </c>
      <c r="R69" s="62">
        <f t="shared" si="20"/>
        <v>1</v>
      </c>
      <c r="S69" s="62">
        <f t="shared" si="20"/>
        <v>1</v>
      </c>
      <c r="T69" s="63">
        <f t="shared" si="20"/>
        <v>1</v>
      </c>
      <c r="U69" s="61">
        <v>1</v>
      </c>
      <c r="V69" s="62">
        <f t="shared" si="21"/>
        <v>1</v>
      </c>
      <c r="W69" s="62">
        <f t="shared" si="21"/>
        <v>1</v>
      </c>
      <c r="X69" s="62">
        <f t="shared" si="21"/>
        <v>1</v>
      </c>
      <c r="Y69" s="62">
        <f t="shared" si="21"/>
        <v>1</v>
      </c>
      <c r="Z69" s="62">
        <f t="shared" si="21"/>
        <v>1</v>
      </c>
      <c r="AA69" s="62">
        <f t="shared" si="21"/>
        <v>1</v>
      </c>
      <c r="AB69" s="63">
        <f t="shared" si="21"/>
        <v>1</v>
      </c>
      <c r="AC69" s="61">
        <v>1</v>
      </c>
      <c r="AD69" s="62">
        <f t="shared" si="22"/>
        <v>1</v>
      </c>
      <c r="AE69" s="62">
        <f t="shared" si="22"/>
        <v>1</v>
      </c>
      <c r="AF69" s="62">
        <f t="shared" si="22"/>
        <v>1</v>
      </c>
      <c r="AG69" s="62">
        <f t="shared" si="22"/>
        <v>1</v>
      </c>
      <c r="AH69" s="62">
        <f t="shared" si="22"/>
        <v>1</v>
      </c>
      <c r="AI69" s="62">
        <f t="shared" si="22"/>
        <v>1</v>
      </c>
      <c r="AJ69" s="63">
        <f t="shared" si="22"/>
        <v>1</v>
      </c>
      <c r="AK69" s="61">
        <v>1</v>
      </c>
      <c r="AL69" s="62">
        <f t="shared" si="23"/>
        <v>1</v>
      </c>
      <c r="AM69" s="62">
        <f t="shared" si="23"/>
        <v>1</v>
      </c>
      <c r="AN69" s="62">
        <f t="shared" si="23"/>
        <v>1</v>
      </c>
      <c r="AO69" s="62">
        <f t="shared" si="23"/>
        <v>1</v>
      </c>
      <c r="AP69" s="62">
        <f t="shared" si="23"/>
        <v>1</v>
      </c>
      <c r="AQ69" s="62">
        <f t="shared" si="23"/>
        <v>1</v>
      </c>
      <c r="AR69" s="63">
        <f t="shared" si="23"/>
        <v>1</v>
      </c>
      <c r="AS69" s="135"/>
      <c r="AT69" s="136"/>
      <c r="AU69" s="136"/>
      <c r="AV69" s="136"/>
      <c r="AW69" s="136"/>
      <c r="AX69" s="136"/>
      <c r="AY69" s="136"/>
      <c r="AZ69" s="137"/>
      <c r="BA69" s="37">
        <f t="shared" si="14"/>
        <v>40</v>
      </c>
      <c r="BB69" s="9">
        <f t="shared" si="6"/>
        <v>443</v>
      </c>
      <c r="BC69" s="10">
        <f t="shared" si="7"/>
        <v>98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314</v>
      </c>
      <c r="E70" s="61">
        <v>1</v>
      </c>
      <c r="F70" s="62">
        <f t="shared" si="24"/>
        <v>1</v>
      </c>
      <c r="G70" s="62">
        <f t="shared" si="24"/>
        <v>1</v>
      </c>
      <c r="H70" s="62">
        <f t="shared" si="24"/>
        <v>1</v>
      </c>
      <c r="I70" s="62">
        <f t="shared" si="24"/>
        <v>1</v>
      </c>
      <c r="J70" s="62">
        <f t="shared" si="24"/>
        <v>1</v>
      </c>
      <c r="K70" s="62">
        <f t="shared" si="24"/>
        <v>1</v>
      </c>
      <c r="L70" s="63">
        <f t="shared" si="24"/>
        <v>1</v>
      </c>
      <c r="M70" s="61">
        <v>1</v>
      </c>
      <c r="N70" s="62">
        <f t="shared" si="20"/>
        <v>1</v>
      </c>
      <c r="O70" s="62">
        <f t="shared" si="20"/>
        <v>1</v>
      </c>
      <c r="P70" s="62">
        <f t="shared" si="20"/>
        <v>1</v>
      </c>
      <c r="Q70" s="62">
        <f t="shared" si="20"/>
        <v>1</v>
      </c>
      <c r="R70" s="62">
        <f t="shared" si="20"/>
        <v>1</v>
      </c>
      <c r="S70" s="62">
        <f t="shared" si="20"/>
        <v>1</v>
      </c>
      <c r="T70" s="63">
        <f t="shared" si="20"/>
        <v>1</v>
      </c>
      <c r="U70" s="61">
        <v>1</v>
      </c>
      <c r="V70" s="62">
        <f t="shared" si="21"/>
        <v>1</v>
      </c>
      <c r="W70" s="62">
        <f t="shared" si="21"/>
        <v>1</v>
      </c>
      <c r="X70" s="62">
        <f t="shared" si="21"/>
        <v>1</v>
      </c>
      <c r="Y70" s="62">
        <f t="shared" si="21"/>
        <v>1</v>
      </c>
      <c r="Z70" s="62">
        <f t="shared" si="21"/>
        <v>1</v>
      </c>
      <c r="AA70" s="62">
        <f t="shared" si="21"/>
        <v>1</v>
      </c>
      <c r="AB70" s="63">
        <f t="shared" si="21"/>
        <v>1</v>
      </c>
      <c r="AC70" s="61">
        <v>1</v>
      </c>
      <c r="AD70" s="62">
        <f t="shared" si="22"/>
        <v>1</v>
      </c>
      <c r="AE70" s="62">
        <f t="shared" si="22"/>
        <v>1</v>
      </c>
      <c r="AF70" s="62">
        <f t="shared" si="22"/>
        <v>1</v>
      </c>
      <c r="AG70" s="62">
        <f t="shared" si="22"/>
        <v>1</v>
      </c>
      <c r="AH70" s="62">
        <f t="shared" si="22"/>
        <v>1</v>
      </c>
      <c r="AI70" s="62">
        <f t="shared" si="22"/>
        <v>1</v>
      </c>
      <c r="AJ70" s="63">
        <f t="shared" si="22"/>
        <v>1</v>
      </c>
      <c r="AK70" s="61">
        <v>1</v>
      </c>
      <c r="AL70" s="62">
        <f t="shared" si="23"/>
        <v>1</v>
      </c>
      <c r="AM70" s="62">
        <f t="shared" si="23"/>
        <v>1</v>
      </c>
      <c r="AN70" s="62">
        <f t="shared" si="23"/>
        <v>1</v>
      </c>
      <c r="AO70" s="62">
        <f t="shared" si="23"/>
        <v>1</v>
      </c>
      <c r="AP70" s="62">
        <f t="shared" si="23"/>
        <v>1</v>
      </c>
      <c r="AQ70" s="62">
        <f t="shared" si="23"/>
        <v>1</v>
      </c>
      <c r="AR70" s="63">
        <f t="shared" si="23"/>
        <v>1</v>
      </c>
      <c r="AS70" s="135"/>
      <c r="AT70" s="136"/>
      <c r="AU70" s="136"/>
      <c r="AV70" s="136"/>
      <c r="AW70" s="136"/>
      <c r="AX70" s="136"/>
      <c r="AY70" s="136"/>
      <c r="AZ70" s="137"/>
      <c r="BA70" s="37">
        <f t="shared" si="14"/>
        <v>40</v>
      </c>
      <c r="BB70" s="9">
        <f t="shared" si="6"/>
        <v>354</v>
      </c>
      <c r="BC70" s="10">
        <f t="shared" si="7"/>
        <v>78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358</v>
      </c>
      <c r="E71" s="61">
        <v>1</v>
      </c>
      <c r="F71" s="62">
        <f t="shared" si="24"/>
        <v>1</v>
      </c>
      <c r="G71" s="62">
        <f t="shared" si="24"/>
        <v>1</v>
      </c>
      <c r="H71" s="62">
        <f t="shared" si="24"/>
        <v>1</v>
      </c>
      <c r="I71" s="62">
        <f t="shared" si="24"/>
        <v>1</v>
      </c>
      <c r="J71" s="62">
        <f t="shared" si="24"/>
        <v>1</v>
      </c>
      <c r="K71" s="62">
        <f t="shared" si="24"/>
        <v>1</v>
      </c>
      <c r="L71" s="63">
        <f t="shared" si="24"/>
        <v>1</v>
      </c>
      <c r="M71" s="61">
        <v>1</v>
      </c>
      <c r="N71" s="62">
        <f t="shared" si="20"/>
        <v>1</v>
      </c>
      <c r="O71" s="62">
        <f t="shared" si="20"/>
        <v>1</v>
      </c>
      <c r="P71" s="62">
        <f t="shared" si="20"/>
        <v>1</v>
      </c>
      <c r="Q71" s="62">
        <f t="shared" si="20"/>
        <v>1</v>
      </c>
      <c r="R71" s="62">
        <f t="shared" si="20"/>
        <v>1</v>
      </c>
      <c r="S71" s="62">
        <f t="shared" si="20"/>
        <v>1</v>
      </c>
      <c r="T71" s="63">
        <f t="shared" si="20"/>
        <v>1</v>
      </c>
      <c r="U71" s="61">
        <v>1</v>
      </c>
      <c r="V71" s="62">
        <f t="shared" si="21"/>
        <v>1</v>
      </c>
      <c r="W71" s="62">
        <f t="shared" si="21"/>
        <v>1</v>
      </c>
      <c r="X71" s="62">
        <f t="shared" si="21"/>
        <v>1</v>
      </c>
      <c r="Y71" s="62">
        <f t="shared" si="21"/>
        <v>1</v>
      </c>
      <c r="Z71" s="62">
        <f t="shared" si="21"/>
        <v>1</v>
      </c>
      <c r="AA71" s="62">
        <f t="shared" si="21"/>
        <v>1</v>
      </c>
      <c r="AB71" s="63">
        <f t="shared" si="21"/>
        <v>1</v>
      </c>
      <c r="AC71" s="61">
        <v>1</v>
      </c>
      <c r="AD71" s="62">
        <f t="shared" si="22"/>
        <v>1</v>
      </c>
      <c r="AE71" s="62">
        <f t="shared" si="22"/>
        <v>1</v>
      </c>
      <c r="AF71" s="62">
        <f t="shared" si="22"/>
        <v>1</v>
      </c>
      <c r="AG71" s="62">
        <f t="shared" si="22"/>
        <v>1</v>
      </c>
      <c r="AH71" s="62">
        <f t="shared" si="22"/>
        <v>1</v>
      </c>
      <c r="AI71" s="62">
        <f t="shared" si="22"/>
        <v>1</v>
      </c>
      <c r="AJ71" s="63">
        <f t="shared" si="22"/>
        <v>1</v>
      </c>
      <c r="AK71" s="61">
        <v>1</v>
      </c>
      <c r="AL71" s="62">
        <f t="shared" si="23"/>
        <v>1</v>
      </c>
      <c r="AM71" s="62">
        <f t="shared" si="23"/>
        <v>1</v>
      </c>
      <c r="AN71" s="62">
        <f t="shared" si="23"/>
        <v>1</v>
      </c>
      <c r="AO71" s="62">
        <f t="shared" si="23"/>
        <v>1</v>
      </c>
      <c r="AP71" s="62">
        <f t="shared" si="23"/>
        <v>1</v>
      </c>
      <c r="AQ71" s="62">
        <f t="shared" si="23"/>
        <v>1</v>
      </c>
      <c r="AR71" s="63">
        <f t="shared" si="23"/>
        <v>1</v>
      </c>
      <c r="AS71" s="135"/>
      <c r="AT71" s="136"/>
      <c r="AU71" s="136"/>
      <c r="AV71" s="136"/>
      <c r="AW71" s="136"/>
      <c r="AX71" s="136"/>
      <c r="AY71" s="136"/>
      <c r="AZ71" s="137"/>
      <c r="BA71" s="42">
        <f t="shared" si="14"/>
        <v>40</v>
      </c>
      <c r="BB71" s="9">
        <f t="shared" si="6"/>
        <v>398</v>
      </c>
      <c r="BC71" s="10">
        <f t="shared" si="7"/>
        <v>88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327</v>
      </c>
      <c r="E72" s="61">
        <v>1</v>
      </c>
      <c r="F72" s="62">
        <f t="shared" si="24"/>
        <v>1</v>
      </c>
      <c r="G72" s="62">
        <f t="shared" si="24"/>
        <v>1</v>
      </c>
      <c r="H72" s="62">
        <f t="shared" si="24"/>
        <v>1</v>
      </c>
      <c r="I72" s="62">
        <f t="shared" si="24"/>
        <v>1</v>
      </c>
      <c r="J72" s="62">
        <f t="shared" si="24"/>
        <v>1</v>
      </c>
      <c r="K72" s="62">
        <f t="shared" si="24"/>
        <v>1</v>
      </c>
      <c r="L72" s="63">
        <f t="shared" si="24"/>
        <v>1</v>
      </c>
      <c r="M72" s="61">
        <v>1</v>
      </c>
      <c r="N72" s="62">
        <f t="shared" si="20"/>
        <v>1</v>
      </c>
      <c r="O72" s="62">
        <f t="shared" si="20"/>
        <v>1</v>
      </c>
      <c r="P72" s="62">
        <f t="shared" si="20"/>
        <v>1</v>
      </c>
      <c r="Q72" s="62">
        <f t="shared" si="20"/>
        <v>1</v>
      </c>
      <c r="R72" s="62">
        <f t="shared" si="20"/>
        <v>1</v>
      </c>
      <c r="S72" s="62">
        <f t="shared" si="20"/>
        <v>1</v>
      </c>
      <c r="T72" s="63">
        <f t="shared" si="20"/>
        <v>1</v>
      </c>
      <c r="U72" s="61">
        <v>1</v>
      </c>
      <c r="V72" s="62">
        <f t="shared" si="21"/>
        <v>1</v>
      </c>
      <c r="W72" s="62">
        <f t="shared" si="21"/>
        <v>1</v>
      </c>
      <c r="X72" s="62">
        <f t="shared" si="21"/>
        <v>1</v>
      </c>
      <c r="Y72" s="62">
        <f t="shared" si="21"/>
        <v>1</v>
      </c>
      <c r="Z72" s="62">
        <f t="shared" si="21"/>
        <v>1</v>
      </c>
      <c r="AA72" s="62">
        <f t="shared" si="21"/>
        <v>1</v>
      </c>
      <c r="AB72" s="63">
        <f t="shared" si="21"/>
        <v>1</v>
      </c>
      <c r="AC72" s="61">
        <v>1</v>
      </c>
      <c r="AD72" s="62">
        <f t="shared" si="22"/>
        <v>1</v>
      </c>
      <c r="AE72" s="62">
        <f t="shared" si="22"/>
        <v>1</v>
      </c>
      <c r="AF72" s="62">
        <f t="shared" si="22"/>
        <v>1</v>
      </c>
      <c r="AG72" s="62">
        <f t="shared" si="22"/>
        <v>1</v>
      </c>
      <c r="AH72" s="62">
        <f t="shared" si="22"/>
        <v>1</v>
      </c>
      <c r="AI72" s="62">
        <f t="shared" si="22"/>
        <v>1</v>
      </c>
      <c r="AJ72" s="63">
        <f t="shared" si="22"/>
        <v>1</v>
      </c>
      <c r="AK72" s="61">
        <v>1</v>
      </c>
      <c r="AL72" s="62">
        <f t="shared" si="23"/>
        <v>1</v>
      </c>
      <c r="AM72" s="62">
        <f t="shared" si="23"/>
        <v>1</v>
      </c>
      <c r="AN72" s="62">
        <f t="shared" si="23"/>
        <v>1</v>
      </c>
      <c r="AO72" s="62">
        <f t="shared" si="23"/>
        <v>1</v>
      </c>
      <c r="AP72" s="62">
        <f t="shared" si="23"/>
        <v>1</v>
      </c>
      <c r="AQ72" s="62">
        <f t="shared" si="23"/>
        <v>1</v>
      </c>
      <c r="AR72" s="63">
        <f t="shared" si="23"/>
        <v>1</v>
      </c>
      <c r="AS72" s="135"/>
      <c r="AT72" s="136"/>
      <c r="AU72" s="136"/>
      <c r="AV72" s="136"/>
      <c r="AW72" s="136"/>
      <c r="AX72" s="136"/>
      <c r="AY72" s="136"/>
      <c r="AZ72" s="137"/>
      <c r="BA72" s="37">
        <f t="shared" si="14"/>
        <v>40</v>
      </c>
      <c r="BB72" s="9">
        <f t="shared" si="6"/>
        <v>367</v>
      </c>
      <c r="BC72" s="10">
        <f t="shared" si="7"/>
        <v>81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394</v>
      </c>
      <c r="E73" s="61">
        <v>1</v>
      </c>
      <c r="F73" s="62">
        <f t="shared" si="24"/>
        <v>1</v>
      </c>
      <c r="G73" s="62">
        <f t="shared" si="24"/>
        <v>1</v>
      </c>
      <c r="H73" s="62">
        <f t="shared" si="24"/>
        <v>1</v>
      </c>
      <c r="I73" s="62">
        <f t="shared" si="24"/>
        <v>1</v>
      </c>
      <c r="J73" s="62">
        <f t="shared" si="24"/>
        <v>1</v>
      </c>
      <c r="K73" s="62">
        <f t="shared" si="24"/>
        <v>1</v>
      </c>
      <c r="L73" s="63">
        <f t="shared" si="24"/>
        <v>1</v>
      </c>
      <c r="M73" s="61">
        <v>1</v>
      </c>
      <c r="N73" s="62">
        <f t="shared" si="20"/>
        <v>1</v>
      </c>
      <c r="O73" s="62">
        <f t="shared" si="20"/>
        <v>1</v>
      </c>
      <c r="P73" s="62">
        <f t="shared" si="20"/>
        <v>1</v>
      </c>
      <c r="Q73" s="62">
        <f t="shared" si="20"/>
        <v>1</v>
      </c>
      <c r="R73" s="62">
        <f t="shared" si="20"/>
        <v>1</v>
      </c>
      <c r="S73" s="62">
        <f t="shared" si="20"/>
        <v>1</v>
      </c>
      <c r="T73" s="63">
        <f t="shared" si="20"/>
        <v>1</v>
      </c>
      <c r="U73" s="61" t="s">
        <v>124</v>
      </c>
      <c r="V73" s="62" t="str">
        <f t="shared" si="21"/>
        <v>a</v>
      </c>
      <c r="W73" s="62" t="str">
        <f t="shared" si="21"/>
        <v>a</v>
      </c>
      <c r="X73" s="62" t="str">
        <f t="shared" si="21"/>
        <v>a</v>
      </c>
      <c r="Y73" s="62" t="str">
        <f t="shared" si="21"/>
        <v>a</v>
      </c>
      <c r="Z73" s="62" t="str">
        <f t="shared" si="21"/>
        <v>a</v>
      </c>
      <c r="AA73" s="62" t="str">
        <f t="shared" si="21"/>
        <v>a</v>
      </c>
      <c r="AB73" s="63" t="str">
        <f t="shared" si="21"/>
        <v>a</v>
      </c>
      <c r="AC73" s="61">
        <v>1</v>
      </c>
      <c r="AD73" s="62">
        <f t="shared" si="22"/>
        <v>1</v>
      </c>
      <c r="AE73" s="62">
        <f t="shared" si="22"/>
        <v>1</v>
      </c>
      <c r="AF73" s="62">
        <f t="shared" si="22"/>
        <v>1</v>
      </c>
      <c r="AG73" s="62">
        <f t="shared" si="22"/>
        <v>1</v>
      </c>
      <c r="AH73" s="62">
        <f t="shared" si="22"/>
        <v>1</v>
      </c>
      <c r="AI73" s="62">
        <f t="shared" si="22"/>
        <v>1</v>
      </c>
      <c r="AJ73" s="63">
        <f t="shared" si="22"/>
        <v>1</v>
      </c>
      <c r="AK73" s="61">
        <v>1</v>
      </c>
      <c r="AL73" s="62">
        <f t="shared" si="23"/>
        <v>1</v>
      </c>
      <c r="AM73" s="62">
        <f t="shared" si="23"/>
        <v>1</v>
      </c>
      <c r="AN73" s="62">
        <f t="shared" si="23"/>
        <v>1</v>
      </c>
      <c r="AO73" s="62">
        <f t="shared" si="23"/>
        <v>1</v>
      </c>
      <c r="AP73" s="62">
        <f t="shared" si="23"/>
        <v>1</v>
      </c>
      <c r="AQ73" s="62">
        <f t="shared" si="23"/>
        <v>1</v>
      </c>
      <c r="AR73" s="63">
        <f t="shared" si="23"/>
        <v>1</v>
      </c>
      <c r="AS73" s="138"/>
      <c r="AT73" s="139"/>
      <c r="AU73" s="139"/>
      <c r="AV73" s="139"/>
      <c r="AW73" s="139"/>
      <c r="AX73" s="139"/>
      <c r="AY73" s="139"/>
      <c r="AZ73" s="140"/>
      <c r="BA73" s="37">
        <f t="shared" si="14"/>
        <v>32</v>
      </c>
      <c r="BB73" s="9">
        <f t="shared" si="6"/>
        <v>426</v>
      </c>
      <c r="BC73" s="10">
        <f t="shared" si="7"/>
        <v>94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4</v>
      </c>
      <c r="F74" s="50">
        <f t="shared" ref="F74:AR74" si="25">COUNTIF(F10:F73,"a")</f>
        <v>4</v>
      </c>
      <c r="G74" s="50">
        <f t="shared" si="25"/>
        <v>4</v>
      </c>
      <c r="H74" s="50">
        <f t="shared" si="25"/>
        <v>4</v>
      </c>
      <c r="I74" s="50">
        <f t="shared" si="25"/>
        <v>4</v>
      </c>
      <c r="J74" s="50">
        <f t="shared" si="25"/>
        <v>4</v>
      </c>
      <c r="K74" s="50">
        <f t="shared" si="25"/>
        <v>4</v>
      </c>
      <c r="L74" s="50">
        <f t="shared" si="25"/>
        <v>4</v>
      </c>
      <c r="M74" s="50">
        <f t="shared" si="25"/>
        <v>5</v>
      </c>
      <c r="N74" s="50">
        <f t="shared" si="25"/>
        <v>5</v>
      </c>
      <c r="O74" s="50">
        <f t="shared" si="25"/>
        <v>5</v>
      </c>
      <c r="P74" s="50">
        <f t="shared" si="25"/>
        <v>5</v>
      </c>
      <c r="Q74" s="50">
        <f t="shared" si="25"/>
        <v>5</v>
      </c>
      <c r="R74" s="50">
        <f t="shared" si="25"/>
        <v>5</v>
      </c>
      <c r="S74" s="50">
        <f t="shared" si="25"/>
        <v>5</v>
      </c>
      <c r="T74" s="50">
        <f t="shared" si="25"/>
        <v>5</v>
      </c>
      <c r="U74" s="50">
        <f t="shared" si="25"/>
        <v>14</v>
      </c>
      <c r="V74" s="50">
        <f t="shared" si="25"/>
        <v>14</v>
      </c>
      <c r="W74" s="50">
        <f t="shared" si="25"/>
        <v>14</v>
      </c>
      <c r="X74" s="50">
        <f t="shared" si="25"/>
        <v>14</v>
      </c>
      <c r="Y74" s="50">
        <f t="shared" si="25"/>
        <v>14</v>
      </c>
      <c r="Z74" s="50">
        <f t="shared" si="25"/>
        <v>14</v>
      </c>
      <c r="AA74" s="50">
        <f t="shared" si="25"/>
        <v>14</v>
      </c>
      <c r="AB74" s="50">
        <f t="shared" si="25"/>
        <v>14</v>
      </c>
      <c r="AC74" s="50">
        <f t="shared" si="25"/>
        <v>7</v>
      </c>
      <c r="AD74" s="50">
        <f t="shared" si="25"/>
        <v>7</v>
      </c>
      <c r="AE74" s="50">
        <f t="shared" si="25"/>
        <v>7</v>
      </c>
      <c r="AF74" s="50">
        <f t="shared" si="25"/>
        <v>7</v>
      </c>
      <c r="AG74" s="50">
        <f t="shared" si="25"/>
        <v>7</v>
      </c>
      <c r="AH74" s="50">
        <f t="shared" si="25"/>
        <v>7</v>
      </c>
      <c r="AI74" s="50">
        <f t="shared" si="25"/>
        <v>7</v>
      </c>
      <c r="AJ74" s="50">
        <f t="shared" si="25"/>
        <v>7</v>
      </c>
      <c r="AK74" s="50">
        <f t="shared" si="25"/>
        <v>0</v>
      </c>
      <c r="AL74" s="50">
        <f t="shared" si="25"/>
        <v>0</v>
      </c>
      <c r="AM74" s="50">
        <f t="shared" si="25"/>
        <v>0</v>
      </c>
      <c r="AN74" s="50">
        <f t="shared" si="25"/>
        <v>0</v>
      </c>
      <c r="AO74" s="50">
        <f t="shared" si="25"/>
        <v>0</v>
      </c>
      <c r="AP74" s="50">
        <f t="shared" si="25"/>
        <v>0</v>
      </c>
      <c r="AQ74" s="50">
        <f t="shared" si="25"/>
        <v>0</v>
      </c>
      <c r="AR74" s="50">
        <f t="shared" si="25"/>
        <v>0</v>
      </c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UT</v>
      </c>
      <c r="F75" s="102" t="str">
        <f t="shared" ref="F75:AJ75" si="26">F9</f>
        <v>PA</v>
      </c>
      <c r="G75" s="102" t="str">
        <f t="shared" si="26"/>
        <v>BB</v>
      </c>
      <c r="H75" s="102" t="str">
        <f t="shared" si="26"/>
        <v>PA</v>
      </c>
      <c r="I75" s="240" t="str">
        <f>I9</f>
        <v>NS / PA</v>
      </c>
      <c r="J75" s="241"/>
      <c r="K75" s="241"/>
      <c r="L75" s="242"/>
      <c r="M75" s="102" t="str">
        <f t="shared" si="26"/>
        <v>BB</v>
      </c>
      <c r="N75" s="102" t="str">
        <f t="shared" si="26"/>
        <v>NPK</v>
      </c>
      <c r="O75" s="102" t="str">
        <f t="shared" si="26"/>
        <v>PA</v>
      </c>
      <c r="P75" s="102" t="str">
        <f t="shared" si="26"/>
        <v>VP</v>
      </c>
      <c r="Q75" s="240" t="str">
        <f t="shared" si="26"/>
        <v>NS</v>
      </c>
      <c r="R75" s="241"/>
      <c r="S75" s="241"/>
      <c r="T75" s="242"/>
      <c r="U75" s="243" t="str">
        <f t="shared" si="26"/>
        <v>SG / VP, KM  (1,2,4) SS</v>
      </c>
      <c r="V75" s="244"/>
      <c r="W75" s="244"/>
      <c r="X75" s="245"/>
      <c r="Y75" s="102" t="str">
        <f t="shared" si="26"/>
        <v>PA</v>
      </c>
      <c r="Z75" s="102" t="str">
        <f t="shared" si="26"/>
        <v>SG</v>
      </c>
      <c r="AA75" s="102" t="str">
        <f t="shared" si="26"/>
        <v>VP</v>
      </c>
      <c r="AB75" s="102" t="str">
        <f t="shared" si="26"/>
        <v>NS</v>
      </c>
      <c r="AC75" s="102" t="str">
        <f t="shared" si="26"/>
        <v>VP</v>
      </c>
      <c r="AD75" s="102" t="str">
        <f t="shared" si="26"/>
        <v>BB</v>
      </c>
      <c r="AE75" s="102" t="str">
        <f t="shared" si="26"/>
        <v>SG</v>
      </c>
      <c r="AF75" s="102" t="str">
        <f t="shared" si="26"/>
        <v>PA</v>
      </c>
      <c r="AG75" s="102" t="str">
        <f t="shared" si="26"/>
        <v>SG</v>
      </c>
      <c r="AH75" s="102" t="str">
        <f t="shared" si="26"/>
        <v>SS</v>
      </c>
      <c r="AI75" s="102" t="str">
        <f t="shared" si="26"/>
        <v>NS</v>
      </c>
      <c r="AJ75" s="102" t="str">
        <f t="shared" si="26"/>
        <v>BB</v>
      </c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7">
    <mergeCell ref="A74:D74"/>
    <mergeCell ref="A76:D76"/>
    <mergeCell ref="A79:I79"/>
    <mergeCell ref="A80:H80"/>
    <mergeCell ref="AR80:BC80"/>
    <mergeCell ref="AS10:AZ42"/>
    <mergeCell ref="AS43:AZ73"/>
    <mergeCell ref="I75:L75"/>
    <mergeCell ref="Q75:T75"/>
    <mergeCell ref="U75:X75"/>
    <mergeCell ref="BA8:BA9"/>
    <mergeCell ref="BB8:BB9"/>
    <mergeCell ref="I9:L9"/>
    <mergeCell ref="U9:X9"/>
    <mergeCell ref="Q8:T8"/>
    <mergeCell ref="Q9:T9"/>
    <mergeCell ref="AK9:AR9"/>
    <mergeCell ref="AK8:AR8"/>
    <mergeCell ref="AS6:AZ6"/>
    <mergeCell ref="A7:A9"/>
    <mergeCell ref="B7:B9"/>
    <mergeCell ref="C7:C8"/>
    <mergeCell ref="D7:D8"/>
    <mergeCell ref="I8:L8"/>
    <mergeCell ref="U8:X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17" priority="1" operator="lessThan">
      <formula>75</formula>
    </cfRule>
  </conditionalFormatting>
  <conditionalFormatting sqref="BC10:BC73">
    <cfRule type="cellIs" dxfId="16" priority="3" operator="lessThan">
      <formula>75</formula>
    </cfRule>
  </conditionalFormatting>
  <conditionalFormatting sqref="BC80">
    <cfRule type="cellIs" dxfId="15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r:id="rId1"/>
  <rowBreaks count="1" manualBreakCount="1">
    <brk id="42" max="5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3C34-DA50-4ECA-8E6E-76FE0CF5CED1}">
  <dimension ref="A1:BC80"/>
  <sheetViews>
    <sheetView view="pageBreakPreview" topLeftCell="A2" zoomScale="85" zoomScaleNormal="70" zoomScaleSheetLayoutView="85" workbookViewId="0">
      <selection activeCell="BB10" sqref="BB10:BB73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244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300" t="s">
        <v>245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2"/>
      <c r="N4" s="1"/>
      <c r="O4" s="1"/>
      <c r="P4" s="1"/>
      <c r="Q4" s="1"/>
      <c r="R4" s="1"/>
      <c r="S4" s="1"/>
      <c r="T4" s="1"/>
      <c r="U4" s="301" t="s">
        <v>19</v>
      </c>
      <c r="V4" s="301"/>
      <c r="W4" s="301"/>
      <c r="X4" s="301"/>
      <c r="Y4" s="301"/>
      <c r="Z4" s="301"/>
      <c r="AA4" s="301"/>
      <c r="AB4" s="301"/>
      <c r="AC4" s="301"/>
      <c r="AD4" s="2"/>
      <c r="AE4" s="2"/>
      <c r="AF4" s="1"/>
      <c r="AG4" s="1"/>
      <c r="AH4" s="1"/>
      <c r="AI4" s="1"/>
      <c r="AJ4" s="1"/>
      <c r="AK4" s="1"/>
      <c r="AL4" s="300" t="s">
        <v>127</v>
      </c>
      <c r="AM4" s="300"/>
      <c r="AN4" s="300"/>
      <c r="AO4" s="300"/>
      <c r="AP4" s="300"/>
      <c r="AQ4" s="300"/>
      <c r="AR4" s="300"/>
      <c r="AS4" s="300"/>
      <c r="AT4" s="300"/>
      <c r="AU4" s="300"/>
      <c r="AV4" s="300"/>
      <c r="AW4" s="300"/>
      <c r="AX4" s="300"/>
      <c r="AY4" s="300"/>
      <c r="AZ4" s="300"/>
      <c r="BA4" s="300"/>
      <c r="BB4" s="300"/>
      <c r="BC4" s="300"/>
    </row>
    <row r="5" spans="1:55" ht="16.399999999999999" customHeight="1" thickBot="1" x14ac:dyDescent="0.4">
      <c r="A5" s="183" t="s">
        <v>2</v>
      </c>
      <c r="B5" s="184"/>
      <c r="C5" s="184"/>
      <c r="D5" s="293"/>
      <c r="E5" s="178" t="s">
        <v>238</v>
      </c>
      <c r="F5" s="294"/>
      <c r="G5" s="294"/>
      <c r="H5" s="294"/>
      <c r="I5" s="294"/>
      <c r="J5" s="294"/>
      <c r="K5" s="294"/>
      <c r="L5" s="295"/>
      <c r="M5" s="178" t="s">
        <v>239</v>
      </c>
      <c r="N5" s="294"/>
      <c r="O5" s="294"/>
      <c r="P5" s="294"/>
      <c r="Q5" s="294"/>
      <c r="R5" s="294"/>
      <c r="S5" s="294"/>
      <c r="T5" s="295"/>
      <c r="U5" s="178" t="s">
        <v>240</v>
      </c>
      <c r="V5" s="294"/>
      <c r="W5" s="294"/>
      <c r="X5" s="294"/>
      <c r="Y5" s="294"/>
      <c r="Z5" s="294"/>
      <c r="AA5" s="294"/>
      <c r="AB5" s="295"/>
      <c r="AC5" s="178" t="s">
        <v>241</v>
      </c>
      <c r="AD5" s="294"/>
      <c r="AE5" s="294"/>
      <c r="AF5" s="294"/>
      <c r="AG5" s="294"/>
      <c r="AH5" s="294"/>
      <c r="AI5" s="294"/>
      <c r="AJ5" s="295"/>
      <c r="AK5" s="178" t="s">
        <v>242</v>
      </c>
      <c r="AL5" s="294"/>
      <c r="AM5" s="294"/>
      <c r="AN5" s="294"/>
      <c r="AO5" s="294"/>
      <c r="AP5" s="294"/>
      <c r="AQ5" s="294"/>
      <c r="AR5" s="295"/>
      <c r="AS5" s="178" t="s">
        <v>243</v>
      </c>
      <c r="AT5" s="294"/>
      <c r="AU5" s="294"/>
      <c r="AV5" s="294"/>
      <c r="AW5" s="294"/>
      <c r="AX5" s="294"/>
      <c r="AY5" s="294"/>
      <c r="AZ5" s="295"/>
      <c r="BA5" s="179">
        <v>24</v>
      </c>
      <c r="BB5" s="225">
        <f>D7+BA5</f>
        <v>478</v>
      </c>
      <c r="BC5" s="296" t="s">
        <v>4</v>
      </c>
    </row>
    <row r="6" spans="1:55" ht="15.5" thickBot="1" x14ac:dyDescent="0.4">
      <c r="A6" s="183" t="s">
        <v>5</v>
      </c>
      <c r="B6" s="184"/>
      <c r="C6" s="184"/>
      <c r="D6" s="293"/>
      <c r="E6" s="183" t="s">
        <v>6</v>
      </c>
      <c r="F6" s="184"/>
      <c r="G6" s="184"/>
      <c r="H6" s="184"/>
      <c r="I6" s="184"/>
      <c r="J6" s="184"/>
      <c r="K6" s="184"/>
      <c r="L6" s="293"/>
      <c r="M6" s="183" t="s">
        <v>7</v>
      </c>
      <c r="N6" s="184"/>
      <c r="O6" s="184"/>
      <c r="P6" s="184"/>
      <c r="Q6" s="184"/>
      <c r="R6" s="184"/>
      <c r="S6" s="184"/>
      <c r="T6" s="293"/>
      <c r="U6" s="183" t="s">
        <v>8</v>
      </c>
      <c r="V6" s="184"/>
      <c r="W6" s="184"/>
      <c r="X6" s="184"/>
      <c r="Y6" s="184"/>
      <c r="Z6" s="184"/>
      <c r="AA6" s="184"/>
      <c r="AB6" s="299"/>
      <c r="AC6" s="292" t="s">
        <v>9</v>
      </c>
      <c r="AD6" s="184"/>
      <c r="AE6" s="184"/>
      <c r="AF6" s="184"/>
      <c r="AG6" s="184"/>
      <c r="AH6" s="184"/>
      <c r="AI6" s="184"/>
      <c r="AJ6" s="299"/>
      <c r="AK6" s="292" t="s">
        <v>10</v>
      </c>
      <c r="AL6" s="184"/>
      <c r="AM6" s="184"/>
      <c r="AN6" s="184"/>
      <c r="AO6" s="184"/>
      <c r="AP6" s="184"/>
      <c r="AQ6" s="184"/>
      <c r="AR6" s="299"/>
      <c r="AS6" s="292" t="s">
        <v>11</v>
      </c>
      <c r="AT6" s="184"/>
      <c r="AU6" s="184"/>
      <c r="AV6" s="184"/>
      <c r="AW6" s="184"/>
      <c r="AX6" s="184"/>
      <c r="AY6" s="184"/>
      <c r="AZ6" s="293"/>
      <c r="BA6" s="180"/>
      <c r="BB6" s="226"/>
      <c r="BC6" s="297"/>
    </row>
    <row r="7" spans="1:55" ht="16.5" customHeight="1" thickBot="1" x14ac:dyDescent="0.4">
      <c r="A7" s="167" t="s">
        <v>12</v>
      </c>
      <c r="B7" s="167" t="s">
        <v>13</v>
      </c>
      <c r="C7" s="170"/>
      <c r="D7" s="172">
        <v>454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81"/>
      <c r="BB7" s="227"/>
      <c r="BC7" s="297"/>
    </row>
    <row r="8" spans="1:55" ht="30" customHeight="1" thickBot="1" x14ac:dyDescent="0.4">
      <c r="A8" s="168"/>
      <c r="B8" s="168"/>
      <c r="C8" s="171"/>
      <c r="D8" s="173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192"/>
      <c r="N8" s="193"/>
      <c r="O8" s="193"/>
      <c r="P8" s="193"/>
      <c r="Q8" s="193"/>
      <c r="R8" s="193"/>
      <c r="S8" s="193"/>
      <c r="T8" s="239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60" t="s">
        <v>101</v>
      </c>
      <c r="AB8" s="58" t="s">
        <v>96</v>
      </c>
      <c r="AC8" s="59" t="s">
        <v>94</v>
      </c>
      <c r="AD8" s="58" t="s">
        <v>96</v>
      </c>
      <c r="AE8" s="59" t="s">
        <v>91</v>
      </c>
      <c r="AF8" s="59" t="s">
        <v>92</v>
      </c>
      <c r="AG8" s="59" t="s">
        <v>91</v>
      </c>
      <c r="AH8" s="59" t="s">
        <v>91</v>
      </c>
      <c r="AI8" s="59" t="s">
        <v>101</v>
      </c>
      <c r="AJ8" s="60" t="s">
        <v>94</v>
      </c>
      <c r="AK8" s="192"/>
      <c r="AL8" s="193"/>
      <c r="AM8" s="193"/>
      <c r="AN8" s="193"/>
      <c r="AO8" s="193"/>
      <c r="AP8" s="193"/>
      <c r="AQ8" s="193"/>
      <c r="AR8" s="239"/>
      <c r="AS8" s="288"/>
      <c r="AT8" s="288"/>
      <c r="AU8" s="288"/>
      <c r="AV8" s="288"/>
      <c r="AW8" s="288"/>
      <c r="AX8" s="288"/>
      <c r="AY8" s="288"/>
      <c r="AZ8" s="289"/>
      <c r="BA8" s="157" t="s">
        <v>129</v>
      </c>
      <c r="BB8" s="157" t="s">
        <v>147</v>
      </c>
      <c r="BC8" s="297"/>
    </row>
    <row r="9" spans="1:55" ht="39" customHeight="1" thickBot="1" x14ac:dyDescent="0.4">
      <c r="A9" s="169"/>
      <c r="B9" s="169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236"/>
      <c r="N9" s="199"/>
      <c r="O9" s="199"/>
      <c r="P9" s="199"/>
      <c r="Q9" s="199"/>
      <c r="R9" s="199"/>
      <c r="S9" s="199"/>
      <c r="T9" s="200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79" t="s">
        <v>92</v>
      </c>
      <c r="AB9" s="57" t="s">
        <v>85</v>
      </c>
      <c r="AC9" s="56" t="s">
        <v>95</v>
      </c>
      <c r="AD9" s="57" t="s">
        <v>85</v>
      </c>
      <c r="AE9" s="56" t="s">
        <v>83</v>
      </c>
      <c r="AF9" s="56" t="s">
        <v>93</v>
      </c>
      <c r="AG9" s="56" t="s">
        <v>83</v>
      </c>
      <c r="AH9" s="56" t="s">
        <v>83</v>
      </c>
      <c r="AI9" s="56" t="s">
        <v>92</v>
      </c>
      <c r="AJ9" s="79" t="s">
        <v>95</v>
      </c>
      <c r="AK9" s="236"/>
      <c r="AL9" s="199"/>
      <c r="AM9" s="199"/>
      <c r="AN9" s="199"/>
      <c r="AO9" s="199"/>
      <c r="AP9" s="199"/>
      <c r="AQ9" s="199"/>
      <c r="AR9" s="200"/>
      <c r="AS9" s="288"/>
      <c r="AT9" s="288"/>
      <c r="AU9" s="288"/>
      <c r="AV9" s="288"/>
      <c r="AW9" s="288"/>
      <c r="AX9" s="288"/>
      <c r="AY9" s="288"/>
      <c r="AZ9" s="289"/>
      <c r="BA9" s="158"/>
      <c r="BB9" s="158"/>
      <c r="BC9" s="298"/>
    </row>
    <row r="10" spans="1:55" ht="15" customHeight="1" x14ac:dyDescent="0.35">
      <c r="A10" s="29">
        <v>820323205061</v>
      </c>
      <c r="B10" s="30" t="s">
        <v>20</v>
      </c>
      <c r="C10" s="6"/>
      <c r="D10" s="7">
        <v>430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132" t="s">
        <v>246</v>
      </c>
      <c r="N10" s="133"/>
      <c r="O10" s="133"/>
      <c r="P10" s="133"/>
      <c r="Q10" s="133"/>
      <c r="R10" s="133"/>
      <c r="S10" s="133"/>
      <c r="T10" s="134"/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>
        <v>1</v>
      </c>
      <c r="AD10" s="62">
        <f t="shared" ref="AD10:AJ25" si="2">AC10</f>
        <v>1</v>
      </c>
      <c r="AE10" s="62">
        <f t="shared" si="2"/>
        <v>1</v>
      </c>
      <c r="AF10" s="62">
        <f t="shared" si="2"/>
        <v>1</v>
      </c>
      <c r="AG10" s="62">
        <f t="shared" si="2"/>
        <v>1</v>
      </c>
      <c r="AH10" s="62">
        <f t="shared" si="2"/>
        <v>1</v>
      </c>
      <c r="AI10" s="62">
        <f t="shared" si="2"/>
        <v>1</v>
      </c>
      <c r="AJ10" s="63">
        <f t="shared" si="2"/>
        <v>1</v>
      </c>
      <c r="AK10" s="282" t="s">
        <v>248</v>
      </c>
      <c r="AL10" s="136"/>
      <c r="AM10" s="136"/>
      <c r="AN10" s="136"/>
      <c r="AO10" s="136"/>
      <c r="AP10" s="136"/>
      <c r="AQ10" s="136"/>
      <c r="AR10" s="137"/>
      <c r="AS10" s="132" t="s">
        <v>249</v>
      </c>
      <c r="AT10" s="290"/>
      <c r="AU10" s="290"/>
      <c r="AV10" s="290"/>
      <c r="AW10" s="290"/>
      <c r="AX10" s="290"/>
      <c r="AY10" s="290"/>
      <c r="AZ10" s="291"/>
      <c r="BA10" s="36">
        <f t="shared" ref="BA10:BA37" si="3">SUM(E10:AZ10)</f>
        <v>24</v>
      </c>
      <c r="BB10" s="9">
        <f>BA10+D10+C10</f>
        <v>454</v>
      </c>
      <c r="BC10" s="10">
        <f>ROUND((BB10/BB$5)*100,0)</f>
        <v>95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400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135"/>
      <c r="N11" s="136"/>
      <c r="O11" s="136"/>
      <c r="P11" s="136"/>
      <c r="Q11" s="136"/>
      <c r="R11" s="136"/>
      <c r="S11" s="136"/>
      <c r="T11" s="137"/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135"/>
      <c r="AL11" s="136"/>
      <c r="AM11" s="136"/>
      <c r="AN11" s="136"/>
      <c r="AO11" s="136"/>
      <c r="AP11" s="136"/>
      <c r="AQ11" s="136"/>
      <c r="AR11" s="137"/>
      <c r="AS11" s="282"/>
      <c r="AT11" s="283"/>
      <c r="AU11" s="283"/>
      <c r="AV11" s="283"/>
      <c r="AW11" s="283"/>
      <c r="AX11" s="283"/>
      <c r="AY11" s="283"/>
      <c r="AZ11" s="284"/>
      <c r="BA11" s="37">
        <f t="shared" si="3"/>
        <v>24</v>
      </c>
      <c r="BB11" s="9">
        <f t="shared" ref="BB11:BB73" si="4">BA11+D11+C11</f>
        <v>424</v>
      </c>
      <c r="BC11" s="10">
        <f t="shared" ref="BC11:BC73" si="5">ROUND((BB11/BB$5)*100,0)</f>
        <v>89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430</v>
      </c>
      <c r="E12" s="61">
        <v>1</v>
      </c>
      <c r="F12" s="62">
        <f t="shared" ref="F12:L27" si="6">E12</f>
        <v>1</v>
      </c>
      <c r="G12" s="62">
        <f t="shared" si="6"/>
        <v>1</v>
      </c>
      <c r="H12" s="62">
        <f t="shared" si="6"/>
        <v>1</v>
      </c>
      <c r="I12" s="62">
        <f t="shared" si="6"/>
        <v>1</v>
      </c>
      <c r="J12" s="62">
        <f t="shared" si="6"/>
        <v>1</v>
      </c>
      <c r="K12" s="62">
        <f t="shared" si="6"/>
        <v>1</v>
      </c>
      <c r="L12" s="63">
        <f t="shared" si="6"/>
        <v>1</v>
      </c>
      <c r="M12" s="135"/>
      <c r="N12" s="136"/>
      <c r="O12" s="136"/>
      <c r="P12" s="136"/>
      <c r="Q12" s="136"/>
      <c r="R12" s="136"/>
      <c r="S12" s="136"/>
      <c r="T12" s="137"/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135"/>
      <c r="AL12" s="136"/>
      <c r="AM12" s="136"/>
      <c r="AN12" s="136"/>
      <c r="AO12" s="136"/>
      <c r="AP12" s="136"/>
      <c r="AQ12" s="136"/>
      <c r="AR12" s="137"/>
      <c r="AS12" s="282"/>
      <c r="AT12" s="283"/>
      <c r="AU12" s="283"/>
      <c r="AV12" s="283"/>
      <c r="AW12" s="283"/>
      <c r="AX12" s="283"/>
      <c r="AY12" s="283"/>
      <c r="AZ12" s="284"/>
      <c r="BA12" s="37">
        <f t="shared" si="3"/>
        <v>24</v>
      </c>
      <c r="BB12" s="9">
        <f t="shared" si="4"/>
        <v>454</v>
      </c>
      <c r="BC12" s="10">
        <f t="shared" si="5"/>
        <v>95</v>
      </c>
    </row>
    <row r="13" spans="1:55" ht="15" customHeight="1" x14ac:dyDescent="0.35">
      <c r="A13" s="29">
        <v>820323205064</v>
      </c>
      <c r="B13" s="30" t="s">
        <v>23</v>
      </c>
      <c r="C13" s="126">
        <v>24</v>
      </c>
      <c r="D13" s="7">
        <v>422</v>
      </c>
      <c r="E13" s="61" t="s">
        <v>124</v>
      </c>
      <c r="F13" s="62" t="str">
        <f t="shared" si="6"/>
        <v>a</v>
      </c>
      <c r="G13" s="62" t="str">
        <f t="shared" si="6"/>
        <v>a</v>
      </c>
      <c r="H13" s="62" t="str">
        <f t="shared" si="6"/>
        <v>a</v>
      </c>
      <c r="I13" s="62" t="str">
        <f t="shared" si="6"/>
        <v>a</v>
      </c>
      <c r="J13" s="62" t="str">
        <f t="shared" si="6"/>
        <v>a</v>
      </c>
      <c r="K13" s="62" t="str">
        <f t="shared" si="6"/>
        <v>a</v>
      </c>
      <c r="L13" s="63" t="str">
        <f t="shared" si="6"/>
        <v>a</v>
      </c>
      <c r="M13" s="135"/>
      <c r="N13" s="136"/>
      <c r="O13" s="136"/>
      <c r="P13" s="136"/>
      <c r="Q13" s="136"/>
      <c r="R13" s="136"/>
      <c r="S13" s="136"/>
      <c r="T13" s="137"/>
      <c r="U13" s="61" t="s">
        <v>124</v>
      </c>
      <c r="V13" s="62" t="str">
        <f t="shared" si="1"/>
        <v>a</v>
      </c>
      <c r="W13" s="62" t="str">
        <f t="shared" si="1"/>
        <v>a</v>
      </c>
      <c r="X13" s="62" t="str">
        <f t="shared" si="1"/>
        <v>a</v>
      </c>
      <c r="Y13" s="62" t="str">
        <f t="shared" si="1"/>
        <v>a</v>
      </c>
      <c r="Z13" s="62" t="str">
        <f t="shared" si="1"/>
        <v>a</v>
      </c>
      <c r="AA13" s="62" t="str">
        <f t="shared" si="1"/>
        <v>a</v>
      </c>
      <c r="AB13" s="63" t="str">
        <f t="shared" si="1"/>
        <v>a</v>
      </c>
      <c r="AC13" s="61" t="s">
        <v>124</v>
      </c>
      <c r="AD13" s="62" t="str">
        <f t="shared" si="2"/>
        <v>a</v>
      </c>
      <c r="AE13" s="62" t="str">
        <f t="shared" si="2"/>
        <v>a</v>
      </c>
      <c r="AF13" s="62" t="str">
        <f t="shared" si="2"/>
        <v>a</v>
      </c>
      <c r="AG13" s="62" t="str">
        <f t="shared" si="2"/>
        <v>a</v>
      </c>
      <c r="AH13" s="62" t="str">
        <f t="shared" si="2"/>
        <v>a</v>
      </c>
      <c r="AI13" s="62" t="str">
        <f t="shared" si="2"/>
        <v>a</v>
      </c>
      <c r="AJ13" s="63" t="str">
        <f t="shared" si="2"/>
        <v>a</v>
      </c>
      <c r="AK13" s="135"/>
      <c r="AL13" s="136"/>
      <c r="AM13" s="136"/>
      <c r="AN13" s="136"/>
      <c r="AO13" s="136"/>
      <c r="AP13" s="136"/>
      <c r="AQ13" s="136"/>
      <c r="AR13" s="137"/>
      <c r="AS13" s="282"/>
      <c r="AT13" s="283"/>
      <c r="AU13" s="283"/>
      <c r="AV13" s="283"/>
      <c r="AW13" s="283"/>
      <c r="AX13" s="283"/>
      <c r="AY13" s="283"/>
      <c r="AZ13" s="284"/>
      <c r="BA13" s="37">
        <f t="shared" si="3"/>
        <v>0</v>
      </c>
      <c r="BB13" s="9">
        <f t="shared" si="4"/>
        <v>446</v>
      </c>
      <c r="BC13" s="10">
        <f t="shared" si="5"/>
        <v>93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394</v>
      </c>
      <c r="E14" s="61" t="s">
        <v>124</v>
      </c>
      <c r="F14" s="62" t="str">
        <f t="shared" si="6"/>
        <v>a</v>
      </c>
      <c r="G14" s="62" t="str">
        <f t="shared" si="6"/>
        <v>a</v>
      </c>
      <c r="H14" s="62" t="str">
        <f t="shared" si="6"/>
        <v>a</v>
      </c>
      <c r="I14" s="62" t="str">
        <f t="shared" si="6"/>
        <v>a</v>
      </c>
      <c r="J14" s="62" t="str">
        <f t="shared" si="6"/>
        <v>a</v>
      </c>
      <c r="K14" s="62" t="str">
        <f t="shared" si="6"/>
        <v>a</v>
      </c>
      <c r="L14" s="63" t="str">
        <f t="shared" si="6"/>
        <v>a</v>
      </c>
      <c r="M14" s="135"/>
      <c r="N14" s="136"/>
      <c r="O14" s="136"/>
      <c r="P14" s="136"/>
      <c r="Q14" s="136"/>
      <c r="R14" s="136"/>
      <c r="S14" s="136"/>
      <c r="T14" s="137"/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135"/>
      <c r="AL14" s="136"/>
      <c r="AM14" s="136"/>
      <c r="AN14" s="136"/>
      <c r="AO14" s="136"/>
      <c r="AP14" s="136"/>
      <c r="AQ14" s="136"/>
      <c r="AR14" s="137"/>
      <c r="AS14" s="282"/>
      <c r="AT14" s="283"/>
      <c r="AU14" s="283"/>
      <c r="AV14" s="283"/>
      <c r="AW14" s="283"/>
      <c r="AX14" s="283"/>
      <c r="AY14" s="283"/>
      <c r="AZ14" s="284"/>
      <c r="BA14" s="37">
        <f t="shared" si="3"/>
        <v>16</v>
      </c>
      <c r="BB14" s="9">
        <f t="shared" si="4"/>
        <v>410</v>
      </c>
      <c r="BC14" s="10">
        <f t="shared" si="5"/>
        <v>86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352</v>
      </c>
      <c r="E15" s="61">
        <v>1</v>
      </c>
      <c r="F15" s="62">
        <f t="shared" si="6"/>
        <v>1</v>
      </c>
      <c r="G15" s="62">
        <f t="shared" si="6"/>
        <v>1</v>
      </c>
      <c r="H15" s="62">
        <f t="shared" si="6"/>
        <v>1</v>
      </c>
      <c r="I15" s="62">
        <f t="shared" si="6"/>
        <v>1</v>
      </c>
      <c r="J15" s="62">
        <f t="shared" si="6"/>
        <v>1</v>
      </c>
      <c r="K15" s="62">
        <f t="shared" si="6"/>
        <v>1</v>
      </c>
      <c r="L15" s="63">
        <f t="shared" si="6"/>
        <v>1</v>
      </c>
      <c r="M15" s="135"/>
      <c r="N15" s="136"/>
      <c r="O15" s="136"/>
      <c r="P15" s="136"/>
      <c r="Q15" s="136"/>
      <c r="R15" s="136"/>
      <c r="S15" s="136"/>
      <c r="T15" s="137"/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 t="s">
        <v>124</v>
      </c>
      <c r="AD15" s="62" t="str">
        <f t="shared" si="2"/>
        <v>a</v>
      </c>
      <c r="AE15" s="62" t="str">
        <f t="shared" si="2"/>
        <v>a</v>
      </c>
      <c r="AF15" s="62" t="str">
        <f t="shared" si="2"/>
        <v>a</v>
      </c>
      <c r="AG15" s="62" t="str">
        <f t="shared" si="2"/>
        <v>a</v>
      </c>
      <c r="AH15" s="62" t="str">
        <f t="shared" si="2"/>
        <v>a</v>
      </c>
      <c r="AI15" s="62" t="str">
        <f t="shared" si="2"/>
        <v>a</v>
      </c>
      <c r="AJ15" s="63" t="str">
        <f t="shared" si="2"/>
        <v>a</v>
      </c>
      <c r="AK15" s="135"/>
      <c r="AL15" s="136"/>
      <c r="AM15" s="136"/>
      <c r="AN15" s="136"/>
      <c r="AO15" s="136"/>
      <c r="AP15" s="136"/>
      <c r="AQ15" s="136"/>
      <c r="AR15" s="137"/>
      <c r="AS15" s="282"/>
      <c r="AT15" s="283"/>
      <c r="AU15" s="283"/>
      <c r="AV15" s="283"/>
      <c r="AW15" s="283"/>
      <c r="AX15" s="283"/>
      <c r="AY15" s="283"/>
      <c r="AZ15" s="284"/>
      <c r="BA15" s="37">
        <f t="shared" si="3"/>
        <v>16</v>
      </c>
      <c r="BB15" s="9">
        <f t="shared" si="4"/>
        <v>368</v>
      </c>
      <c r="BC15" s="10">
        <f t="shared" si="5"/>
        <v>77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379</v>
      </c>
      <c r="E16" s="61">
        <v>1</v>
      </c>
      <c r="F16" s="62">
        <f t="shared" si="6"/>
        <v>1</v>
      </c>
      <c r="G16" s="62">
        <f t="shared" si="6"/>
        <v>1</v>
      </c>
      <c r="H16" s="62">
        <f t="shared" si="6"/>
        <v>1</v>
      </c>
      <c r="I16" s="62">
        <f t="shared" si="6"/>
        <v>1</v>
      </c>
      <c r="J16" s="62">
        <f t="shared" si="6"/>
        <v>1</v>
      </c>
      <c r="K16" s="62">
        <f t="shared" si="6"/>
        <v>1</v>
      </c>
      <c r="L16" s="63">
        <f t="shared" si="6"/>
        <v>1</v>
      </c>
      <c r="M16" s="135"/>
      <c r="N16" s="136"/>
      <c r="O16" s="136"/>
      <c r="P16" s="136"/>
      <c r="Q16" s="136"/>
      <c r="R16" s="136"/>
      <c r="S16" s="136"/>
      <c r="T16" s="137"/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135"/>
      <c r="AL16" s="136"/>
      <c r="AM16" s="136"/>
      <c r="AN16" s="136"/>
      <c r="AO16" s="136"/>
      <c r="AP16" s="136"/>
      <c r="AQ16" s="136"/>
      <c r="AR16" s="137"/>
      <c r="AS16" s="282"/>
      <c r="AT16" s="283"/>
      <c r="AU16" s="283"/>
      <c r="AV16" s="283"/>
      <c r="AW16" s="283"/>
      <c r="AX16" s="283"/>
      <c r="AY16" s="283"/>
      <c r="AZ16" s="284"/>
      <c r="BA16" s="37">
        <f t="shared" si="3"/>
        <v>24</v>
      </c>
      <c r="BB16" s="9">
        <f t="shared" si="4"/>
        <v>403</v>
      </c>
      <c r="BC16" s="10">
        <f t="shared" si="5"/>
        <v>84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424</v>
      </c>
      <c r="E17" s="61">
        <v>1</v>
      </c>
      <c r="F17" s="62">
        <f t="shared" si="6"/>
        <v>1</v>
      </c>
      <c r="G17" s="62">
        <f t="shared" si="6"/>
        <v>1</v>
      </c>
      <c r="H17" s="62">
        <f t="shared" si="6"/>
        <v>1</v>
      </c>
      <c r="I17" s="62">
        <f t="shared" si="6"/>
        <v>1</v>
      </c>
      <c r="J17" s="62">
        <f t="shared" si="6"/>
        <v>1</v>
      </c>
      <c r="K17" s="62">
        <f t="shared" si="6"/>
        <v>1</v>
      </c>
      <c r="L17" s="63">
        <f t="shared" si="6"/>
        <v>1</v>
      </c>
      <c r="M17" s="135"/>
      <c r="N17" s="136"/>
      <c r="O17" s="136"/>
      <c r="P17" s="136"/>
      <c r="Q17" s="136"/>
      <c r="R17" s="136"/>
      <c r="S17" s="136"/>
      <c r="T17" s="137"/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135"/>
      <c r="AL17" s="136"/>
      <c r="AM17" s="136"/>
      <c r="AN17" s="136"/>
      <c r="AO17" s="136"/>
      <c r="AP17" s="136"/>
      <c r="AQ17" s="136"/>
      <c r="AR17" s="137"/>
      <c r="AS17" s="282"/>
      <c r="AT17" s="283"/>
      <c r="AU17" s="283"/>
      <c r="AV17" s="283"/>
      <c r="AW17" s="283"/>
      <c r="AX17" s="283"/>
      <c r="AY17" s="283"/>
      <c r="AZ17" s="284"/>
      <c r="BA17" s="37">
        <f t="shared" si="3"/>
        <v>24</v>
      </c>
      <c r="BB17" s="9">
        <f t="shared" si="4"/>
        <v>448</v>
      </c>
      <c r="BC17" s="10">
        <f t="shared" si="5"/>
        <v>94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372</v>
      </c>
      <c r="E18" s="61" t="s">
        <v>124</v>
      </c>
      <c r="F18" s="62" t="str">
        <f t="shared" si="6"/>
        <v>a</v>
      </c>
      <c r="G18" s="62" t="str">
        <f t="shared" si="6"/>
        <v>a</v>
      </c>
      <c r="H18" s="62" t="str">
        <f t="shared" si="6"/>
        <v>a</v>
      </c>
      <c r="I18" s="62" t="str">
        <f t="shared" si="6"/>
        <v>a</v>
      </c>
      <c r="J18" s="62" t="str">
        <f t="shared" si="6"/>
        <v>a</v>
      </c>
      <c r="K18" s="62" t="str">
        <f t="shared" si="6"/>
        <v>a</v>
      </c>
      <c r="L18" s="63" t="str">
        <f t="shared" si="6"/>
        <v>a</v>
      </c>
      <c r="M18" s="135"/>
      <c r="N18" s="136"/>
      <c r="O18" s="136"/>
      <c r="P18" s="136"/>
      <c r="Q18" s="136"/>
      <c r="R18" s="136"/>
      <c r="S18" s="136"/>
      <c r="T18" s="137"/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 t="s">
        <v>124</v>
      </c>
      <c r="AD18" s="62" t="str">
        <f t="shared" si="2"/>
        <v>a</v>
      </c>
      <c r="AE18" s="62" t="str">
        <f t="shared" si="2"/>
        <v>a</v>
      </c>
      <c r="AF18" s="62" t="str">
        <f t="shared" si="2"/>
        <v>a</v>
      </c>
      <c r="AG18" s="62" t="str">
        <f t="shared" si="2"/>
        <v>a</v>
      </c>
      <c r="AH18" s="62" t="str">
        <f t="shared" si="2"/>
        <v>a</v>
      </c>
      <c r="AI18" s="62" t="str">
        <f t="shared" si="2"/>
        <v>a</v>
      </c>
      <c r="AJ18" s="63" t="str">
        <f t="shared" si="2"/>
        <v>a</v>
      </c>
      <c r="AK18" s="135"/>
      <c r="AL18" s="136"/>
      <c r="AM18" s="136"/>
      <c r="AN18" s="136"/>
      <c r="AO18" s="136"/>
      <c r="AP18" s="136"/>
      <c r="AQ18" s="136"/>
      <c r="AR18" s="137"/>
      <c r="AS18" s="282"/>
      <c r="AT18" s="283"/>
      <c r="AU18" s="283"/>
      <c r="AV18" s="283"/>
      <c r="AW18" s="283"/>
      <c r="AX18" s="283"/>
      <c r="AY18" s="283"/>
      <c r="AZ18" s="284"/>
      <c r="BA18" s="37">
        <f t="shared" si="3"/>
        <v>8</v>
      </c>
      <c r="BB18" s="9">
        <f t="shared" si="4"/>
        <v>380</v>
      </c>
      <c r="BC18" s="10">
        <f t="shared" si="5"/>
        <v>79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396</v>
      </c>
      <c r="E19" s="61">
        <v>1</v>
      </c>
      <c r="F19" s="62">
        <f t="shared" si="6"/>
        <v>1</v>
      </c>
      <c r="G19" s="62">
        <f t="shared" si="6"/>
        <v>1</v>
      </c>
      <c r="H19" s="62">
        <f t="shared" si="6"/>
        <v>1</v>
      </c>
      <c r="I19" s="62">
        <f t="shared" si="6"/>
        <v>1</v>
      </c>
      <c r="J19" s="62">
        <f t="shared" si="6"/>
        <v>1</v>
      </c>
      <c r="K19" s="62">
        <f t="shared" si="6"/>
        <v>1</v>
      </c>
      <c r="L19" s="63">
        <f t="shared" si="6"/>
        <v>1</v>
      </c>
      <c r="M19" s="135"/>
      <c r="N19" s="136"/>
      <c r="O19" s="136"/>
      <c r="P19" s="136"/>
      <c r="Q19" s="136"/>
      <c r="R19" s="136"/>
      <c r="S19" s="136"/>
      <c r="T19" s="137"/>
      <c r="U19" s="61">
        <v>1</v>
      </c>
      <c r="V19" s="62">
        <f t="shared" si="1"/>
        <v>1</v>
      </c>
      <c r="W19" s="62">
        <f t="shared" si="1"/>
        <v>1</v>
      </c>
      <c r="X19" s="62">
        <f t="shared" si="1"/>
        <v>1</v>
      </c>
      <c r="Y19" s="62">
        <f t="shared" si="1"/>
        <v>1</v>
      </c>
      <c r="Z19" s="62">
        <f t="shared" si="1"/>
        <v>1</v>
      </c>
      <c r="AA19" s="62">
        <f t="shared" si="1"/>
        <v>1</v>
      </c>
      <c r="AB19" s="63">
        <f t="shared" si="1"/>
        <v>1</v>
      </c>
      <c r="AC19" s="61">
        <v>1</v>
      </c>
      <c r="AD19" s="62">
        <f t="shared" si="2"/>
        <v>1</v>
      </c>
      <c r="AE19" s="62">
        <f t="shared" si="2"/>
        <v>1</v>
      </c>
      <c r="AF19" s="62">
        <f t="shared" si="2"/>
        <v>1</v>
      </c>
      <c r="AG19" s="62">
        <f t="shared" si="2"/>
        <v>1</v>
      </c>
      <c r="AH19" s="62">
        <f t="shared" si="2"/>
        <v>1</v>
      </c>
      <c r="AI19" s="62">
        <f t="shared" si="2"/>
        <v>1</v>
      </c>
      <c r="AJ19" s="63">
        <f t="shared" si="2"/>
        <v>1</v>
      </c>
      <c r="AK19" s="135"/>
      <c r="AL19" s="136"/>
      <c r="AM19" s="136"/>
      <c r="AN19" s="136"/>
      <c r="AO19" s="136"/>
      <c r="AP19" s="136"/>
      <c r="AQ19" s="136"/>
      <c r="AR19" s="137"/>
      <c r="AS19" s="282"/>
      <c r="AT19" s="283"/>
      <c r="AU19" s="283"/>
      <c r="AV19" s="283"/>
      <c r="AW19" s="283"/>
      <c r="AX19" s="283"/>
      <c r="AY19" s="283"/>
      <c r="AZ19" s="284"/>
      <c r="BA19" s="37">
        <f t="shared" si="3"/>
        <v>24</v>
      </c>
      <c r="BB19" s="9">
        <f t="shared" si="4"/>
        <v>420</v>
      </c>
      <c r="BC19" s="10">
        <f t="shared" si="5"/>
        <v>88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430</v>
      </c>
      <c r="E20" s="61">
        <v>1</v>
      </c>
      <c r="F20" s="62">
        <f t="shared" si="6"/>
        <v>1</v>
      </c>
      <c r="G20" s="62">
        <f t="shared" si="6"/>
        <v>1</v>
      </c>
      <c r="H20" s="62">
        <f t="shared" si="6"/>
        <v>1</v>
      </c>
      <c r="I20" s="62">
        <f t="shared" si="6"/>
        <v>1</v>
      </c>
      <c r="J20" s="62">
        <f t="shared" si="6"/>
        <v>1</v>
      </c>
      <c r="K20" s="62">
        <f t="shared" si="6"/>
        <v>1</v>
      </c>
      <c r="L20" s="63">
        <f t="shared" si="6"/>
        <v>1</v>
      </c>
      <c r="M20" s="135"/>
      <c r="N20" s="136"/>
      <c r="O20" s="136"/>
      <c r="P20" s="136"/>
      <c r="Q20" s="136"/>
      <c r="R20" s="136"/>
      <c r="S20" s="136"/>
      <c r="T20" s="137"/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>
        <v>1</v>
      </c>
      <c r="AD20" s="62">
        <f t="shared" si="2"/>
        <v>1</v>
      </c>
      <c r="AE20" s="62">
        <f t="shared" si="2"/>
        <v>1</v>
      </c>
      <c r="AF20" s="62">
        <f t="shared" si="2"/>
        <v>1</v>
      </c>
      <c r="AG20" s="62">
        <f t="shared" si="2"/>
        <v>1</v>
      </c>
      <c r="AH20" s="62">
        <f t="shared" si="2"/>
        <v>1</v>
      </c>
      <c r="AI20" s="62">
        <f t="shared" si="2"/>
        <v>1</v>
      </c>
      <c r="AJ20" s="63">
        <f t="shared" si="2"/>
        <v>1</v>
      </c>
      <c r="AK20" s="135"/>
      <c r="AL20" s="136"/>
      <c r="AM20" s="136"/>
      <c r="AN20" s="136"/>
      <c r="AO20" s="136"/>
      <c r="AP20" s="136"/>
      <c r="AQ20" s="136"/>
      <c r="AR20" s="137"/>
      <c r="AS20" s="282"/>
      <c r="AT20" s="283"/>
      <c r="AU20" s="283"/>
      <c r="AV20" s="283"/>
      <c r="AW20" s="283"/>
      <c r="AX20" s="283"/>
      <c r="AY20" s="283"/>
      <c r="AZ20" s="284"/>
      <c r="BA20" s="37">
        <f t="shared" si="3"/>
        <v>24</v>
      </c>
      <c r="BB20" s="9">
        <f t="shared" si="4"/>
        <v>454</v>
      </c>
      <c r="BC20" s="10">
        <f t="shared" si="5"/>
        <v>95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434</v>
      </c>
      <c r="E21" s="61">
        <v>1</v>
      </c>
      <c r="F21" s="62">
        <f t="shared" si="6"/>
        <v>1</v>
      </c>
      <c r="G21" s="62">
        <f t="shared" si="6"/>
        <v>1</v>
      </c>
      <c r="H21" s="62">
        <f t="shared" si="6"/>
        <v>1</v>
      </c>
      <c r="I21" s="62">
        <f t="shared" si="6"/>
        <v>1</v>
      </c>
      <c r="J21" s="62">
        <f t="shared" si="6"/>
        <v>1</v>
      </c>
      <c r="K21" s="62">
        <f t="shared" si="6"/>
        <v>1</v>
      </c>
      <c r="L21" s="63">
        <f t="shared" si="6"/>
        <v>1</v>
      </c>
      <c r="M21" s="135"/>
      <c r="N21" s="136"/>
      <c r="O21" s="136"/>
      <c r="P21" s="136"/>
      <c r="Q21" s="136"/>
      <c r="R21" s="136"/>
      <c r="S21" s="136"/>
      <c r="T21" s="137"/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>
        <v>1</v>
      </c>
      <c r="AD21" s="62">
        <f t="shared" si="2"/>
        <v>1</v>
      </c>
      <c r="AE21" s="62">
        <f t="shared" si="2"/>
        <v>1</v>
      </c>
      <c r="AF21" s="62">
        <f t="shared" si="2"/>
        <v>1</v>
      </c>
      <c r="AG21" s="62">
        <f t="shared" si="2"/>
        <v>1</v>
      </c>
      <c r="AH21" s="62">
        <f t="shared" si="2"/>
        <v>1</v>
      </c>
      <c r="AI21" s="62">
        <f t="shared" si="2"/>
        <v>1</v>
      </c>
      <c r="AJ21" s="63">
        <f t="shared" si="2"/>
        <v>1</v>
      </c>
      <c r="AK21" s="135"/>
      <c r="AL21" s="136"/>
      <c r="AM21" s="136"/>
      <c r="AN21" s="136"/>
      <c r="AO21" s="136"/>
      <c r="AP21" s="136"/>
      <c r="AQ21" s="136"/>
      <c r="AR21" s="137"/>
      <c r="AS21" s="282"/>
      <c r="AT21" s="283"/>
      <c r="AU21" s="283"/>
      <c r="AV21" s="283"/>
      <c r="AW21" s="283"/>
      <c r="AX21" s="283"/>
      <c r="AY21" s="283"/>
      <c r="AZ21" s="284"/>
      <c r="BA21" s="37">
        <f t="shared" si="3"/>
        <v>24</v>
      </c>
      <c r="BB21" s="9">
        <f t="shared" si="4"/>
        <v>458</v>
      </c>
      <c r="BC21" s="10">
        <f t="shared" si="5"/>
        <v>96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454</v>
      </c>
      <c r="E22" s="61">
        <v>1</v>
      </c>
      <c r="F22" s="62">
        <f t="shared" si="6"/>
        <v>1</v>
      </c>
      <c r="G22" s="62">
        <f t="shared" si="6"/>
        <v>1</v>
      </c>
      <c r="H22" s="62">
        <f t="shared" si="6"/>
        <v>1</v>
      </c>
      <c r="I22" s="62">
        <f t="shared" si="6"/>
        <v>1</v>
      </c>
      <c r="J22" s="62">
        <f t="shared" si="6"/>
        <v>1</v>
      </c>
      <c r="K22" s="62">
        <f t="shared" si="6"/>
        <v>1</v>
      </c>
      <c r="L22" s="63">
        <f t="shared" si="6"/>
        <v>1</v>
      </c>
      <c r="M22" s="135"/>
      <c r="N22" s="136"/>
      <c r="O22" s="136"/>
      <c r="P22" s="136"/>
      <c r="Q22" s="136"/>
      <c r="R22" s="136"/>
      <c r="S22" s="136"/>
      <c r="T22" s="137"/>
      <c r="U22" s="61">
        <v>1</v>
      </c>
      <c r="V22" s="62">
        <f t="shared" si="1"/>
        <v>1</v>
      </c>
      <c r="W22" s="62">
        <f t="shared" si="1"/>
        <v>1</v>
      </c>
      <c r="X22" s="62">
        <f t="shared" si="1"/>
        <v>1</v>
      </c>
      <c r="Y22" s="62">
        <f t="shared" si="1"/>
        <v>1</v>
      </c>
      <c r="Z22" s="62">
        <f t="shared" si="1"/>
        <v>1</v>
      </c>
      <c r="AA22" s="62">
        <f t="shared" si="1"/>
        <v>1</v>
      </c>
      <c r="AB22" s="63">
        <f t="shared" si="1"/>
        <v>1</v>
      </c>
      <c r="AC22" s="61">
        <v>1</v>
      </c>
      <c r="AD22" s="62">
        <f t="shared" si="2"/>
        <v>1</v>
      </c>
      <c r="AE22" s="62">
        <f t="shared" si="2"/>
        <v>1</v>
      </c>
      <c r="AF22" s="62">
        <f t="shared" si="2"/>
        <v>1</v>
      </c>
      <c r="AG22" s="62">
        <f t="shared" si="2"/>
        <v>1</v>
      </c>
      <c r="AH22" s="62">
        <f t="shared" si="2"/>
        <v>1</v>
      </c>
      <c r="AI22" s="62">
        <f t="shared" si="2"/>
        <v>1</v>
      </c>
      <c r="AJ22" s="63">
        <f t="shared" si="2"/>
        <v>1</v>
      </c>
      <c r="AK22" s="135"/>
      <c r="AL22" s="136"/>
      <c r="AM22" s="136"/>
      <c r="AN22" s="136"/>
      <c r="AO22" s="136"/>
      <c r="AP22" s="136"/>
      <c r="AQ22" s="136"/>
      <c r="AR22" s="137"/>
      <c r="AS22" s="282"/>
      <c r="AT22" s="283"/>
      <c r="AU22" s="283"/>
      <c r="AV22" s="283"/>
      <c r="AW22" s="283"/>
      <c r="AX22" s="283"/>
      <c r="AY22" s="283"/>
      <c r="AZ22" s="284"/>
      <c r="BA22" s="37">
        <f t="shared" si="3"/>
        <v>24</v>
      </c>
      <c r="BB22" s="9">
        <f t="shared" si="4"/>
        <v>478</v>
      </c>
      <c r="BC22" s="10">
        <f t="shared" si="5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448</v>
      </c>
      <c r="E23" s="61">
        <v>1</v>
      </c>
      <c r="F23" s="62">
        <f t="shared" si="6"/>
        <v>1</v>
      </c>
      <c r="G23" s="62">
        <f t="shared" si="6"/>
        <v>1</v>
      </c>
      <c r="H23" s="62">
        <f t="shared" si="6"/>
        <v>1</v>
      </c>
      <c r="I23" s="62">
        <f t="shared" si="6"/>
        <v>1</v>
      </c>
      <c r="J23" s="62">
        <f t="shared" si="6"/>
        <v>1</v>
      </c>
      <c r="K23" s="62">
        <f t="shared" si="6"/>
        <v>1</v>
      </c>
      <c r="L23" s="63">
        <f t="shared" si="6"/>
        <v>1</v>
      </c>
      <c r="M23" s="135"/>
      <c r="N23" s="136"/>
      <c r="O23" s="136"/>
      <c r="P23" s="136"/>
      <c r="Q23" s="136"/>
      <c r="R23" s="136"/>
      <c r="S23" s="136"/>
      <c r="T23" s="137"/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>
        <v>1</v>
      </c>
      <c r="AD23" s="62">
        <f t="shared" si="2"/>
        <v>1</v>
      </c>
      <c r="AE23" s="62">
        <f t="shared" si="2"/>
        <v>1</v>
      </c>
      <c r="AF23" s="62">
        <f t="shared" si="2"/>
        <v>1</v>
      </c>
      <c r="AG23" s="62">
        <f t="shared" si="2"/>
        <v>1</v>
      </c>
      <c r="AH23" s="62">
        <f t="shared" si="2"/>
        <v>1</v>
      </c>
      <c r="AI23" s="62">
        <f t="shared" si="2"/>
        <v>1</v>
      </c>
      <c r="AJ23" s="63">
        <f t="shared" si="2"/>
        <v>1</v>
      </c>
      <c r="AK23" s="135"/>
      <c r="AL23" s="136"/>
      <c r="AM23" s="136"/>
      <c r="AN23" s="136"/>
      <c r="AO23" s="136"/>
      <c r="AP23" s="136"/>
      <c r="AQ23" s="136"/>
      <c r="AR23" s="137"/>
      <c r="AS23" s="282"/>
      <c r="AT23" s="283"/>
      <c r="AU23" s="283"/>
      <c r="AV23" s="283"/>
      <c r="AW23" s="283"/>
      <c r="AX23" s="283"/>
      <c r="AY23" s="283"/>
      <c r="AZ23" s="284"/>
      <c r="BA23" s="37">
        <f t="shared" si="3"/>
        <v>24</v>
      </c>
      <c r="BB23" s="9">
        <f t="shared" si="4"/>
        <v>472</v>
      </c>
      <c r="BC23" s="10">
        <f t="shared" si="5"/>
        <v>99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408</v>
      </c>
      <c r="E24" s="61">
        <v>1</v>
      </c>
      <c r="F24" s="62">
        <f t="shared" si="6"/>
        <v>1</v>
      </c>
      <c r="G24" s="62">
        <f t="shared" si="6"/>
        <v>1</v>
      </c>
      <c r="H24" s="62">
        <f t="shared" si="6"/>
        <v>1</v>
      </c>
      <c r="I24" s="62">
        <f t="shared" si="6"/>
        <v>1</v>
      </c>
      <c r="J24" s="62">
        <f t="shared" si="6"/>
        <v>1</v>
      </c>
      <c r="K24" s="62">
        <f t="shared" si="6"/>
        <v>1</v>
      </c>
      <c r="L24" s="63">
        <f t="shared" si="6"/>
        <v>1</v>
      </c>
      <c r="M24" s="135"/>
      <c r="N24" s="136"/>
      <c r="O24" s="136"/>
      <c r="P24" s="136"/>
      <c r="Q24" s="136"/>
      <c r="R24" s="136"/>
      <c r="S24" s="136"/>
      <c r="T24" s="137"/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>
        <v>1</v>
      </c>
      <c r="AD24" s="62">
        <f t="shared" si="2"/>
        <v>1</v>
      </c>
      <c r="AE24" s="62">
        <f t="shared" si="2"/>
        <v>1</v>
      </c>
      <c r="AF24" s="62">
        <f t="shared" si="2"/>
        <v>1</v>
      </c>
      <c r="AG24" s="62">
        <f t="shared" si="2"/>
        <v>1</v>
      </c>
      <c r="AH24" s="62">
        <f t="shared" si="2"/>
        <v>1</v>
      </c>
      <c r="AI24" s="62">
        <f t="shared" si="2"/>
        <v>1</v>
      </c>
      <c r="AJ24" s="63">
        <f t="shared" si="2"/>
        <v>1</v>
      </c>
      <c r="AK24" s="135"/>
      <c r="AL24" s="136"/>
      <c r="AM24" s="136"/>
      <c r="AN24" s="136"/>
      <c r="AO24" s="136"/>
      <c r="AP24" s="136"/>
      <c r="AQ24" s="136"/>
      <c r="AR24" s="137"/>
      <c r="AS24" s="282"/>
      <c r="AT24" s="283"/>
      <c r="AU24" s="283"/>
      <c r="AV24" s="283"/>
      <c r="AW24" s="283"/>
      <c r="AX24" s="283"/>
      <c r="AY24" s="283"/>
      <c r="AZ24" s="284"/>
      <c r="BA24" s="37">
        <f t="shared" si="3"/>
        <v>24</v>
      </c>
      <c r="BB24" s="9">
        <f t="shared" si="4"/>
        <v>432</v>
      </c>
      <c r="BC24" s="10">
        <f t="shared" si="5"/>
        <v>90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398</v>
      </c>
      <c r="E25" s="61">
        <v>1</v>
      </c>
      <c r="F25" s="62">
        <f t="shared" si="6"/>
        <v>1</v>
      </c>
      <c r="G25" s="62">
        <f t="shared" si="6"/>
        <v>1</v>
      </c>
      <c r="H25" s="62">
        <f t="shared" si="6"/>
        <v>1</v>
      </c>
      <c r="I25" s="62">
        <f t="shared" si="6"/>
        <v>1</v>
      </c>
      <c r="J25" s="62">
        <f t="shared" si="6"/>
        <v>1</v>
      </c>
      <c r="K25" s="62">
        <f t="shared" si="6"/>
        <v>1</v>
      </c>
      <c r="L25" s="63">
        <f t="shared" si="6"/>
        <v>1</v>
      </c>
      <c r="M25" s="135"/>
      <c r="N25" s="136"/>
      <c r="O25" s="136"/>
      <c r="P25" s="136"/>
      <c r="Q25" s="136"/>
      <c r="R25" s="136"/>
      <c r="S25" s="136"/>
      <c r="T25" s="137"/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>
        <v>1</v>
      </c>
      <c r="AD25" s="62">
        <f t="shared" si="2"/>
        <v>1</v>
      </c>
      <c r="AE25" s="62">
        <f t="shared" si="2"/>
        <v>1</v>
      </c>
      <c r="AF25" s="62">
        <f t="shared" si="2"/>
        <v>1</v>
      </c>
      <c r="AG25" s="62">
        <f t="shared" si="2"/>
        <v>1</v>
      </c>
      <c r="AH25" s="62">
        <f t="shared" si="2"/>
        <v>1</v>
      </c>
      <c r="AI25" s="62">
        <f t="shared" si="2"/>
        <v>1</v>
      </c>
      <c r="AJ25" s="63">
        <f t="shared" si="2"/>
        <v>1</v>
      </c>
      <c r="AK25" s="135"/>
      <c r="AL25" s="136"/>
      <c r="AM25" s="136"/>
      <c r="AN25" s="136"/>
      <c r="AO25" s="136"/>
      <c r="AP25" s="136"/>
      <c r="AQ25" s="136"/>
      <c r="AR25" s="137"/>
      <c r="AS25" s="282"/>
      <c r="AT25" s="283"/>
      <c r="AU25" s="283"/>
      <c r="AV25" s="283"/>
      <c r="AW25" s="283"/>
      <c r="AX25" s="283"/>
      <c r="AY25" s="283"/>
      <c r="AZ25" s="284"/>
      <c r="BA25" s="37">
        <f t="shared" si="3"/>
        <v>24</v>
      </c>
      <c r="BB25" s="9">
        <f t="shared" si="4"/>
        <v>422</v>
      </c>
      <c r="BC25" s="10">
        <f t="shared" si="5"/>
        <v>88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411</v>
      </c>
      <c r="E26" s="61">
        <v>1</v>
      </c>
      <c r="F26" s="62">
        <f t="shared" si="6"/>
        <v>1</v>
      </c>
      <c r="G26" s="62">
        <f t="shared" si="6"/>
        <v>1</v>
      </c>
      <c r="H26" s="62">
        <f t="shared" si="6"/>
        <v>1</v>
      </c>
      <c r="I26" s="62">
        <f t="shared" si="6"/>
        <v>1</v>
      </c>
      <c r="J26" s="62">
        <f t="shared" si="6"/>
        <v>1</v>
      </c>
      <c r="K26" s="62">
        <f t="shared" si="6"/>
        <v>1</v>
      </c>
      <c r="L26" s="63">
        <f t="shared" si="6"/>
        <v>1</v>
      </c>
      <c r="M26" s="135"/>
      <c r="N26" s="136"/>
      <c r="O26" s="136"/>
      <c r="P26" s="136"/>
      <c r="Q26" s="136"/>
      <c r="R26" s="136"/>
      <c r="S26" s="136"/>
      <c r="T26" s="137"/>
      <c r="U26" s="61" t="s">
        <v>124</v>
      </c>
      <c r="V26" s="62" t="str">
        <f t="shared" ref="V26:AB41" si="7">U26</f>
        <v>a</v>
      </c>
      <c r="W26" s="62" t="str">
        <f t="shared" si="7"/>
        <v>a</v>
      </c>
      <c r="X26" s="62" t="str">
        <f t="shared" si="7"/>
        <v>a</v>
      </c>
      <c r="Y26" s="62" t="str">
        <f t="shared" si="7"/>
        <v>a</v>
      </c>
      <c r="Z26" s="62" t="str">
        <f t="shared" si="7"/>
        <v>a</v>
      </c>
      <c r="AA26" s="62" t="str">
        <f t="shared" si="7"/>
        <v>a</v>
      </c>
      <c r="AB26" s="63" t="str">
        <f t="shared" si="7"/>
        <v>a</v>
      </c>
      <c r="AC26" s="61">
        <v>1</v>
      </c>
      <c r="AD26" s="62">
        <f t="shared" ref="AD26:AJ41" si="8">AC26</f>
        <v>1</v>
      </c>
      <c r="AE26" s="62">
        <f t="shared" si="8"/>
        <v>1</v>
      </c>
      <c r="AF26" s="62">
        <f t="shared" si="8"/>
        <v>1</v>
      </c>
      <c r="AG26" s="62">
        <f t="shared" si="8"/>
        <v>1</v>
      </c>
      <c r="AH26" s="62">
        <f t="shared" si="8"/>
        <v>1</v>
      </c>
      <c r="AI26" s="62">
        <f t="shared" si="8"/>
        <v>1</v>
      </c>
      <c r="AJ26" s="63">
        <f t="shared" si="8"/>
        <v>1</v>
      </c>
      <c r="AK26" s="135"/>
      <c r="AL26" s="136"/>
      <c r="AM26" s="136"/>
      <c r="AN26" s="136"/>
      <c r="AO26" s="136"/>
      <c r="AP26" s="136"/>
      <c r="AQ26" s="136"/>
      <c r="AR26" s="137"/>
      <c r="AS26" s="282"/>
      <c r="AT26" s="283"/>
      <c r="AU26" s="283"/>
      <c r="AV26" s="283"/>
      <c r="AW26" s="283"/>
      <c r="AX26" s="283"/>
      <c r="AY26" s="283"/>
      <c r="AZ26" s="284"/>
      <c r="BA26" s="37">
        <f t="shared" si="3"/>
        <v>16</v>
      </c>
      <c r="BB26" s="9">
        <f t="shared" si="4"/>
        <v>427</v>
      </c>
      <c r="BC26" s="10">
        <f t="shared" si="5"/>
        <v>89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430</v>
      </c>
      <c r="E27" s="61">
        <v>1</v>
      </c>
      <c r="F27" s="62">
        <f t="shared" si="6"/>
        <v>1</v>
      </c>
      <c r="G27" s="62">
        <f t="shared" si="6"/>
        <v>1</v>
      </c>
      <c r="H27" s="62">
        <f t="shared" si="6"/>
        <v>1</v>
      </c>
      <c r="I27" s="62">
        <f t="shared" si="6"/>
        <v>1</v>
      </c>
      <c r="J27" s="62">
        <f t="shared" si="6"/>
        <v>1</v>
      </c>
      <c r="K27" s="62">
        <f t="shared" si="6"/>
        <v>1</v>
      </c>
      <c r="L27" s="63">
        <f t="shared" si="6"/>
        <v>1</v>
      </c>
      <c r="M27" s="135"/>
      <c r="N27" s="136"/>
      <c r="O27" s="136"/>
      <c r="P27" s="136"/>
      <c r="Q27" s="136"/>
      <c r="R27" s="136"/>
      <c r="S27" s="136"/>
      <c r="T27" s="137"/>
      <c r="U27" s="61">
        <v>1</v>
      </c>
      <c r="V27" s="62">
        <f t="shared" si="7"/>
        <v>1</v>
      </c>
      <c r="W27" s="62">
        <f t="shared" si="7"/>
        <v>1</v>
      </c>
      <c r="X27" s="62">
        <f t="shared" si="7"/>
        <v>1</v>
      </c>
      <c r="Y27" s="62">
        <f t="shared" si="7"/>
        <v>1</v>
      </c>
      <c r="Z27" s="62">
        <f t="shared" si="7"/>
        <v>1</v>
      </c>
      <c r="AA27" s="62">
        <f t="shared" si="7"/>
        <v>1</v>
      </c>
      <c r="AB27" s="63">
        <f t="shared" si="7"/>
        <v>1</v>
      </c>
      <c r="AC27" s="61" t="s">
        <v>124</v>
      </c>
      <c r="AD27" s="62" t="str">
        <f t="shared" si="8"/>
        <v>a</v>
      </c>
      <c r="AE27" s="62" t="str">
        <f t="shared" si="8"/>
        <v>a</v>
      </c>
      <c r="AF27" s="62" t="str">
        <f t="shared" si="8"/>
        <v>a</v>
      </c>
      <c r="AG27" s="62" t="str">
        <f t="shared" si="8"/>
        <v>a</v>
      </c>
      <c r="AH27" s="62" t="str">
        <f t="shared" si="8"/>
        <v>a</v>
      </c>
      <c r="AI27" s="62" t="str">
        <f t="shared" si="8"/>
        <v>a</v>
      </c>
      <c r="AJ27" s="63" t="str">
        <f t="shared" si="8"/>
        <v>a</v>
      </c>
      <c r="AK27" s="135"/>
      <c r="AL27" s="136"/>
      <c r="AM27" s="136"/>
      <c r="AN27" s="136"/>
      <c r="AO27" s="136"/>
      <c r="AP27" s="136"/>
      <c r="AQ27" s="136"/>
      <c r="AR27" s="137"/>
      <c r="AS27" s="282"/>
      <c r="AT27" s="283"/>
      <c r="AU27" s="283"/>
      <c r="AV27" s="283"/>
      <c r="AW27" s="283"/>
      <c r="AX27" s="283"/>
      <c r="AY27" s="283"/>
      <c r="AZ27" s="284"/>
      <c r="BA27" s="37">
        <f t="shared" si="3"/>
        <v>16</v>
      </c>
      <c r="BB27" s="9">
        <f t="shared" si="4"/>
        <v>446</v>
      </c>
      <c r="BC27" s="10">
        <f t="shared" si="5"/>
        <v>93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414</v>
      </c>
      <c r="E28" s="61">
        <v>1</v>
      </c>
      <c r="F28" s="62">
        <f t="shared" ref="F28:L43" si="9">E28</f>
        <v>1</v>
      </c>
      <c r="G28" s="62">
        <f t="shared" si="9"/>
        <v>1</v>
      </c>
      <c r="H28" s="62">
        <f t="shared" si="9"/>
        <v>1</v>
      </c>
      <c r="I28" s="62">
        <f t="shared" si="9"/>
        <v>1</v>
      </c>
      <c r="J28" s="62">
        <f t="shared" si="9"/>
        <v>1</v>
      </c>
      <c r="K28" s="62">
        <f t="shared" si="9"/>
        <v>1</v>
      </c>
      <c r="L28" s="63">
        <f t="shared" si="9"/>
        <v>1</v>
      </c>
      <c r="M28" s="135"/>
      <c r="N28" s="136"/>
      <c r="O28" s="136"/>
      <c r="P28" s="136"/>
      <c r="Q28" s="136"/>
      <c r="R28" s="136"/>
      <c r="S28" s="136"/>
      <c r="T28" s="137"/>
      <c r="U28" s="61">
        <v>1</v>
      </c>
      <c r="V28" s="62">
        <f t="shared" si="7"/>
        <v>1</v>
      </c>
      <c r="W28" s="62">
        <f t="shared" si="7"/>
        <v>1</v>
      </c>
      <c r="X28" s="62">
        <f t="shared" si="7"/>
        <v>1</v>
      </c>
      <c r="Y28" s="62">
        <f t="shared" si="7"/>
        <v>1</v>
      </c>
      <c r="Z28" s="62">
        <f t="shared" si="7"/>
        <v>1</v>
      </c>
      <c r="AA28" s="62">
        <f t="shared" si="7"/>
        <v>1</v>
      </c>
      <c r="AB28" s="63">
        <f t="shared" si="7"/>
        <v>1</v>
      </c>
      <c r="AC28" s="61">
        <v>1</v>
      </c>
      <c r="AD28" s="62">
        <f t="shared" si="8"/>
        <v>1</v>
      </c>
      <c r="AE28" s="62">
        <f t="shared" si="8"/>
        <v>1</v>
      </c>
      <c r="AF28" s="62">
        <f t="shared" si="8"/>
        <v>1</v>
      </c>
      <c r="AG28" s="62">
        <f t="shared" si="8"/>
        <v>1</v>
      </c>
      <c r="AH28" s="62">
        <f t="shared" si="8"/>
        <v>1</v>
      </c>
      <c r="AI28" s="62">
        <f t="shared" si="8"/>
        <v>1</v>
      </c>
      <c r="AJ28" s="63">
        <f t="shared" si="8"/>
        <v>1</v>
      </c>
      <c r="AK28" s="135"/>
      <c r="AL28" s="136"/>
      <c r="AM28" s="136"/>
      <c r="AN28" s="136"/>
      <c r="AO28" s="136"/>
      <c r="AP28" s="136"/>
      <c r="AQ28" s="136"/>
      <c r="AR28" s="137"/>
      <c r="AS28" s="282"/>
      <c r="AT28" s="283"/>
      <c r="AU28" s="283"/>
      <c r="AV28" s="283"/>
      <c r="AW28" s="283"/>
      <c r="AX28" s="283"/>
      <c r="AY28" s="283"/>
      <c r="AZ28" s="284"/>
      <c r="BA28" s="37">
        <f t="shared" si="3"/>
        <v>24</v>
      </c>
      <c r="BB28" s="9">
        <f t="shared" si="4"/>
        <v>438</v>
      </c>
      <c r="BC28" s="10">
        <f t="shared" si="5"/>
        <v>92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392</v>
      </c>
      <c r="E29" s="61" t="s">
        <v>124</v>
      </c>
      <c r="F29" s="62" t="str">
        <f t="shared" si="9"/>
        <v>a</v>
      </c>
      <c r="G29" s="62" t="str">
        <f t="shared" si="9"/>
        <v>a</v>
      </c>
      <c r="H29" s="62" t="str">
        <f t="shared" si="9"/>
        <v>a</v>
      </c>
      <c r="I29" s="62" t="str">
        <f t="shared" si="9"/>
        <v>a</v>
      </c>
      <c r="J29" s="62" t="str">
        <f t="shared" si="9"/>
        <v>a</v>
      </c>
      <c r="K29" s="62" t="str">
        <f t="shared" si="9"/>
        <v>a</v>
      </c>
      <c r="L29" s="63" t="str">
        <f t="shared" si="9"/>
        <v>a</v>
      </c>
      <c r="M29" s="135"/>
      <c r="N29" s="136"/>
      <c r="O29" s="136"/>
      <c r="P29" s="136"/>
      <c r="Q29" s="136"/>
      <c r="R29" s="136"/>
      <c r="S29" s="136"/>
      <c r="T29" s="137"/>
      <c r="U29" s="61">
        <v>1</v>
      </c>
      <c r="V29" s="62">
        <f t="shared" si="7"/>
        <v>1</v>
      </c>
      <c r="W29" s="62">
        <f t="shared" si="7"/>
        <v>1</v>
      </c>
      <c r="X29" s="62">
        <f t="shared" si="7"/>
        <v>1</v>
      </c>
      <c r="Y29" s="62">
        <f t="shared" si="7"/>
        <v>1</v>
      </c>
      <c r="Z29" s="62">
        <f t="shared" si="7"/>
        <v>1</v>
      </c>
      <c r="AA29" s="62">
        <f t="shared" si="7"/>
        <v>1</v>
      </c>
      <c r="AB29" s="63">
        <f t="shared" si="7"/>
        <v>1</v>
      </c>
      <c r="AC29" s="61">
        <v>1</v>
      </c>
      <c r="AD29" s="62">
        <f t="shared" si="8"/>
        <v>1</v>
      </c>
      <c r="AE29" s="62">
        <f t="shared" si="8"/>
        <v>1</v>
      </c>
      <c r="AF29" s="62">
        <f t="shared" si="8"/>
        <v>1</v>
      </c>
      <c r="AG29" s="62">
        <f t="shared" si="8"/>
        <v>1</v>
      </c>
      <c r="AH29" s="62">
        <f t="shared" si="8"/>
        <v>1</v>
      </c>
      <c r="AI29" s="62">
        <f t="shared" si="8"/>
        <v>1</v>
      </c>
      <c r="AJ29" s="63">
        <f t="shared" si="8"/>
        <v>1</v>
      </c>
      <c r="AK29" s="135"/>
      <c r="AL29" s="136"/>
      <c r="AM29" s="136"/>
      <c r="AN29" s="136"/>
      <c r="AO29" s="136"/>
      <c r="AP29" s="136"/>
      <c r="AQ29" s="136"/>
      <c r="AR29" s="137"/>
      <c r="AS29" s="282"/>
      <c r="AT29" s="283"/>
      <c r="AU29" s="283"/>
      <c r="AV29" s="283"/>
      <c r="AW29" s="283"/>
      <c r="AX29" s="283"/>
      <c r="AY29" s="283"/>
      <c r="AZ29" s="284"/>
      <c r="BA29" s="37">
        <f t="shared" si="3"/>
        <v>16</v>
      </c>
      <c r="BB29" s="9">
        <f t="shared" si="4"/>
        <v>408</v>
      </c>
      <c r="BC29" s="10">
        <f t="shared" si="5"/>
        <v>85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432</v>
      </c>
      <c r="E30" s="61">
        <v>1</v>
      </c>
      <c r="F30" s="62">
        <f t="shared" si="9"/>
        <v>1</v>
      </c>
      <c r="G30" s="62">
        <f t="shared" si="9"/>
        <v>1</v>
      </c>
      <c r="H30" s="62">
        <f t="shared" si="9"/>
        <v>1</v>
      </c>
      <c r="I30" s="62">
        <f t="shared" si="9"/>
        <v>1</v>
      </c>
      <c r="J30" s="62">
        <f t="shared" si="9"/>
        <v>1</v>
      </c>
      <c r="K30" s="62">
        <f t="shared" si="9"/>
        <v>1</v>
      </c>
      <c r="L30" s="63">
        <f t="shared" si="9"/>
        <v>1</v>
      </c>
      <c r="M30" s="135"/>
      <c r="N30" s="136"/>
      <c r="O30" s="136"/>
      <c r="P30" s="136"/>
      <c r="Q30" s="136"/>
      <c r="R30" s="136"/>
      <c r="S30" s="136"/>
      <c r="T30" s="137"/>
      <c r="U30" s="61" t="s">
        <v>124</v>
      </c>
      <c r="V30" s="62" t="str">
        <f t="shared" si="7"/>
        <v>a</v>
      </c>
      <c r="W30" s="62" t="str">
        <f t="shared" si="7"/>
        <v>a</v>
      </c>
      <c r="X30" s="62" t="str">
        <f t="shared" si="7"/>
        <v>a</v>
      </c>
      <c r="Y30" s="62" t="str">
        <f t="shared" si="7"/>
        <v>a</v>
      </c>
      <c r="Z30" s="62" t="str">
        <f t="shared" si="7"/>
        <v>a</v>
      </c>
      <c r="AA30" s="62" t="str">
        <f t="shared" si="7"/>
        <v>a</v>
      </c>
      <c r="AB30" s="63" t="str">
        <f t="shared" si="7"/>
        <v>a</v>
      </c>
      <c r="AC30" s="61" t="s">
        <v>124</v>
      </c>
      <c r="AD30" s="62" t="str">
        <f t="shared" si="8"/>
        <v>a</v>
      </c>
      <c r="AE30" s="62" t="str">
        <f t="shared" si="8"/>
        <v>a</v>
      </c>
      <c r="AF30" s="62" t="str">
        <f t="shared" si="8"/>
        <v>a</v>
      </c>
      <c r="AG30" s="62" t="str">
        <f t="shared" si="8"/>
        <v>a</v>
      </c>
      <c r="AH30" s="62" t="str">
        <f t="shared" si="8"/>
        <v>a</v>
      </c>
      <c r="AI30" s="62" t="str">
        <f t="shared" si="8"/>
        <v>a</v>
      </c>
      <c r="AJ30" s="63" t="str">
        <f t="shared" si="8"/>
        <v>a</v>
      </c>
      <c r="AK30" s="135"/>
      <c r="AL30" s="136"/>
      <c r="AM30" s="136"/>
      <c r="AN30" s="136"/>
      <c r="AO30" s="136"/>
      <c r="AP30" s="136"/>
      <c r="AQ30" s="136"/>
      <c r="AR30" s="137"/>
      <c r="AS30" s="282"/>
      <c r="AT30" s="283"/>
      <c r="AU30" s="283"/>
      <c r="AV30" s="283"/>
      <c r="AW30" s="283"/>
      <c r="AX30" s="283"/>
      <c r="AY30" s="283"/>
      <c r="AZ30" s="284"/>
      <c r="BA30" s="37">
        <f t="shared" si="3"/>
        <v>8</v>
      </c>
      <c r="BB30" s="9">
        <f t="shared" si="4"/>
        <v>440</v>
      </c>
      <c r="BC30" s="10">
        <f t="shared" si="5"/>
        <v>92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422</v>
      </c>
      <c r="E31" s="61">
        <v>1</v>
      </c>
      <c r="F31" s="62">
        <f t="shared" si="9"/>
        <v>1</v>
      </c>
      <c r="G31" s="62">
        <f t="shared" si="9"/>
        <v>1</v>
      </c>
      <c r="H31" s="62">
        <f t="shared" si="9"/>
        <v>1</v>
      </c>
      <c r="I31" s="62">
        <f t="shared" si="9"/>
        <v>1</v>
      </c>
      <c r="J31" s="62">
        <f t="shared" si="9"/>
        <v>1</v>
      </c>
      <c r="K31" s="62">
        <f t="shared" si="9"/>
        <v>1</v>
      </c>
      <c r="L31" s="63">
        <f t="shared" si="9"/>
        <v>1</v>
      </c>
      <c r="M31" s="135"/>
      <c r="N31" s="136"/>
      <c r="O31" s="136"/>
      <c r="P31" s="136"/>
      <c r="Q31" s="136"/>
      <c r="R31" s="136"/>
      <c r="S31" s="136"/>
      <c r="T31" s="137"/>
      <c r="U31" s="61">
        <v>1</v>
      </c>
      <c r="V31" s="62">
        <f t="shared" si="7"/>
        <v>1</v>
      </c>
      <c r="W31" s="62">
        <f t="shared" si="7"/>
        <v>1</v>
      </c>
      <c r="X31" s="62">
        <f t="shared" si="7"/>
        <v>1</v>
      </c>
      <c r="Y31" s="62">
        <f t="shared" si="7"/>
        <v>1</v>
      </c>
      <c r="Z31" s="62">
        <f t="shared" si="7"/>
        <v>1</v>
      </c>
      <c r="AA31" s="62">
        <f t="shared" si="7"/>
        <v>1</v>
      </c>
      <c r="AB31" s="63">
        <f t="shared" si="7"/>
        <v>1</v>
      </c>
      <c r="AC31" s="61" t="s">
        <v>124</v>
      </c>
      <c r="AD31" s="62" t="str">
        <f t="shared" si="8"/>
        <v>a</v>
      </c>
      <c r="AE31" s="62" t="str">
        <f t="shared" si="8"/>
        <v>a</v>
      </c>
      <c r="AF31" s="62" t="str">
        <f t="shared" si="8"/>
        <v>a</v>
      </c>
      <c r="AG31" s="62" t="str">
        <f t="shared" si="8"/>
        <v>a</v>
      </c>
      <c r="AH31" s="62" t="str">
        <f t="shared" si="8"/>
        <v>a</v>
      </c>
      <c r="AI31" s="62" t="str">
        <f t="shared" si="8"/>
        <v>a</v>
      </c>
      <c r="AJ31" s="63" t="str">
        <f t="shared" si="8"/>
        <v>a</v>
      </c>
      <c r="AK31" s="135"/>
      <c r="AL31" s="136"/>
      <c r="AM31" s="136"/>
      <c r="AN31" s="136"/>
      <c r="AO31" s="136"/>
      <c r="AP31" s="136"/>
      <c r="AQ31" s="136"/>
      <c r="AR31" s="137"/>
      <c r="AS31" s="282"/>
      <c r="AT31" s="283"/>
      <c r="AU31" s="283"/>
      <c r="AV31" s="283"/>
      <c r="AW31" s="283"/>
      <c r="AX31" s="283"/>
      <c r="AY31" s="283"/>
      <c r="AZ31" s="284"/>
      <c r="BA31" s="37">
        <f t="shared" si="3"/>
        <v>16</v>
      </c>
      <c r="BB31" s="9">
        <f t="shared" si="4"/>
        <v>438</v>
      </c>
      <c r="BC31" s="10">
        <f t="shared" si="5"/>
        <v>92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405</v>
      </c>
      <c r="E32" s="61">
        <v>1</v>
      </c>
      <c r="F32" s="62">
        <f t="shared" si="9"/>
        <v>1</v>
      </c>
      <c r="G32" s="62">
        <f t="shared" si="9"/>
        <v>1</v>
      </c>
      <c r="H32" s="62">
        <f t="shared" si="9"/>
        <v>1</v>
      </c>
      <c r="I32" s="62">
        <f t="shared" si="9"/>
        <v>1</v>
      </c>
      <c r="J32" s="62">
        <f t="shared" si="9"/>
        <v>1</v>
      </c>
      <c r="K32" s="62">
        <f t="shared" si="9"/>
        <v>1</v>
      </c>
      <c r="L32" s="63">
        <f t="shared" si="9"/>
        <v>1</v>
      </c>
      <c r="M32" s="135"/>
      <c r="N32" s="136"/>
      <c r="O32" s="136"/>
      <c r="P32" s="136"/>
      <c r="Q32" s="136"/>
      <c r="R32" s="136"/>
      <c r="S32" s="136"/>
      <c r="T32" s="137"/>
      <c r="U32" s="61">
        <v>1</v>
      </c>
      <c r="V32" s="62">
        <f t="shared" si="7"/>
        <v>1</v>
      </c>
      <c r="W32" s="62">
        <f t="shared" si="7"/>
        <v>1</v>
      </c>
      <c r="X32" s="62">
        <f t="shared" si="7"/>
        <v>1</v>
      </c>
      <c r="Y32" s="62">
        <f t="shared" si="7"/>
        <v>1</v>
      </c>
      <c r="Z32" s="62">
        <f t="shared" si="7"/>
        <v>1</v>
      </c>
      <c r="AA32" s="62">
        <f t="shared" si="7"/>
        <v>1</v>
      </c>
      <c r="AB32" s="63">
        <f t="shared" si="7"/>
        <v>1</v>
      </c>
      <c r="AC32" s="61">
        <v>1</v>
      </c>
      <c r="AD32" s="62">
        <f t="shared" si="8"/>
        <v>1</v>
      </c>
      <c r="AE32" s="62">
        <f t="shared" si="8"/>
        <v>1</v>
      </c>
      <c r="AF32" s="62">
        <f t="shared" si="8"/>
        <v>1</v>
      </c>
      <c r="AG32" s="62">
        <f t="shared" si="8"/>
        <v>1</v>
      </c>
      <c r="AH32" s="62">
        <f t="shared" si="8"/>
        <v>1</v>
      </c>
      <c r="AI32" s="62">
        <f t="shared" si="8"/>
        <v>1</v>
      </c>
      <c r="AJ32" s="63">
        <f t="shared" si="8"/>
        <v>1</v>
      </c>
      <c r="AK32" s="135"/>
      <c r="AL32" s="136"/>
      <c r="AM32" s="136"/>
      <c r="AN32" s="136"/>
      <c r="AO32" s="136"/>
      <c r="AP32" s="136"/>
      <c r="AQ32" s="136"/>
      <c r="AR32" s="137"/>
      <c r="AS32" s="282"/>
      <c r="AT32" s="283"/>
      <c r="AU32" s="283"/>
      <c r="AV32" s="283"/>
      <c r="AW32" s="283"/>
      <c r="AX32" s="283"/>
      <c r="AY32" s="283"/>
      <c r="AZ32" s="284"/>
      <c r="BA32" s="37">
        <f t="shared" si="3"/>
        <v>24</v>
      </c>
      <c r="BB32" s="9">
        <f t="shared" si="4"/>
        <v>429</v>
      </c>
      <c r="BC32" s="10">
        <f t="shared" si="5"/>
        <v>90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424</v>
      </c>
      <c r="E33" s="61">
        <v>1</v>
      </c>
      <c r="F33" s="62">
        <f t="shared" si="9"/>
        <v>1</v>
      </c>
      <c r="G33" s="62">
        <f t="shared" si="9"/>
        <v>1</v>
      </c>
      <c r="H33" s="62">
        <f t="shared" si="9"/>
        <v>1</v>
      </c>
      <c r="I33" s="62">
        <f t="shared" si="9"/>
        <v>1</v>
      </c>
      <c r="J33" s="62">
        <f t="shared" si="9"/>
        <v>1</v>
      </c>
      <c r="K33" s="62">
        <f t="shared" si="9"/>
        <v>1</v>
      </c>
      <c r="L33" s="63">
        <f t="shared" si="9"/>
        <v>1</v>
      </c>
      <c r="M33" s="135"/>
      <c r="N33" s="136"/>
      <c r="O33" s="136"/>
      <c r="P33" s="136"/>
      <c r="Q33" s="136"/>
      <c r="R33" s="136"/>
      <c r="S33" s="136"/>
      <c r="T33" s="137"/>
      <c r="U33" s="61">
        <v>1</v>
      </c>
      <c r="V33" s="62">
        <f t="shared" si="7"/>
        <v>1</v>
      </c>
      <c r="W33" s="62">
        <f t="shared" si="7"/>
        <v>1</v>
      </c>
      <c r="X33" s="62">
        <f t="shared" si="7"/>
        <v>1</v>
      </c>
      <c r="Y33" s="62">
        <f t="shared" si="7"/>
        <v>1</v>
      </c>
      <c r="Z33" s="62">
        <f t="shared" si="7"/>
        <v>1</v>
      </c>
      <c r="AA33" s="62">
        <f t="shared" si="7"/>
        <v>1</v>
      </c>
      <c r="AB33" s="63">
        <f t="shared" si="7"/>
        <v>1</v>
      </c>
      <c r="AC33" s="61">
        <v>1</v>
      </c>
      <c r="AD33" s="62">
        <f t="shared" si="8"/>
        <v>1</v>
      </c>
      <c r="AE33" s="62">
        <f t="shared" si="8"/>
        <v>1</v>
      </c>
      <c r="AF33" s="62">
        <f t="shared" si="8"/>
        <v>1</v>
      </c>
      <c r="AG33" s="62">
        <f t="shared" si="8"/>
        <v>1</v>
      </c>
      <c r="AH33" s="62">
        <f t="shared" si="8"/>
        <v>1</v>
      </c>
      <c r="AI33" s="62">
        <f t="shared" si="8"/>
        <v>1</v>
      </c>
      <c r="AJ33" s="63">
        <f t="shared" si="8"/>
        <v>1</v>
      </c>
      <c r="AK33" s="135"/>
      <c r="AL33" s="136"/>
      <c r="AM33" s="136"/>
      <c r="AN33" s="136"/>
      <c r="AO33" s="136"/>
      <c r="AP33" s="136"/>
      <c r="AQ33" s="136"/>
      <c r="AR33" s="137"/>
      <c r="AS33" s="282"/>
      <c r="AT33" s="283"/>
      <c r="AU33" s="283"/>
      <c r="AV33" s="283"/>
      <c r="AW33" s="283"/>
      <c r="AX33" s="283"/>
      <c r="AY33" s="283"/>
      <c r="AZ33" s="284"/>
      <c r="BA33" s="37">
        <f t="shared" si="3"/>
        <v>24</v>
      </c>
      <c r="BB33" s="9">
        <f t="shared" si="4"/>
        <v>448</v>
      </c>
      <c r="BC33" s="10">
        <f t="shared" si="5"/>
        <v>94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391</v>
      </c>
      <c r="E34" s="61">
        <v>1</v>
      </c>
      <c r="F34" s="62">
        <f t="shared" si="9"/>
        <v>1</v>
      </c>
      <c r="G34" s="62">
        <f t="shared" si="9"/>
        <v>1</v>
      </c>
      <c r="H34" s="62">
        <f t="shared" si="9"/>
        <v>1</v>
      </c>
      <c r="I34" s="62">
        <f t="shared" si="9"/>
        <v>1</v>
      </c>
      <c r="J34" s="62">
        <f t="shared" si="9"/>
        <v>1</v>
      </c>
      <c r="K34" s="62">
        <f t="shared" si="9"/>
        <v>1</v>
      </c>
      <c r="L34" s="63">
        <f t="shared" si="9"/>
        <v>1</v>
      </c>
      <c r="M34" s="135"/>
      <c r="N34" s="136"/>
      <c r="O34" s="136"/>
      <c r="P34" s="136"/>
      <c r="Q34" s="136"/>
      <c r="R34" s="136"/>
      <c r="S34" s="136"/>
      <c r="T34" s="137"/>
      <c r="U34" s="61">
        <v>1</v>
      </c>
      <c r="V34" s="62">
        <f t="shared" si="7"/>
        <v>1</v>
      </c>
      <c r="W34" s="62">
        <f t="shared" si="7"/>
        <v>1</v>
      </c>
      <c r="X34" s="62">
        <f t="shared" si="7"/>
        <v>1</v>
      </c>
      <c r="Y34" s="62">
        <f t="shared" si="7"/>
        <v>1</v>
      </c>
      <c r="Z34" s="62">
        <f t="shared" si="7"/>
        <v>1</v>
      </c>
      <c r="AA34" s="62">
        <f t="shared" si="7"/>
        <v>1</v>
      </c>
      <c r="AB34" s="63">
        <f t="shared" si="7"/>
        <v>1</v>
      </c>
      <c r="AC34" s="61" t="s">
        <v>124</v>
      </c>
      <c r="AD34" s="62" t="str">
        <f t="shared" si="8"/>
        <v>a</v>
      </c>
      <c r="AE34" s="62" t="str">
        <f t="shared" si="8"/>
        <v>a</v>
      </c>
      <c r="AF34" s="62" t="str">
        <f t="shared" si="8"/>
        <v>a</v>
      </c>
      <c r="AG34" s="62" t="str">
        <f t="shared" si="8"/>
        <v>a</v>
      </c>
      <c r="AH34" s="62" t="str">
        <f t="shared" si="8"/>
        <v>a</v>
      </c>
      <c r="AI34" s="62" t="str">
        <f t="shared" si="8"/>
        <v>a</v>
      </c>
      <c r="AJ34" s="63" t="str">
        <f t="shared" si="8"/>
        <v>a</v>
      </c>
      <c r="AK34" s="135"/>
      <c r="AL34" s="136"/>
      <c r="AM34" s="136"/>
      <c r="AN34" s="136"/>
      <c r="AO34" s="136"/>
      <c r="AP34" s="136"/>
      <c r="AQ34" s="136"/>
      <c r="AR34" s="137"/>
      <c r="AS34" s="282"/>
      <c r="AT34" s="283"/>
      <c r="AU34" s="283"/>
      <c r="AV34" s="283"/>
      <c r="AW34" s="283"/>
      <c r="AX34" s="283"/>
      <c r="AY34" s="283"/>
      <c r="AZ34" s="284"/>
      <c r="BA34" s="37">
        <f t="shared" si="3"/>
        <v>16</v>
      </c>
      <c r="BB34" s="9">
        <f t="shared" si="4"/>
        <v>407</v>
      </c>
      <c r="BC34" s="10">
        <f t="shared" si="5"/>
        <v>85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454</v>
      </c>
      <c r="E35" s="61">
        <v>1</v>
      </c>
      <c r="F35" s="62">
        <f t="shared" si="9"/>
        <v>1</v>
      </c>
      <c r="G35" s="62">
        <f t="shared" si="9"/>
        <v>1</v>
      </c>
      <c r="H35" s="62">
        <f t="shared" si="9"/>
        <v>1</v>
      </c>
      <c r="I35" s="62">
        <f t="shared" si="9"/>
        <v>1</v>
      </c>
      <c r="J35" s="62">
        <f t="shared" si="9"/>
        <v>1</v>
      </c>
      <c r="K35" s="62">
        <f t="shared" si="9"/>
        <v>1</v>
      </c>
      <c r="L35" s="63">
        <f t="shared" si="9"/>
        <v>1</v>
      </c>
      <c r="M35" s="135"/>
      <c r="N35" s="136"/>
      <c r="O35" s="136"/>
      <c r="P35" s="136"/>
      <c r="Q35" s="136"/>
      <c r="R35" s="136"/>
      <c r="S35" s="136"/>
      <c r="T35" s="137"/>
      <c r="U35" s="61">
        <v>1</v>
      </c>
      <c r="V35" s="62">
        <f t="shared" si="7"/>
        <v>1</v>
      </c>
      <c r="W35" s="62">
        <f t="shared" si="7"/>
        <v>1</v>
      </c>
      <c r="X35" s="62">
        <f t="shared" si="7"/>
        <v>1</v>
      </c>
      <c r="Y35" s="62">
        <f t="shared" si="7"/>
        <v>1</v>
      </c>
      <c r="Z35" s="62">
        <f t="shared" si="7"/>
        <v>1</v>
      </c>
      <c r="AA35" s="62">
        <f t="shared" si="7"/>
        <v>1</v>
      </c>
      <c r="AB35" s="63">
        <f t="shared" si="7"/>
        <v>1</v>
      </c>
      <c r="AC35" s="61">
        <v>1</v>
      </c>
      <c r="AD35" s="62">
        <f t="shared" si="8"/>
        <v>1</v>
      </c>
      <c r="AE35" s="62">
        <f t="shared" si="8"/>
        <v>1</v>
      </c>
      <c r="AF35" s="62">
        <f t="shared" si="8"/>
        <v>1</v>
      </c>
      <c r="AG35" s="62">
        <f t="shared" si="8"/>
        <v>1</v>
      </c>
      <c r="AH35" s="62">
        <f t="shared" si="8"/>
        <v>1</v>
      </c>
      <c r="AI35" s="62">
        <f t="shared" si="8"/>
        <v>1</v>
      </c>
      <c r="AJ35" s="63">
        <f t="shared" si="8"/>
        <v>1</v>
      </c>
      <c r="AK35" s="135"/>
      <c r="AL35" s="136"/>
      <c r="AM35" s="136"/>
      <c r="AN35" s="136"/>
      <c r="AO35" s="136"/>
      <c r="AP35" s="136"/>
      <c r="AQ35" s="136"/>
      <c r="AR35" s="137"/>
      <c r="AS35" s="282"/>
      <c r="AT35" s="283"/>
      <c r="AU35" s="283"/>
      <c r="AV35" s="283"/>
      <c r="AW35" s="283"/>
      <c r="AX35" s="283"/>
      <c r="AY35" s="283"/>
      <c r="AZ35" s="284"/>
      <c r="BA35" s="37">
        <f t="shared" si="3"/>
        <v>24</v>
      </c>
      <c r="BB35" s="9">
        <f t="shared" si="4"/>
        <v>478</v>
      </c>
      <c r="BC35" s="10">
        <f t="shared" si="5"/>
        <v>100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393</v>
      </c>
      <c r="E36" s="61">
        <v>1</v>
      </c>
      <c r="F36" s="62">
        <f t="shared" si="9"/>
        <v>1</v>
      </c>
      <c r="G36" s="62">
        <f t="shared" si="9"/>
        <v>1</v>
      </c>
      <c r="H36" s="62">
        <f t="shared" si="9"/>
        <v>1</v>
      </c>
      <c r="I36" s="62">
        <f t="shared" si="9"/>
        <v>1</v>
      </c>
      <c r="J36" s="62">
        <f t="shared" si="9"/>
        <v>1</v>
      </c>
      <c r="K36" s="62">
        <f t="shared" si="9"/>
        <v>1</v>
      </c>
      <c r="L36" s="63">
        <f t="shared" si="9"/>
        <v>1</v>
      </c>
      <c r="M36" s="135"/>
      <c r="N36" s="136"/>
      <c r="O36" s="136"/>
      <c r="P36" s="136"/>
      <c r="Q36" s="136"/>
      <c r="R36" s="136"/>
      <c r="S36" s="136"/>
      <c r="T36" s="137"/>
      <c r="U36" s="61">
        <v>1</v>
      </c>
      <c r="V36" s="62">
        <f t="shared" si="7"/>
        <v>1</v>
      </c>
      <c r="W36" s="62">
        <f t="shared" si="7"/>
        <v>1</v>
      </c>
      <c r="X36" s="62">
        <f t="shared" si="7"/>
        <v>1</v>
      </c>
      <c r="Y36" s="62">
        <f t="shared" si="7"/>
        <v>1</v>
      </c>
      <c r="Z36" s="62">
        <f t="shared" si="7"/>
        <v>1</v>
      </c>
      <c r="AA36" s="62">
        <f t="shared" si="7"/>
        <v>1</v>
      </c>
      <c r="AB36" s="63">
        <f t="shared" si="7"/>
        <v>1</v>
      </c>
      <c r="AC36" s="61">
        <v>1</v>
      </c>
      <c r="AD36" s="62">
        <f t="shared" si="8"/>
        <v>1</v>
      </c>
      <c r="AE36" s="62">
        <f t="shared" si="8"/>
        <v>1</v>
      </c>
      <c r="AF36" s="62">
        <f t="shared" si="8"/>
        <v>1</v>
      </c>
      <c r="AG36" s="62">
        <f t="shared" si="8"/>
        <v>1</v>
      </c>
      <c r="AH36" s="62">
        <f t="shared" si="8"/>
        <v>1</v>
      </c>
      <c r="AI36" s="62">
        <f t="shared" si="8"/>
        <v>1</v>
      </c>
      <c r="AJ36" s="63">
        <f t="shared" si="8"/>
        <v>1</v>
      </c>
      <c r="AK36" s="135"/>
      <c r="AL36" s="136"/>
      <c r="AM36" s="136"/>
      <c r="AN36" s="136"/>
      <c r="AO36" s="136"/>
      <c r="AP36" s="136"/>
      <c r="AQ36" s="136"/>
      <c r="AR36" s="137"/>
      <c r="AS36" s="282"/>
      <c r="AT36" s="283"/>
      <c r="AU36" s="283"/>
      <c r="AV36" s="283"/>
      <c r="AW36" s="283"/>
      <c r="AX36" s="283"/>
      <c r="AY36" s="283"/>
      <c r="AZ36" s="284"/>
      <c r="BA36" s="37">
        <f t="shared" si="3"/>
        <v>24</v>
      </c>
      <c r="BB36" s="9">
        <f t="shared" si="4"/>
        <v>417</v>
      </c>
      <c r="BC36" s="10">
        <f t="shared" si="5"/>
        <v>87</v>
      </c>
    </row>
    <row r="37" spans="1:55" ht="15" thickBot="1" x14ac:dyDescent="0.4">
      <c r="A37" s="29">
        <v>820323205090</v>
      </c>
      <c r="B37" s="30" t="s">
        <v>47</v>
      </c>
      <c r="C37" s="15"/>
      <c r="D37" s="7">
        <v>454</v>
      </c>
      <c r="E37" s="61">
        <v>1</v>
      </c>
      <c r="F37" s="62">
        <f t="shared" si="9"/>
        <v>1</v>
      </c>
      <c r="G37" s="62">
        <f t="shared" si="9"/>
        <v>1</v>
      </c>
      <c r="H37" s="62">
        <f t="shared" si="9"/>
        <v>1</v>
      </c>
      <c r="I37" s="62">
        <f t="shared" si="9"/>
        <v>1</v>
      </c>
      <c r="J37" s="62">
        <f t="shared" si="9"/>
        <v>1</v>
      </c>
      <c r="K37" s="62">
        <f t="shared" si="9"/>
        <v>1</v>
      </c>
      <c r="L37" s="63">
        <f t="shared" si="9"/>
        <v>1</v>
      </c>
      <c r="M37" s="135"/>
      <c r="N37" s="136"/>
      <c r="O37" s="136"/>
      <c r="P37" s="136"/>
      <c r="Q37" s="136"/>
      <c r="R37" s="136"/>
      <c r="S37" s="136"/>
      <c r="T37" s="137"/>
      <c r="U37" s="61">
        <v>1</v>
      </c>
      <c r="V37" s="62">
        <f t="shared" si="7"/>
        <v>1</v>
      </c>
      <c r="W37" s="62">
        <f t="shared" si="7"/>
        <v>1</v>
      </c>
      <c r="X37" s="62">
        <f t="shared" si="7"/>
        <v>1</v>
      </c>
      <c r="Y37" s="62">
        <f t="shared" si="7"/>
        <v>1</v>
      </c>
      <c r="Z37" s="62">
        <f t="shared" si="7"/>
        <v>1</v>
      </c>
      <c r="AA37" s="62">
        <f t="shared" si="7"/>
        <v>1</v>
      </c>
      <c r="AB37" s="63">
        <f t="shared" si="7"/>
        <v>1</v>
      </c>
      <c r="AC37" s="61">
        <v>1</v>
      </c>
      <c r="AD37" s="62">
        <f t="shared" si="8"/>
        <v>1</v>
      </c>
      <c r="AE37" s="62">
        <f t="shared" si="8"/>
        <v>1</v>
      </c>
      <c r="AF37" s="62">
        <f t="shared" si="8"/>
        <v>1</v>
      </c>
      <c r="AG37" s="62">
        <f t="shared" si="8"/>
        <v>1</v>
      </c>
      <c r="AH37" s="62">
        <f t="shared" si="8"/>
        <v>1</v>
      </c>
      <c r="AI37" s="62">
        <f t="shared" si="8"/>
        <v>1</v>
      </c>
      <c r="AJ37" s="63">
        <f t="shared" si="8"/>
        <v>1</v>
      </c>
      <c r="AK37" s="135"/>
      <c r="AL37" s="136"/>
      <c r="AM37" s="136"/>
      <c r="AN37" s="136"/>
      <c r="AO37" s="136"/>
      <c r="AP37" s="136"/>
      <c r="AQ37" s="136"/>
      <c r="AR37" s="137"/>
      <c r="AS37" s="282"/>
      <c r="AT37" s="283"/>
      <c r="AU37" s="283"/>
      <c r="AV37" s="283"/>
      <c r="AW37" s="283"/>
      <c r="AX37" s="283"/>
      <c r="AY37" s="283"/>
      <c r="AZ37" s="284"/>
      <c r="BA37" s="38">
        <f t="shared" si="3"/>
        <v>24</v>
      </c>
      <c r="BB37" s="9">
        <f t="shared" si="4"/>
        <v>478</v>
      </c>
      <c r="BC37" s="10">
        <f t="shared" si="5"/>
        <v>100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390</v>
      </c>
      <c r="E38" s="61" t="s">
        <v>124</v>
      </c>
      <c r="F38" s="62" t="str">
        <f t="shared" si="9"/>
        <v>a</v>
      </c>
      <c r="G38" s="62" t="str">
        <f t="shared" si="9"/>
        <v>a</v>
      </c>
      <c r="H38" s="62" t="str">
        <f t="shared" si="9"/>
        <v>a</v>
      </c>
      <c r="I38" s="62" t="str">
        <f t="shared" si="9"/>
        <v>a</v>
      </c>
      <c r="J38" s="62" t="str">
        <f t="shared" si="9"/>
        <v>a</v>
      </c>
      <c r="K38" s="62" t="str">
        <f t="shared" si="9"/>
        <v>a</v>
      </c>
      <c r="L38" s="63" t="str">
        <f t="shared" si="9"/>
        <v>a</v>
      </c>
      <c r="M38" s="135"/>
      <c r="N38" s="136"/>
      <c r="O38" s="136"/>
      <c r="P38" s="136"/>
      <c r="Q38" s="136"/>
      <c r="R38" s="136"/>
      <c r="S38" s="136"/>
      <c r="T38" s="137"/>
      <c r="U38" s="61">
        <v>1</v>
      </c>
      <c r="V38" s="62">
        <f t="shared" si="7"/>
        <v>1</v>
      </c>
      <c r="W38" s="62">
        <f t="shared" si="7"/>
        <v>1</v>
      </c>
      <c r="X38" s="62">
        <f t="shared" si="7"/>
        <v>1</v>
      </c>
      <c r="Y38" s="62">
        <f t="shared" si="7"/>
        <v>1</v>
      </c>
      <c r="Z38" s="62">
        <f t="shared" si="7"/>
        <v>1</v>
      </c>
      <c r="AA38" s="62">
        <f t="shared" si="7"/>
        <v>1</v>
      </c>
      <c r="AB38" s="63">
        <f t="shared" si="7"/>
        <v>1</v>
      </c>
      <c r="AC38" s="61" t="s">
        <v>124</v>
      </c>
      <c r="AD38" s="62" t="str">
        <f t="shared" si="8"/>
        <v>a</v>
      </c>
      <c r="AE38" s="62" t="str">
        <f t="shared" si="8"/>
        <v>a</v>
      </c>
      <c r="AF38" s="62" t="str">
        <f t="shared" si="8"/>
        <v>a</v>
      </c>
      <c r="AG38" s="62" t="str">
        <f t="shared" si="8"/>
        <v>a</v>
      </c>
      <c r="AH38" s="62" t="str">
        <f t="shared" si="8"/>
        <v>a</v>
      </c>
      <c r="AI38" s="62" t="str">
        <f t="shared" si="8"/>
        <v>a</v>
      </c>
      <c r="AJ38" s="63" t="str">
        <f t="shared" si="8"/>
        <v>a</v>
      </c>
      <c r="AK38" s="135"/>
      <c r="AL38" s="136"/>
      <c r="AM38" s="136"/>
      <c r="AN38" s="136"/>
      <c r="AO38" s="136"/>
      <c r="AP38" s="136"/>
      <c r="AQ38" s="136"/>
      <c r="AR38" s="137"/>
      <c r="AS38" s="282"/>
      <c r="AT38" s="283"/>
      <c r="AU38" s="283"/>
      <c r="AV38" s="283"/>
      <c r="AW38" s="283"/>
      <c r="AX38" s="283"/>
      <c r="AY38" s="283"/>
      <c r="AZ38" s="284"/>
      <c r="BA38" s="36">
        <f>SUM(E38:AZ38)</f>
        <v>8</v>
      </c>
      <c r="BB38" s="9">
        <f t="shared" si="4"/>
        <v>398</v>
      </c>
      <c r="BC38" s="10">
        <f t="shared" si="5"/>
        <v>83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390</v>
      </c>
      <c r="E39" s="61">
        <v>1</v>
      </c>
      <c r="F39" s="62">
        <f t="shared" si="9"/>
        <v>1</v>
      </c>
      <c r="G39" s="62">
        <f t="shared" si="9"/>
        <v>1</v>
      </c>
      <c r="H39" s="62">
        <f t="shared" si="9"/>
        <v>1</v>
      </c>
      <c r="I39" s="62">
        <f t="shared" si="9"/>
        <v>1</v>
      </c>
      <c r="J39" s="62">
        <f t="shared" si="9"/>
        <v>1</v>
      </c>
      <c r="K39" s="62">
        <f t="shared" si="9"/>
        <v>1</v>
      </c>
      <c r="L39" s="63">
        <f t="shared" si="9"/>
        <v>1</v>
      </c>
      <c r="M39" s="135"/>
      <c r="N39" s="136"/>
      <c r="O39" s="136"/>
      <c r="P39" s="136"/>
      <c r="Q39" s="136"/>
      <c r="R39" s="136"/>
      <c r="S39" s="136"/>
      <c r="T39" s="137"/>
      <c r="U39" s="61">
        <v>1</v>
      </c>
      <c r="V39" s="62">
        <f t="shared" si="7"/>
        <v>1</v>
      </c>
      <c r="W39" s="62">
        <f t="shared" si="7"/>
        <v>1</v>
      </c>
      <c r="X39" s="62">
        <f t="shared" si="7"/>
        <v>1</v>
      </c>
      <c r="Y39" s="62">
        <f t="shared" si="7"/>
        <v>1</v>
      </c>
      <c r="Z39" s="62">
        <f t="shared" si="7"/>
        <v>1</v>
      </c>
      <c r="AA39" s="62">
        <f t="shared" si="7"/>
        <v>1</v>
      </c>
      <c r="AB39" s="63">
        <f t="shared" si="7"/>
        <v>1</v>
      </c>
      <c r="AC39" s="61" t="s">
        <v>124</v>
      </c>
      <c r="AD39" s="62" t="str">
        <f t="shared" si="8"/>
        <v>a</v>
      </c>
      <c r="AE39" s="62" t="str">
        <f t="shared" si="8"/>
        <v>a</v>
      </c>
      <c r="AF39" s="62" t="str">
        <f t="shared" si="8"/>
        <v>a</v>
      </c>
      <c r="AG39" s="62" t="str">
        <f t="shared" si="8"/>
        <v>a</v>
      </c>
      <c r="AH39" s="62" t="str">
        <f t="shared" si="8"/>
        <v>a</v>
      </c>
      <c r="AI39" s="62" t="str">
        <f t="shared" si="8"/>
        <v>a</v>
      </c>
      <c r="AJ39" s="63" t="str">
        <f t="shared" si="8"/>
        <v>a</v>
      </c>
      <c r="AK39" s="135"/>
      <c r="AL39" s="136"/>
      <c r="AM39" s="136"/>
      <c r="AN39" s="136"/>
      <c r="AO39" s="136"/>
      <c r="AP39" s="136"/>
      <c r="AQ39" s="136"/>
      <c r="AR39" s="137"/>
      <c r="AS39" s="282"/>
      <c r="AT39" s="283"/>
      <c r="AU39" s="283"/>
      <c r="AV39" s="283"/>
      <c r="AW39" s="283"/>
      <c r="AX39" s="283"/>
      <c r="AY39" s="283"/>
      <c r="AZ39" s="284"/>
      <c r="BA39" s="37">
        <f t="shared" ref="BA39:BA73" si="10">SUM(E39:AZ39)</f>
        <v>16</v>
      </c>
      <c r="BB39" s="9">
        <f t="shared" si="4"/>
        <v>406</v>
      </c>
      <c r="BC39" s="10">
        <f t="shared" si="5"/>
        <v>85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368</v>
      </c>
      <c r="E40" s="61" t="s">
        <v>124</v>
      </c>
      <c r="F40" s="62" t="str">
        <f t="shared" si="9"/>
        <v>a</v>
      </c>
      <c r="G40" s="62" t="str">
        <f t="shared" si="9"/>
        <v>a</v>
      </c>
      <c r="H40" s="62" t="str">
        <f t="shared" si="9"/>
        <v>a</v>
      </c>
      <c r="I40" s="62" t="str">
        <f t="shared" si="9"/>
        <v>a</v>
      </c>
      <c r="J40" s="62" t="str">
        <f t="shared" si="9"/>
        <v>a</v>
      </c>
      <c r="K40" s="62" t="str">
        <f t="shared" si="9"/>
        <v>a</v>
      </c>
      <c r="L40" s="63" t="str">
        <f t="shared" si="9"/>
        <v>a</v>
      </c>
      <c r="M40" s="135"/>
      <c r="N40" s="136"/>
      <c r="O40" s="136"/>
      <c r="P40" s="136"/>
      <c r="Q40" s="136"/>
      <c r="R40" s="136"/>
      <c r="S40" s="136"/>
      <c r="T40" s="137"/>
      <c r="U40" s="61">
        <v>1</v>
      </c>
      <c r="V40" s="62">
        <f t="shared" si="7"/>
        <v>1</v>
      </c>
      <c r="W40" s="62">
        <f t="shared" si="7"/>
        <v>1</v>
      </c>
      <c r="X40" s="62">
        <f t="shared" si="7"/>
        <v>1</v>
      </c>
      <c r="Y40" s="62">
        <f t="shared" si="7"/>
        <v>1</v>
      </c>
      <c r="Z40" s="62">
        <f t="shared" si="7"/>
        <v>1</v>
      </c>
      <c r="AA40" s="62">
        <f t="shared" si="7"/>
        <v>1</v>
      </c>
      <c r="AB40" s="63">
        <f t="shared" si="7"/>
        <v>1</v>
      </c>
      <c r="AC40" s="61">
        <v>1</v>
      </c>
      <c r="AD40" s="62">
        <f t="shared" si="8"/>
        <v>1</v>
      </c>
      <c r="AE40" s="62">
        <f t="shared" si="8"/>
        <v>1</v>
      </c>
      <c r="AF40" s="62">
        <f t="shared" si="8"/>
        <v>1</v>
      </c>
      <c r="AG40" s="62">
        <f t="shared" si="8"/>
        <v>1</v>
      </c>
      <c r="AH40" s="62">
        <f t="shared" si="8"/>
        <v>1</v>
      </c>
      <c r="AI40" s="62">
        <f t="shared" si="8"/>
        <v>1</v>
      </c>
      <c r="AJ40" s="63">
        <f t="shared" si="8"/>
        <v>1</v>
      </c>
      <c r="AK40" s="135"/>
      <c r="AL40" s="136"/>
      <c r="AM40" s="136"/>
      <c r="AN40" s="136"/>
      <c r="AO40" s="136"/>
      <c r="AP40" s="136"/>
      <c r="AQ40" s="136"/>
      <c r="AR40" s="137"/>
      <c r="AS40" s="282"/>
      <c r="AT40" s="283"/>
      <c r="AU40" s="283"/>
      <c r="AV40" s="283"/>
      <c r="AW40" s="283"/>
      <c r="AX40" s="283"/>
      <c r="AY40" s="283"/>
      <c r="AZ40" s="284"/>
      <c r="BA40" s="37">
        <f t="shared" si="10"/>
        <v>16</v>
      </c>
      <c r="BB40" s="9">
        <f t="shared" si="4"/>
        <v>384</v>
      </c>
      <c r="BC40" s="10">
        <f t="shared" si="5"/>
        <v>80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394</v>
      </c>
      <c r="E41" s="61">
        <v>1</v>
      </c>
      <c r="F41" s="62">
        <f t="shared" si="9"/>
        <v>1</v>
      </c>
      <c r="G41" s="62">
        <f t="shared" si="9"/>
        <v>1</v>
      </c>
      <c r="H41" s="62">
        <f t="shared" si="9"/>
        <v>1</v>
      </c>
      <c r="I41" s="62">
        <f t="shared" si="9"/>
        <v>1</v>
      </c>
      <c r="J41" s="62">
        <f t="shared" si="9"/>
        <v>1</v>
      </c>
      <c r="K41" s="62">
        <f t="shared" si="9"/>
        <v>1</v>
      </c>
      <c r="L41" s="63">
        <f t="shared" si="9"/>
        <v>1</v>
      </c>
      <c r="M41" s="135"/>
      <c r="N41" s="136"/>
      <c r="O41" s="136"/>
      <c r="P41" s="136"/>
      <c r="Q41" s="136"/>
      <c r="R41" s="136"/>
      <c r="S41" s="136"/>
      <c r="T41" s="137"/>
      <c r="U41" s="61">
        <v>1</v>
      </c>
      <c r="V41" s="62">
        <f t="shared" si="7"/>
        <v>1</v>
      </c>
      <c r="W41" s="62">
        <f t="shared" si="7"/>
        <v>1</v>
      </c>
      <c r="X41" s="62">
        <f t="shared" si="7"/>
        <v>1</v>
      </c>
      <c r="Y41" s="62">
        <f t="shared" si="7"/>
        <v>1</v>
      </c>
      <c r="Z41" s="62">
        <f t="shared" si="7"/>
        <v>1</v>
      </c>
      <c r="AA41" s="62">
        <f t="shared" si="7"/>
        <v>1</v>
      </c>
      <c r="AB41" s="63">
        <f t="shared" si="7"/>
        <v>1</v>
      </c>
      <c r="AC41" s="61">
        <v>1</v>
      </c>
      <c r="AD41" s="62">
        <f t="shared" si="8"/>
        <v>1</v>
      </c>
      <c r="AE41" s="62">
        <f t="shared" si="8"/>
        <v>1</v>
      </c>
      <c r="AF41" s="62">
        <f t="shared" si="8"/>
        <v>1</v>
      </c>
      <c r="AG41" s="62">
        <f t="shared" si="8"/>
        <v>1</v>
      </c>
      <c r="AH41" s="62">
        <f t="shared" si="8"/>
        <v>1</v>
      </c>
      <c r="AI41" s="62">
        <f t="shared" si="8"/>
        <v>1</v>
      </c>
      <c r="AJ41" s="63">
        <f t="shared" si="8"/>
        <v>1</v>
      </c>
      <c r="AK41" s="135"/>
      <c r="AL41" s="136"/>
      <c r="AM41" s="136"/>
      <c r="AN41" s="136"/>
      <c r="AO41" s="136"/>
      <c r="AP41" s="136"/>
      <c r="AQ41" s="136"/>
      <c r="AR41" s="137"/>
      <c r="AS41" s="282"/>
      <c r="AT41" s="283"/>
      <c r="AU41" s="283"/>
      <c r="AV41" s="283"/>
      <c r="AW41" s="283"/>
      <c r="AX41" s="283"/>
      <c r="AY41" s="283"/>
      <c r="AZ41" s="284"/>
      <c r="BA41" s="37">
        <f t="shared" si="10"/>
        <v>24</v>
      </c>
      <c r="BB41" s="9">
        <f t="shared" si="4"/>
        <v>418</v>
      </c>
      <c r="BC41" s="10">
        <f t="shared" si="5"/>
        <v>87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405</v>
      </c>
      <c r="E42" s="61">
        <v>1</v>
      </c>
      <c r="F42" s="62">
        <f t="shared" si="9"/>
        <v>1</v>
      </c>
      <c r="G42" s="62">
        <f t="shared" si="9"/>
        <v>1</v>
      </c>
      <c r="H42" s="62">
        <f t="shared" si="9"/>
        <v>1</v>
      </c>
      <c r="I42" s="62">
        <f t="shared" si="9"/>
        <v>1</v>
      </c>
      <c r="J42" s="62">
        <f t="shared" si="9"/>
        <v>1</v>
      </c>
      <c r="K42" s="62">
        <f t="shared" si="9"/>
        <v>1</v>
      </c>
      <c r="L42" s="63">
        <f t="shared" si="9"/>
        <v>1</v>
      </c>
      <c r="M42" s="138"/>
      <c r="N42" s="139"/>
      <c r="O42" s="139"/>
      <c r="P42" s="139"/>
      <c r="Q42" s="139"/>
      <c r="R42" s="139"/>
      <c r="S42" s="139"/>
      <c r="T42" s="140"/>
      <c r="U42" s="61">
        <v>1</v>
      </c>
      <c r="V42" s="62">
        <f t="shared" ref="V42:AB57" si="11">U42</f>
        <v>1</v>
      </c>
      <c r="W42" s="62">
        <f t="shared" si="11"/>
        <v>1</v>
      </c>
      <c r="X42" s="62">
        <f t="shared" si="11"/>
        <v>1</v>
      </c>
      <c r="Y42" s="62">
        <f t="shared" si="11"/>
        <v>1</v>
      </c>
      <c r="Z42" s="62">
        <f t="shared" si="11"/>
        <v>1</v>
      </c>
      <c r="AA42" s="62">
        <f t="shared" si="11"/>
        <v>1</v>
      </c>
      <c r="AB42" s="63">
        <f t="shared" si="11"/>
        <v>1</v>
      </c>
      <c r="AC42" s="61">
        <v>1</v>
      </c>
      <c r="AD42" s="62">
        <f t="shared" ref="AD42:AJ57" si="12">AC42</f>
        <v>1</v>
      </c>
      <c r="AE42" s="62">
        <f t="shared" si="12"/>
        <v>1</v>
      </c>
      <c r="AF42" s="62">
        <f t="shared" si="12"/>
        <v>1</v>
      </c>
      <c r="AG42" s="62">
        <f t="shared" si="12"/>
        <v>1</v>
      </c>
      <c r="AH42" s="62">
        <f t="shared" si="12"/>
        <v>1</v>
      </c>
      <c r="AI42" s="62">
        <f t="shared" si="12"/>
        <v>1</v>
      </c>
      <c r="AJ42" s="63">
        <f t="shared" si="12"/>
        <v>1</v>
      </c>
      <c r="AK42" s="138"/>
      <c r="AL42" s="139"/>
      <c r="AM42" s="139"/>
      <c r="AN42" s="139"/>
      <c r="AO42" s="139"/>
      <c r="AP42" s="139"/>
      <c r="AQ42" s="139"/>
      <c r="AR42" s="140"/>
      <c r="AS42" s="285"/>
      <c r="AT42" s="286"/>
      <c r="AU42" s="286"/>
      <c r="AV42" s="286"/>
      <c r="AW42" s="286"/>
      <c r="AX42" s="286"/>
      <c r="AY42" s="286"/>
      <c r="AZ42" s="287"/>
      <c r="BA42" s="37">
        <f t="shared" si="10"/>
        <v>24</v>
      </c>
      <c r="BB42" s="9">
        <f t="shared" si="4"/>
        <v>429</v>
      </c>
      <c r="BC42" s="10">
        <f t="shared" si="5"/>
        <v>90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381</v>
      </c>
      <c r="E43" s="61">
        <v>1</v>
      </c>
      <c r="F43" s="62">
        <f t="shared" si="9"/>
        <v>1</v>
      </c>
      <c r="G43" s="62">
        <f t="shared" si="9"/>
        <v>1</v>
      </c>
      <c r="H43" s="62">
        <f t="shared" si="9"/>
        <v>1</v>
      </c>
      <c r="I43" s="62">
        <f t="shared" si="9"/>
        <v>1</v>
      </c>
      <c r="J43" s="62">
        <f t="shared" si="9"/>
        <v>1</v>
      </c>
      <c r="K43" s="62">
        <f t="shared" si="9"/>
        <v>1</v>
      </c>
      <c r="L43" s="63">
        <f t="shared" si="9"/>
        <v>1</v>
      </c>
      <c r="M43" s="141" t="s">
        <v>246</v>
      </c>
      <c r="N43" s="280"/>
      <c r="O43" s="280"/>
      <c r="P43" s="280"/>
      <c r="Q43" s="280"/>
      <c r="R43" s="280"/>
      <c r="S43" s="280"/>
      <c r="T43" s="281"/>
      <c r="U43" s="61">
        <v>1</v>
      </c>
      <c r="V43" s="62">
        <f t="shared" si="11"/>
        <v>1</v>
      </c>
      <c r="W43" s="62">
        <f t="shared" si="11"/>
        <v>1</v>
      </c>
      <c r="X43" s="62">
        <f t="shared" si="11"/>
        <v>1</v>
      </c>
      <c r="Y43" s="62">
        <f t="shared" si="11"/>
        <v>1</v>
      </c>
      <c r="Z43" s="62">
        <f t="shared" si="11"/>
        <v>1</v>
      </c>
      <c r="AA43" s="62">
        <f t="shared" si="11"/>
        <v>1</v>
      </c>
      <c r="AB43" s="63">
        <f t="shared" si="11"/>
        <v>1</v>
      </c>
      <c r="AC43" s="61" t="s">
        <v>124</v>
      </c>
      <c r="AD43" s="62" t="str">
        <f t="shared" si="12"/>
        <v>a</v>
      </c>
      <c r="AE43" s="62" t="str">
        <f t="shared" si="12"/>
        <v>a</v>
      </c>
      <c r="AF43" s="62" t="str">
        <f t="shared" si="12"/>
        <v>a</v>
      </c>
      <c r="AG43" s="62" t="str">
        <f t="shared" si="12"/>
        <v>a</v>
      </c>
      <c r="AH43" s="62" t="str">
        <f t="shared" si="12"/>
        <v>a</v>
      </c>
      <c r="AI43" s="62" t="str">
        <f t="shared" si="12"/>
        <v>a</v>
      </c>
      <c r="AJ43" s="63" t="str">
        <f t="shared" si="12"/>
        <v>a</v>
      </c>
      <c r="AK43" s="141" t="s">
        <v>247</v>
      </c>
      <c r="AL43" s="142"/>
      <c r="AM43" s="142"/>
      <c r="AN43" s="142"/>
      <c r="AO43" s="142"/>
      <c r="AP43" s="142"/>
      <c r="AQ43" s="142"/>
      <c r="AR43" s="143"/>
      <c r="AS43" s="141" t="s">
        <v>249</v>
      </c>
      <c r="AT43" s="280"/>
      <c r="AU43" s="280"/>
      <c r="AV43" s="280"/>
      <c r="AW43" s="280"/>
      <c r="AX43" s="280"/>
      <c r="AY43" s="280"/>
      <c r="AZ43" s="281"/>
      <c r="BA43" s="37">
        <f t="shared" si="10"/>
        <v>16</v>
      </c>
      <c r="BB43" s="9">
        <f t="shared" si="4"/>
        <v>397</v>
      </c>
      <c r="BC43" s="10">
        <f t="shared" si="5"/>
        <v>83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376</v>
      </c>
      <c r="E44" s="61">
        <v>1</v>
      </c>
      <c r="F44" s="62">
        <f t="shared" ref="F44:L59" si="13">E44</f>
        <v>1</v>
      </c>
      <c r="G44" s="62">
        <f t="shared" si="13"/>
        <v>1</v>
      </c>
      <c r="H44" s="62">
        <f t="shared" si="13"/>
        <v>1</v>
      </c>
      <c r="I44" s="62">
        <f t="shared" si="13"/>
        <v>1</v>
      </c>
      <c r="J44" s="62">
        <f t="shared" si="13"/>
        <v>1</v>
      </c>
      <c r="K44" s="62">
        <f t="shared" si="13"/>
        <v>1</v>
      </c>
      <c r="L44" s="63">
        <f t="shared" si="13"/>
        <v>1</v>
      </c>
      <c r="M44" s="282"/>
      <c r="N44" s="283"/>
      <c r="O44" s="283"/>
      <c r="P44" s="283"/>
      <c r="Q44" s="283"/>
      <c r="R44" s="283"/>
      <c r="S44" s="283"/>
      <c r="T44" s="284"/>
      <c r="U44" s="61">
        <v>1</v>
      </c>
      <c r="V44" s="62">
        <f t="shared" si="11"/>
        <v>1</v>
      </c>
      <c r="W44" s="62">
        <f t="shared" si="11"/>
        <v>1</v>
      </c>
      <c r="X44" s="62">
        <f t="shared" si="11"/>
        <v>1</v>
      </c>
      <c r="Y44" s="62">
        <f t="shared" si="11"/>
        <v>1</v>
      </c>
      <c r="Z44" s="62">
        <f t="shared" si="11"/>
        <v>1</v>
      </c>
      <c r="AA44" s="62">
        <f t="shared" si="11"/>
        <v>1</v>
      </c>
      <c r="AB44" s="63">
        <f t="shared" si="11"/>
        <v>1</v>
      </c>
      <c r="AC44" s="61">
        <v>1</v>
      </c>
      <c r="AD44" s="62">
        <f t="shared" si="12"/>
        <v>1</v>
      </c>
      <c r="AE44" s="62">
        <f t="shared" si="12"/>
        <v>1</v>
      </c>
      <c r="AF44" s="62">
        <f t="shared" si="12"/>
        <v>1</v>
      </c>
      <c r="AG44" s="62">
        <f t="shared" si="12"/>
        <v>1</v>
      </c>
      <c r="AH44" s="62">
        <f t="shared" si="12"/>
        <v>1</v>
      </c>
      <c r="AI44" s="62">
        <f t="shared" si="12"/>
        <v>1</v>
      </c>
      <c r="AJ44" s="63">
        <f t="shared" si="12"/>
        <v>1</v>
      </c>
      <c r="AK44" s="135"/>
      <c r="AL44" s="136"/>
      <c r="AM44" s="136"/>
      <c r="AN44" s="136"/>
      <c r="AO44" s="136"/>
      <c r="AP44" s="136"/>
      <c r="AQ44" s="136"/>
      <c r="AR44" s="137"/>
      <c r="AS44" s="282"/>
      <c r="AT44" s="283"/>
      <c r="AU44" s="283"/>
      <c r="AV44" s="283"/>
      <c r="AW44" s="283"/>
      <c r="AX44" s="283"/>
      <c r="AY44" s="283"/>
      <c r="AZ44" s="284"/>
      <c r="BA44" s="37">
        <f t="shared" si="10"/>
        <v>24</v>
      </c>
      <c r="BB44" s="9">
        <f t="shared" si="4"/>
        <v>400</v>
      </c>
      <c r="BC44" s="10">
        <f t="shared" si="5"/>
        <v>84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414</v>
      </c>
      <c r="E45" s="61">
        <v>1</v>
      </c>
      <c r="F45" s="62">
        <f t="shared" si="13"/>
        <v>1</v>
      </c>
      <c r="G45" s="62">
        <f t="shared" si="13"/>
        <v>1</v>
      </c>
      <c r="H45" s="62">
        <f t="shared" si="13"/>
        <v>1</v>
      </c>
      <c r="I45" s="62">
        <f t="shared" si="13"/>
        <v>1</v>
      </c>
      <c r="J45" s="62">
        <f t="shared" si="13"/>
        <v>1</v>
      </c>
      <c r="K45" s="62">
        <f t="shared" si="13"/>
        <v>1</v>
      </c>
      <c r="L45" s="63">
        <f t="shared" si="13"/>
        <v>1</v>
      </c>
      <c r="M45" s="282"/>
      <c r="N45" s="283"/>
      <c r="O45" s="283"/>
      <c r="P45" s="283"/>
      <c r="Q45" s="283"/>
      <c r="R45" s="283"/>
      <c r="S45" s="283"/>
      <c r="T45" s="284"/>
      <c r="U45" s="61">
        <v>1</v>
      </c>
      <c r="V45" s="62">
        <f t="shared" si="11"/>
        <v>1</v>
      </c>
      <c r="W45" s="62">
        <f t="shared" si="11"/>
        <v>1</v>
      </c>
      <c r="X45" s="62">
        <f t="shared" si="11"/>
        <v>1</v>
      </c>
      <c r="Y45" s="62">
        <f t="shared" si="11"/>
        <v>1</v>
      </c>
      <c r="Z45" s="62">
        <f t="shared" si="11"/>
        <v>1</v>
      </c>
      <c r="AA45" s="62">
        <f t="shared" si="11"/>
        <v>1</v>
      </c>
      <c r="AB45" s="63">
        <f t="shared" si="11"/>
        <v>1</v>
      </c>
      <c r="AC45" s="61" t="s">
        <v>124</v>
      </c>
      <c r="AD45" s="62" t="str">
        <f t="shared" si="12"/>
        <v>a</v>
      </c>
      <c r="AE45" s="62" t="str">
        <f t="shared" si="12"/>
        <v>a</v>
      </c>
      <c r="AF45" s="62" t="str">
        <f t="shared" si="12"/>
        <v>a</v>
      </c>
      <c r="AG45" s="62" t="str">
        <f t="shared" si="12"/>
        <v>a</v>
      </c>
      <c r="AH45" s="62" t="str">
        <f t="shared" si="12"/>
        <v>a</v>
      </c>
      <c r="AI45" s="62" t="str">
        <f t="shared" si="12"/>
        <v>a</v>
      </c>
      <c r="AJ45" s="63" t="str">
        <f t="shared" si="12"/>
        <v>a</v>
      </c>
      <c r="AK45" s="135"/>
      <c r="AL45" s="136"/>
      <c r="AM45" s="136"/>
      <c r="AN45" s="136"/>
      <c r="AO45" s="136"/>
      <c r="AP45" s="136"/>
      <c r="AQ45" s="136"/>
      <c r="AR45" s="137"/>
      <c r="AS45" s="282"/>
      <c r="AT45" s="283"/>
      <c r="AU45" s="283"/>
      <c r="AV45" s="283"/>
      <c r="AW45" s="283"/>
      <c r="AX45" s="283"/>
      <c r="AY45" s="283"/>
      <c r="AZ45" s="284"/>
      <c r="BA45" s="37">
        <f t="shared" si="10"/>
        <v>16</v>
      </c>
      <c r="BB45" s="9">
        <f t="shared" si="4"/>
        <v>430</v>
      </c>
      <c r="BC45" s="10">
        <f t="shared" si="5"/>
        <v>90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416</v>
      </c>
      <c r="E46" s="61">
        <v>1</v>
      </c>
      <c r="F46" s="62">
        <f t="shared" si="13"/>
        <v>1</v>
      </c>
      <c r="G46" s="62">
        <f t="shared" si="13"/>
        <v>1</v>
      </c>
      <c r="H46" s="62">
        <f t="shared" si="13"/>
        <v>1</v>
      </c>
      <c r="I46" s="62">
        <f t="shared" si="13"/>
        <v>1</v>
      </c>
      <c r="J46" s="62">
        <f t="shared" si="13"/>
        <v>1</v>
      </c>
      <c r="K46" s="62">
        <f t="shared" si="13"/>
        <v>1</v>
      </c>
      <c r="L46" s="63">
        <f t="shared" si="13"/>
        <v>1</v>
      </c>
      <c r="M46" s="282"/>
      <c r="N46" s="283"/>
      <c r="O46" s="283"/>
      <c r="P46" s="283"/>
      <c r="Q46" s="283"/>
      <c r="R46" s="283"/>
      <c r="S46" s="283"/>
      <c r="T46" s="284"/>
      <c r="U46" s="61">
        <v>1</v>
      </c>
      <c r="V46" s="62">
        <f t="shared" si="11"/>
        <v>1</v>
      </c>
      <c r="W46" s="62">
        <f t="shared" si="11"/>
        <v>1</v>
      </c>
      <c r="X46" s="62">
        <f t="shared" si="11"/>
        <v>1</v>
      </c>
      <c r="Y46" s="62">
        <f t="shared" si="11"/>
        <v>1</v>
      </c>
      <c r="Z46" s="62">
        <f t="shared" si="11"/>
        <v>1</v>
      </c>
      <c r="AA46" s="62">
        <f t="shared" si="11"/>
        <v>1</v>
      </c>
      <c r="AB46" s="63">
        <f t="shared" si="11"/>
        <v>1</v>
      </c>
      <c r="AC46" s="61">
        <v>1</v>
      </c>
      <c r="AD46" s="62">
        <f t="shared" si="12"/>
        <v>1</v>
      </c>
      <c r="AE46" s="62">
        <f t="shared" si="12"/>
        <v>1</v>
      </c>
      <c r="AF46" s="62">
        <f t="shared" si="12"/>
        <v>1</v>
      </c>
      <c r="AG46" s="62">
        <f t="shared" si="12"/>
        <v>1</v>
      </c>
      <c r="AH46" s="62">
        <f t="shared" si="12"/>
        <v>1</v>
      </c>
      <c r="AI46" s="62">
        <f t="shared" si="12"/>
        <v>1</v>
      </c>
      <c r="AJ46" s="63">
        <f t="shared" si="12"/>
        <v>1</v>
      </c>
      <c r="AK46" s="135"/>
      <c r="AL46" s="136"/>
      <c r="AM46" s="136"/>
      <c r="AN46" s="136"/>
      <c r="AO46" s="136"/>
      <c r="AP46" s="136"/>
      <c r="AQ46" s="136"/>
      <c r="AR46" s="137"/>
      <c r="AS46" s="282"/>
      <c r="AT46" s="283"/>
      <c r="AU46" s="283"/>
      <c r="AV46" s="283"/>
      <c r="AW46" s="283"/>
      <c r="AX46" s="283"/>
      <c r="AY46" s="283"/>
      <c r="AZ46" s="284"/>
      <c r="BA46" s="37">
        <f t="shared" si="10"/>
        <v>24</v>
      </c>
      <c r="BB46" s="9">
        <f t="shared" si="4"/>
        <v>440</v>
      </c>
      <c r="BC46" s="10">
        <f t="shared" si="5"/>
        <v>92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408</v>
      </c>
      <c r="E47" s="61">
        <v>1</v>
      </c>
      <c r="F47" s="62">
        <f t="shared" si="13"/>
        <v>1</v>
      </c>
      <c r="G47" s="62">
        <f t="shared" si="13"/>
        <v>1</v>
      </c>
      <c r="H47" s="62">
        <f t="shared" si="13"/>
        <v>1</v>
      </c>
      <c r="I47" s="62">
        <f t="shared" si="13"/>
        <v>1</v>
      </c>
      <c r="J47" s="62">
        <f t="shared" si="13"/>
        <v>1</v>
      </c>
      <c r="K47" s="62">
        <f t="shared" si="13"/>
        <v>1</v>
      </c>
      <c r="L47" s="63">
        <f t="shared" si="13"/>
        <v>1</v>
      </c>
      <c r="M47" s="282"/>
      <c r="N47" s="283"/>
      <c r="O47" s="283"/>
      <c r="P47" s="283"/>
      <c r="Q47" s="283"/>
      <c r="R47" s="283"/>
      <c r="S47" s="283"/>
      <c r="T47" s="284"/>
      <c r="U47" s="61" t="s">
        <v>124</v>
      </c>
      <c r="V47" s="62" t="str">
        <f t="shared" si="11"/>
        <v>a</v>
      </c>
      <c r="W47" s="62" t="str">
        <f t="shared" si="11"/>
        <v>a</v>
      </c>
      <c r="X47" s="62" t="str">
        <f t="shared" si="11"/>
        <v>a</v>
      </c>
      <c r="Y47" s="62" t="str">
        <f t="shared" si="11"/>
        <v>a</v>
      </c>
      <c r="Z47" s="62" t="str">
        <f t="shared" si="11"/>
        <v>a</v>
      </c>
      <c r="AA47" s="62" t="str">
        <f t="shared" si="11"/>
        <v>a</v>
      </c>
      <c r="AB47" s="63" t="str">
        <f t="shared" si="11"/>
        <v>a</v>
      </c>
      <c r="AC47" s="61">
        <v>1</v>
      </c>
      <c r="AD47" s="62">
        <f t="shared" si="12"/>
        <v>1</v>
      </c>
      <c r="AE47" s="62">
        <f t="shared" si="12"/>
        <v>1</v>
      </c>
      <c r="AF47" s="62">
        <f t="shared" si="12"/>
        <v>1</v>
      </c>
      <c r="AG47" s="62">
        <f t="shared" si="12"/>
        <v>1</v>
      </c>
      <c r="AH47" s="62">
        <f t="shared" si="12"/>
        <v>1</v>
      </c>
      <c r="AI47" s="62">
        <f t="shared" si="12"/>
        <v>1</v>
      </c>
      <c r="AJ47" s="63">
        <f t="shared" si="12"/>
        <v>1</v>
      </c>
      <c r="AK47" s="135"/>
      <c r="AL47" s="136"/>
      <c r="AM47" s="136"/>
      <c r="AN47" s="136"/>
      <c r="AO47" s="136"/>
      <c r="AP47" s="136"/>
      <c r="AQ47" s="136"/>
      <c r="AR47" s="137"/>
      <c r="AS47" s="282"/>
      <c r="AT47" s="283"/>
      <c r="AU47" s="283"/>
      <c r="AV47" s="283"/>
      <c r="AW47" s="283"/>
      <c r="AX47" s="283"/>
      <c r="AY47" s="283"/>
      <c r="AZ47" s="284"/>
      <c r="BA47" s="37">
        <f t="shared" si="10"/>
        <v>16</v>
      </c>
      <c r="BB47" s="9">
        <f t="shared" si="4"/>
        <v>424</v>
      </c>
      <c r="BC47" s="10">
        <f t="shared" si="5"/>
        <v>89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378</v>
      </c>
      <c r="E48" s="61">
        <v>1</v>
      </c>
      <c r="F48" s="62">
        <f t="shared" si="13"/>
        <v>1</v>
      </c>
      <c r="G48" s="62">
        <f t="shared" si="13"/>
        <v>1</v>
      </c>
      <c r="H48" s="62">
        <f t="shared" si="13"/>
        <v>1</v>
      </c>
      <c r="I48" s="62">
        <f t="shared" si="13"/>
        <v>1</v>
      </c>
      <c r="J48" s="62">
        <f t="shared" si="13"/>
        <v>1</v>
      </c>
      <c r="K48" s="62">
        <f t="shared" si="13"/>
        <v>1</v>
      </c>
      <c r="L48" s="63">
        <f t="shared" si="13"/>
        <v>1</v>
      </c>
      <c r="M48" s="282"/>
      <c r="N48" s="283"/>
      <c r="O48" s="283"/>
      <c r="P48" s="283"/>
      <c r="Q48" s="283"/>
      <c r="R48" s="283"/>
      <c r="S48" s="283"/>
      <c r="T48" s="284"/>
      <c r="U48" s="61">
        <v>1</v>
      </c>
      <c r="V48" s="62">
        <f t="shared" si="11"/>
        <v>1</v>
      </c>
      <c r="W48" s="62">
        <f t="shared" si="11"/>
        <v>1</v>
      </c>
      <c r="X48" s="62">
        <f t="shared" si="11"/>
        <v>1</v>
      </c>
      <c r="Y48" s="62">
        <f t="shared" si="11"/>
        <v>1</v>
      </c>
      <c r="Z48" s="62">
        <f t="shared" si="11"/>
        <v>1</v>
      </c>
      <c r="AA48" s="62">
        <f t="shared" si="11"/>
        <v>1</v>
      </c>
      <c r="AB48" s="63">
        <f t="shared" si="11"/>
        <v>1</v>
      </c>
      <c r="AC48" s="61">
        <v>1</v>
      </c>
      <c r="AD48" s="62">
        <f t="shared" si="12"/>
        <v>1</v>
      </c>
      <c r="AE48" s="62">
        <f t="shared" si="12"/>
        <v>1</v>
      </c>
      <c r="AF48" s="62">
        <f t="shared" si="12"/>
        <v>1</v>
      </c>
      <c r="AG48" s="62">
        <f t="shared" si="12"/>
        <v>1</v>
      </c>
      <c r="AH48" s="62">
        <f t="shared" si="12"/>
        <v>1</v>
      </c>
      <c r="AI48" s="62">
        <f t="shared" si="12"/>
        <v>1</v>
      </c>
      <c r="AJ48" s="63">
        <f t="shared" si="12"/>
        <v>1</v>
      </c>
      <c r="AK48" s="135"/>
      <c r="AL48" s="136"/>
      <c r="AM48" s="136"/>
      <c r="AN48" s="136"/>
      <c r="AO48" s="136"/>
      <c r="AP48" s="136"/>
      <c r="AQ48" s="136"/>
      <c r="AR48" s="137"/>
      <c r="AS48" s="282"/>
      <c r="AT48" s="283"/>
      <c r="AU48" s="283"/>
      <c r="AV48" s="283"/>
      <c r="AW48" s="283"/>
      <c r="AX48" s="283"/>
      <c r="AY48" s="283"/>
      <c r="AZ48" s="284"/>
      <c r="BA48" s="37">
        <f t="shared" si="10"/>
        <v>24</v>
      </c>
      <c r="BB48" s="9">
        <f t="shared" si="4"/>
        <v>402</v>
      </c>
      <c r="BC48" s="10">
        <f t="shared" si="5"/>
        <v>84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438</v>
      </c>
      <c r="E49" s="61">
        <v>1</v>
      </c>
      <c r="F49" s="62">
        <f t="shared" si="13"/>
        <v>1</v>
      </c>
      <c r="G49" s="62">
        <f t="shared" si="13"/>
        <v>1</v>
      </c>
      <c r="H49" s="62">
        <f t="shared" si="13"/>
        <v>1</v>
      </c>
      <c r="I49" s="62">
        <f t="shared" si="13"/>
        <v>1</v>
      </c>
      <c r="J49" s="62">
        <f t="shared" si="13"/>
        <v>1</v>
      </c>
      <c r="K49" s="62">
        <f t="shared" si="13"/>
        <v>1</v>
      </c>
      <c r="L49" s="63">
        <f t="shared" si="13"/>
        <v>1</v>
      </c>
      <c r="M49" s="282"/>
      <c r="N49" s="283"/>
      <c r="O49" s="283"/>
      <c r="P49" s="283"/>
      <c r="Q49" s="283"/>
      <c r="R49" s="283"/>
      <c r="S49" s="283"/>
      <c r="T49" s="284"/>
      <c r="U49" s="61">
        <v>1</v>
      </c>
      <c r="V49" s="62">
        <f t="shared" si="11"/>
        <v>1</v>
      </c>
      <c r="W49" s="62">
        <f t="shared" si="11"/>
        <v>1</v>
      </c>
      <c r="X49" s="62">
        <f t="shared" si="11"/>
        <v>1</v>
      </c>
      <c r="Y49" s="62">
        <f t="shared" si="11"/>
        <v>1</v>
      </c>
      <c r="Z49" s="62">
        <f t="shared" si="11"/>
        <v>1</v>
      </c>
      <c r="AA49" s="62">
        <f t="shared" si="11"/>
        <v>1</v>
      </c>
      <c r="AB49" s="63">
        <f t="shared" si="11"/>
        <v>1</v>
      </c>
      <c r="AC49" s="61">
        <v>1</v>
      </c>
      <c r="AD49" s="62">
        <f t="shared" si="12"/>
        <v>1</v>
      </c>
      <c r="AE49" s="62">
        <f t="shared" si="12"/>
        <v>1</v>
      </c>
      <c r="AF49" s="62">
        <f t="shared" si="12"/>
        <v>1</v>
      </c>
      <c r="AG49" s="62">
        <f t="shared" si="12"/>
        <v>1</v>
      </c>
      <c r="AH49" s="62">
        <f t="shared" si="12"/>
        <v>1</v>
      </c>
      <c r="AI49" s="62">
        <f t="shared" si="12"/>
        <v>1</v>
      </c>
      <c r="AJ49" s="63">
        <f t="shared" si="12"/>
        <v>1</v>
      </c>
      <c r="AK49" s="135"/>
      <c r="AL49" s="136"/>
      <c r="AM49" s="136"/>
      <c r="AN49" s="136"/>
      <c r="AO49" s="136"/>
      <c r="AP49" s="136"/>
      <c r="AQ49" s="136"/>
      <c r="AR49" s="137"/>
      <c r="AS49" s="282"/>
      <c r="AT49" s="283"/>
      <c r="AU49" s="283"/>
      <c r="AV49" s="283"/>
      <c r="AW49" s="283"/>
      <c r="AX49" s="283"/>
      <c r="AY49" s="283"/>
      <c r="AZ49" s="284"/>
      <c r="BA49" s="37">
        <f t="shared" si="10"/>
        <v>24</v>
      </c>
      <c r="BB49" s="9">
        <f t="shared" si="4"/>
        <v>462</v>
      </c>
      <c r="BC49" s="10">
        <f t="shared" si="5"/>
        <v>97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424</v>
      </c>
      <c r="E50" s="61">
        <v>1</v>
      </c>
      <c r="F50" s="62">
        <f t="shared" si="13"/>
        <v>1</v>
      </c>
      <c r="G50" s="62">
        <f t="shared" si="13"/>
        <v>1</v>
      </c>
      <c r="H50" s="62">
        <f t="shared" si="13"/>
        <v>1</v>
      </c>
      <c r="I50" s="62">
        <f t="shared" si="13"/>
        <v>1</v>
      </c>
      <c r="J50" s="62">
        <f t="shared" si="13"/>
        <v>1</v>
      </c>
      <c r="K50" s="62">
        <f t="shared" si="13"/>
        <v>1</v>
      </c>
      <c r="L50" s="63">
        <f t="shared" si="13"/>
        <v>1</v>
      </c>
      <c r="M50" s="282"/>
      <c r="N50" s="283"/>
      <c r="O50" s="283"/>
      <c r="P50" s="283"/>
      <c r="Q50" s="283"/>
      <c r="R50" s="283"/>
      <c r="S50" s="283"/>
      <c r="T50" s="284"/>
      <c r="U50" s="61">
        <v>1</v>
      </c>
      <c r="V50" s="62">
        <f t="shared" si="11"/>
        <v>1</v>
      </c>
      <c r="W50" s="62">
        <f t="shared" si="11"/>
        <v>1</v>
      </c>
      <c r="X50" s="62">
        <f t="shared" si="11"/>
        <v>1</v>
      </c>
      <c r="Y50" s="62">
        <f t="shared" si="11"/>
        <v>1</v>
      </c>
      <c r="Z50" s="62">
        <f t="shared" si="11"/>
        <v>1</v>
      </c>
      <c r="AA50" s="62">
        <f t="shared" si="11"/>
        <v>1</v>
      </c>
      <c r="AB50" s="63">
        <f t="shared" si="11"/>
        <v>1</v>
      </c>
      <c r="AC50" s="61">
        <v>1</v>
      </c>
      <c r="AD50" s="62">
        <f t="shared" si="12"/>
        <v>1</v>
      </c>
      <c r="AE50" s="62">
        <f t="shared" si="12"/>
        <v>1</v>
      </c>
      <c r="AF50" s="62">
        <f t="shared" si="12"/>
        <v>1</v>
      </c>
      <c r="AG50" s="62">
        <f t="shared" si="12"/>
        <v>1</v>
      </c>
      <c r="AH50" s="62">
        <f t="shared" si="12"/>
        <v>1</v>
      </c>
      <c r="AI50" s="62">
        <f t="shared" si="12"/>
        <v>1</v>
      </c>
      <c r="AJ50" s="63">
        <f t="shared" si="12"/>
        <v>1</v>
      </c>
      <c r="AK50" s="135"/>
      <c r="AL50" s="136"/>
      <c r="AM50" s="136"/>
      <c r="AN50" s="136"/>
      <c r="AO50" s="136"/>
      <c r="AP50" s="136"/>
      <c r="AQ50" s="136"/>
      <c r="AR50" s="137"/>
      <c r="AS50" s="282"/>
      <c r="AT50" s="283"/>
      <c r="AU50" s="283"/>
      <c r="AV50" s="283"/>
      <c r="AW50" s="283"/>
      <c r="AX50" s="283"/>
      <c r="AY50" s="283"/>
      <c r="AZ50" s="284"/>
      <c r="BA50" s="37">
        <f t="shared" si="10"/>
        <v>24</v>
      </c>
      <c r="BB50" s="9">
        <f t="shared" si="4"/>
        <v>448</v>
      </c>
      <c r="BC50" s="10">
        <f t="shared" si="5"/>
        <v>94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424</v>
      </c>
      <c r="E51" s="61">
        <v>1</v>
      </c>
      <c r="F51" s="62">
        <f t="shared" si="13"/>
        <v>1</v>
      </c>
      <c r="G51" s="62">
        <f t="shared" si="13"/>
        <v>1</v>
      </c>
      <c r="H51" s="62">
        <f t="shared" si="13"/>
        <v>1</v>
      </c>
      <c r="I51" s="62">
        <f t="shared" si="13"/>
        <v>1</v>
      </c>
      <c r="J51" s="62">
        <f t="shared" si="13"/>
        <v>1</v>
      </c>
      <c r="K51" s="62">
        <f t="shared" si="13"/>
        <v>1</v>
      </c>
      <c r="L51" s="63">
        <f t="shared" si="13"/>
        <v>1</v>
      </c>
      <c r="M51" s="282"/>
      <c r="N51" s="283"/>
      <c r="O51" s="283"/>
      <c r="P51" s="283"/>
      <c r="Q51" s="283"/>
      <c r="R51" s="283"/>
      <c r="S51" s="283"/>
      <c r="T51" s="284"/>
      <c r="U51" s="61">
        <v>1</v>
      </c>
      <c r="V51" s="62">
        <f t="shared" si="11"/>
        <v>1</v>
      </c>
      <c r="W51" s="62">
        <f t="shared" si="11"/>
        <v>1</v>
      </c>
      <c r="X51" s="62">
        <f t="shared" si="11"/>
        <v>1</v>
      </c>
      <c r="Y51" s="62">
        <f t="shared" si="11"/>
        <v>1</v>
      </c>
      <c r="Z51" s="62">
        <f t="shared" si="11"/>
        <v>1</v>
      </c>
      <c r="AA51" s="62">
        <f t="shared" si="11"/>
        <v>1</v>
      </c>
      <c r="AB51" s="63">
        <f t="shared" si="11"/>
        <v>1</v>
      </c>
      <c r="AC51" s="61">
        <v>1</v>
      </c>
      <c r="AD51" s="62">
        <f t="shared" si="12"/>
        <v>1</v>
      </c>
      <c r="AE51" s="62">
        <f t="shared" si="12"/>
        <v>1</v>
      </c>
      <c r="AF51" s="62">
        <f t="shared" si="12"/>
        <v>1</v>
      </c>
      <c r="AG51" s="62">
        <f t="shared" si="12"/>
        <v>1</v>
      </c>
      <c r="AH51" s="62">
        <f t="shared" si="12"/>
        <v>1</v>
      </c>
      <c r="AI51" s="62">
        <f t="shared" si="12"/>
        <v>1</v>
      </c>
      <c r="AJ51" s="63">
        <f t="shared" si="12"/>
        <v>1</v>
      </c>
      <c r="AK51" s="135"/>
      <c r="AL51" s="136"/>
      <c r="AM51" s="136"/>
      <c r="AN51" s="136"/>
      <c r="AO51" s="136"/>
      <c r="AP51" s="136"/>
      <c r="AQ51" s="136"/>
      <c r="AR51" s="137"/>
      <c r="AS51" s="282"/>
      <c r="AT51" s="283"/>
      <c r="AU51" s="283"/>
      <c r="AV51" s="283"/>
      <c r="AW51" s="283"/>
      <c r="AX51" s="283"/>
      <c r="AY51" s="283"/>
      <c r="AZ51" s="284"/>
      <c r="BA51" s="37">
        <f t="shared" si="10"/>
        <v>24</v>
      </c>
      <c r="BB51" s="9">
        <f t="shared" si="4"/>
        <v>448</v>
      </c>
      <c r="BC51" s="10">
        <f t="shared" si="5"/>
        <v>94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420</v>
      </c>
      <c r="E52" s="61">
        <v>1</v>
      </c>
      <c r="F52" s="62">
        <f t="shared" si="13"/>
        <v>1</v>
      </c>
      <c r="G52" s="62">
        <f t="shared" si="13"/>
        <v>1</v>
      </c>
      <c r="H52" s="62">
        <f t="shared" si="13"/>
        <v>1</v>
      </c>
      <c r="I52" s="62">
        <f t="shared" si="13"/>
        <v>1</v>
      </c>
      <c r="J52" s="62">
        <f t="shared" si="13"/>
        <v>1</v>
      </c>
      <c r="K52" s="62">
        <f t="shared" si="13"/>
        <v>1</v>
      </c>
      <c r="L52" s="63">
        <f t="shared" si="13"/>
        <v>1</v>
      </c>
      <c r="M52" s="282"/>
      <c r="N52" s="283"/>
      <c r="O52" s="283"/>
      <c r="P52" s="283"/>
      <c r="Q52" s="283"/>
      <c r="R52" s="283"/>
      <c r="S52" s="283"/>
      <c r="T52" s="284"/>
      <c r="U52" s="61">
        <v>1</v>
      </c>
      <c r="V52" s="62">
        <f t="shared" si="11"/>
        <v>1</v>
      </c>
      <c r="W52" s="62">
        <f t="shared" si="11"/>
        <v>1</v>
      </c>
      <c r="X52" s="62">
        <f t="shared" si="11"/>
        <v>1</v>
      </c>
      <c r="Y52" s="62">
        <f t="shared" si="11"/>
        <v>1</v>
      </c>
      <c r="Z52" s="62">
        <f t="shared" si="11"/>
        <v>1</v>
      </c>
      <c r="AA52" s="62">
        <f t="shared" si="11"/>
        <v>1</v>
      </c>
      <c r="AB52" s="63">
        <f t="shared" si="11"/>
        <v>1</v>
      </c>
      <c r="AC52" s="61">
        <v>1</v>
      </c>
      <c r="AD52" s="62">
        <f t="shared" si="12"/>
        <v>1</v>
      </c>
      <c r="AE52" s="62">
        <f t="shared" si="12"/>
        <v>1</v>
      </c>
      <c r="AF52" s="62">
        <f t="shared" si="12"/>
        <v>1</v>
      </c>
      <c r="AG52" s="62">
        <f t="shared" si="12"/>
        <v>1</v>
      </c>
      <c r="AH52" s="62">
        <f t="shared" si="12"/>
        <v>1</v>
      </c>
      <c r="AI52" s="62">
        <f t="shared" si="12"/>
        <v>1</v>
      </c>
      <c r="AJ52" s="63">
        <f t="shared" si="12"/>
        <v>1</v>
      </c>
      <c r="AK52" s="135"/>
      <c r="AL52" s="136"/>
      <c r="AM52" s="136"/>
      <c r="AN52" s="136"/>
      <c r="AO52" s="136"/>
      <c r="AP52" s="136"/>
      <c r="AQ52" s="136"/>
      <c r="AR52" s="137"/>
      <c r="AS52" s="282"/>
      <c r="AT52" s="283"/>
      <c r="AU52" s="283"/>
      <c r="AV52" s="283"/>
      <c r="AW52" s="283"/>
      <c r="AX52" s="283"/>
      <c r="AY52" s="283"/>
      <c r="AZ52" s="284"/>
      <c r="BA52" s="37">
        <f t="shared" si="10"/>
        <v>24</v>
      </c>
      <c r="BB52" s="9">
        <f t="shared" si="4"/>
        <v>444</v>
      </c>
      <c r="BC52" s="10">
        <f t="shared" si="5"/>
        <v>93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406</v>
      </c>
      <c r="E53" s="61">
        <v>1</v>
      </c>
      <c r="F53" s="62">
        <f t="shared" si="13"/>
        <v>1</v>
      </c>
      <c r="G53" s="62">
        <f t="shared" si="13"/>
        <v>1</v>
      </c>
      <c r="H53" s="62">
        <f t="shared" si="13"/>
        <v>1</v>
      </c>
      <c r="I53" s="62">
        <f t="shared" si="13"/>
        <v>1</v>
      </c>
      <c r="J53" s="62">
        <f t="shared" si="13"/>
        <v>1</v>
      </c>
      <c r="K53" s="62">
        <f t="shared" si="13"/>
        <v>1</v>
      </c>
      <c r="L53" s="63">
        <f t="shared" si="13"/>
        <v>1</v>
      </c>
      <c r="M53" s="282"/>
      <c r="N53" s="283"/>
      <c r="O53" s="283"/>
      <c r="P53" s="283"/>
      <c r="Q53" s="283"/>
      <c r="R53" s="283"/>
      <c r="S53" s="283"/>
      <c r="T53" s="284"/>
      <c r="U53" s="61">
        <v>1</v>
      </c>
      <c r="V53" s="62">
        <f t="shared" si="11"/>
        <v>1</v>
      </c>
      <c r="W53" s="62">
        <f t="shared" si="11"/>
        <v>1</v>
      </c>
      <c r="X53" s="62">
        <f t="shared" si="11"/>
        <v>1</v>
      </c>
      <c r="Y53" s="62">
        <f t="shared" si="11"/>
        <v>1</v>
      </c>
      <c r="Z53" s="62">
        <f t="shared" si="11"/>
        <v>1</v>
      </c>
      <c r="AA53" s="62">
        <f t="shared" si="11"/>
        <v>1</v>
      </c>
      <c r="AB53" s="63">
        <f t="shared" si="11"/>
        <v>1</v>
      </c>
      <c r="AC53" s="61">
        <v>1</v>
      </c>
      <c r="AD53" s="62">
        <f t="shared" si="12"/>
        <v>1</v>
      </c>
      <c r="AE53" s="62">
        <f t="shared" si="12"/>
        <v>1</v>
      </c>
      <c r="AF53" s="62">
        <f t="shared" si="12"/>
        <v>1</v>
      </c>
      <c r="AG53" s="62">
        <f t="shared" si="12"/>
        <v>1</v>
      </c>
      <c r="AH53" s="62">
        <f t="shared" si="12"/>
        <v>1</v>
      </c>
      <c r="AI53" s="62">
        <f t="shared" si="12"/>
        <v>1</v>
      </c>
      <c r="AJ53" s="63">
        <f t="shared" si="12"/>
        <v>1</v>
      </c>
      <c r="AK53" s="135"/>
      <c r="AL53" s="136"/>
      <c r="AM53" s="136"/>
      <c r="AN53" s="136"/>
      <c r="AO53" s="136"/>
      <c r="AP53" s="136"/>
      <c r="AQ53" s="136"/>
      <c r="AR53" s="137"/>
      <c r="AS53" s="282"/>
      <c r="AT53" s="283"/>
      <c r="AU53" s="283"/>
      <c r="AV53" s="283"/>
      <c r="AW53" s="283"/>
      <c r="AX53" s="283"/>
      <c r="AY53" s="283"/>
      <c r="AZ53" s="284"/>
      <c r="BA53" s="37">
        <f t="shared" si="10"/>
        <v>24</v>
      </c>
      <c r="BB53" s="9">
        <f t="shared" si="4"/>
        <v>430</v>
      </c>
      <c r="BC53" s="10">
        <f t="shared" si="5"/>
        <v>90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400</v>
      </c>
      <c r="E54" s="61">
        <v>1</v>
      </c>
      <c r="F54" s="62">
        <f t="shared" si="13"/>
        <v>1</v>
      </c>
      <c r="G54" s="62">
        <f t="shared" si="13"/>
        <v>1</v>
      </c>
      <c r="H54" s="62">
        <f t="shared" si="13"/>
        <v>1</v>
      </c>
      <c r="I54" s="62">
        <f t="shared" si="13"/>
        <v>1</v>
      </c>
      <c r="J54" s="62">
        <f t="shared" si="13"/>
        <v>1</v>
      </c>
      <c r="K54" s="62">
        <f t="shared" si="13"/>
        <v>1</v>
      </c>
      <c r="L54" s="63">
        <f t="shared" si="13"/>
        <v>1</v>
      </c>
      <c r="M54" s="282"/>
      <c r="N54" s="283"/>
      <c r="O54" s="283"/>
      <c r="P54" s="283"/>
      <c r="Q54" s="283"/>
      <c r="R54" s="283"/>
      <c r="S54" s="283"/>
      <c r="T54" s="284"/>
      <c r="U54" s="61">
        <v>1</v>
      </c>
      <c r="V54" s="62">
        <f t="shared" si="11"/>
        <v>1</v>
      </c>
      <c r="W54" s="62">
        <f t="shared" si="11"/>
        <v>1</v>
      </c>
      <c r="X54" s="62">
        <f t="shared" si="11"/>
        <v>1</v>
      </c>
      <c r="Y54" s="62">
        <f t="shared" si="11"/>
        <v>1</v>
      </c>
      <c r="Z54" s="62">
        <f t="shared" si="11"/>
        <v>1</v>
      </c>
      <c r="AA54" s="62">
        <f t="shared" si="11"/>
        <v>1</v>
      </c>
      <c r="AB54" s="63">
        <f t="shared" si="11"/>
        <v>1</v>
      </c>
      <c r="AC54" s="61">
        <v>1</v>
      </c>
      <c r="AD54" s="62">
        <f t="shared" si="12"/>
        <v>1</v>
      </c>
      <c r="AE54" s="62">
        <f t="shared" si="12"/>
        <v>1</v>
      </c>
      <c r="AF54" s="62">
        <f t="shared" si="12"/>
        <v>1</v>
      </c>
      <c r="AG54" s="62">
        <f t="shared" si="12"/>
        <v>1</v>
      </c>
      <c r="AH54" s="62">
        <f t="shared" si="12"/>
        <v>1</v>
      </c>
      <c r="AI54" s="62">
        <f t="shared" si="12"/>
        <v>1</v>
      </c>
      <c r="AJ54" s="63">
        <f t="shared" si="12"/>
        <v>1</v>
      </c>
      <c r="AK54" s="135"/>
      <c r="AL54" s="136"/>
      <c r="AM54" s="136"/>
      <c r="AN54" s="136"/>
      <c r="AO54" s="136"/>
      <c r="AP54" s="136"/>
      <c r="AQ54" s="136"/>
      <c r="AR54" s="137"/>
      <c r="AS54" s="282"/>
      <c r="AT54" s="283"/>
      <c r="AU54" s="283"/>
      <c r="AV54" s="283"/>
      <c r="AW54" s="283"/>
      <c r="AX54" s="283"/>
      <c r="AY54" s="283"/>
      <c r="AZ54" s="284"/>
      <c r="BA54" s="37">
        <f t="shared" si="10"/>
        <v>24</v>
      </c>
      <c r="BB54" s="9">
        <f t="shared" si="4"/>
        <v>424</v>
      </c>
      <c r="BC54" s="10">
        <f t="shared" si="5"/>
        <v>89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382</v>
      </c>
      <c r="E55" s="61">
        <v>1</v>
      </c>
      <c r="F55" s="62">
        <f t="shared" si="13"/>
        <v>1</v>
      </c>
      <c r="G55" s="62">
        <f t="shared" si="13"/>
        <v>1</v>
      </c>
      <c r="H55" s="62">
        <f t="shared" si="13"/>
        <v>1</v>
      </c>
      <c r="I55" s="62">
        <f t="shared" si="13"/>
        <v>1</v>
      </c>
      <c r="J55" s="62">
        <f t="shared" si="13"/>
        <v>1</v>
      </c>
      <c r="K55" s="62">
        <f t="shared" si="13"/>
        <v>1</v>
      </c>
      <c r="L55" s="63">
        <f t="shared" si="13"/>
        <v>1</v>
      </c>
      <c r="M55" s="282"/>
      <c r="N55" s="283"/>
      <c r="O55" s="283"/>
      <c r="P55" s="283"/>
      <c r="Q55" s="283"/>
      <c r="R55" s="283"/>
      <c r="S55" s="283"/>
      <c r="T55" s="284"/>
      <c r="U55" s="61">
        <v>1</v>
      </c>
      <c r="V55" s="62">
        <f t="shared" si="11"/>
        <v>1</v>
      </c>
      <c r="W55" s="62">
        <f t="shared" si="11"/>
        <v>1</v>
      </c>
      <c r="X55" s="62">
        <f t="shared" si="11"/>
        <v>1</v>
      </c>
      <c r="Y55" s="62">
        <f t="shared" si="11"/>
        <v>1</v>
      </c>
      <c r="Z55" s="62">
        <f t="shared" si="11"/>
        <v>1</v>
      </c>
      <c r="AA55" s="62">
        <f t="shared" si="11"/>
        <v>1</v>
      </c>
      <c r="AB55" s="63">
        <f t="shared" si="11"/>
        <v>1</v>
      </c>
      <c r="AC55" s="61">
        <v>1</v>
      </c>
      <c r="AD55" s="62">
        <f t="shared" si="12"/>
        <v>1</v>
      </c>
      <c r="AE55" s="62">
        <f t="shared" si="12"/>
        <v>1</v>
      </c>
      <c r="AF55" s="62">
        <f t="shared" si="12"/>
        <v>1</v>
      </c>
      <c r="AG55" s="62">
        <f t="shared" si="12"/>
        <v>1</v>
      </c>
      <c r="AH55" s="62">
        <f t="shared" si="12"/>
        <v>1</v>
      </c>
      <c r="AI55" s="62">
        <f t="shared" si="12"/>
        <v>1</v>
      </c>
      <c r="AJ55" s="63">
        <f t="shared" si="12"/>
        <v>1</v>
      </c>
      <c r="AK55" s="135"/>
      <c r="AL55" s="136"/>
      <c r="AM55" s="136"/>
      <c r="AN55" s="136"/>
      <c r="AO55" s="136"/>
      <c r="AP55" s="136"/>
      <c r="AQ55" s="136"/>
      <c r="AR55" s="137"/>
      <c r="AS55" s="282"/>
      <c r="AT55" s="283"/>
      <c r="AU55" s="283"/>
      <c r="AV55" s="283"/>
      <c r="AW55" s="283"/>
      <c r="AX55" s="283"/>
      <c r="AY55" s="283"/>
      <c r="AZ55" s="284"/>
      <c r="BA55" s="37">
        <f t="shared" si="10"/>
        <v>24</v>
      </c>
      <c r="BB55" s="9">
        <f t="shared" si="4"/>
        <v>406</v>
      </c>
      <c r="BC55" s="10">
        <f t="shared" si="5"/>
        <v>85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422</v>
      </c>
      <c r="E56" s="61">
        <v>1</v>
      </c>
      <c r="F56" s="62">
        <f t="shared" si="13"/>
        <v>1</v>
      </c>
      <c r="G56" s="62">
        <f t="shared" si="13"/>
        <v>1</v>
      </c>
      <c r="H56" s="62">
        <f t="shared" si="13"/>
        <v>1</v>
      </c>
      <c r="I56" s="62">
        <f t="shared" si="13"/>
        <v>1</v>
      </c>
      <c r="J56" s="62">
        <f t="shared" si="13"/>
        <v>1</v>
      </c>
      <c r="K56" s="62">
        <f t="shared" si="13"/>
        <v>1</v>
      </c>
      <c r="L56" s="63">
        <f t="shared" si="13"/>
        <v>1</v>
      </c>
      <c r="M56" s="282"/>
      <c r="N56" s="283"/>
      <c r="O56" s="283"/>
      <c r="P56" s="283"/>
      <c r="Q56" s="283"/>
      <c r="R56" s="283"/>
      <c r="S56" s="283"/>
      <c r="T56" s="284"/>
      <c r="U56" s="61">
        <v>1</v>
      </c>
      <c r="V56" s="62">
        <f t="shared" si="11"/>
        <v>1</v>
      </c>
      <c r="W56" s="62">
        <f t="shared" si="11"/>
        <v>1</v>
      </c>
      <c r="X56" s="62">
        <f t="shared" si="11"/>
        <v>1</v>
      </c>
      <c r="Y56" s="62">
        <f t="shared" si="11"/>
        <v>1</v>
      </c>
      <c r="Z56" s="62">
        <f t="shared" si="11"/>
        <v>1</v>
      </c>
      <c r="AA56" s="62">
        <f t="shared" si="11"/>
        <v>1</v>
      </c>
      <c r="AB56" s="63">
        <f t="shared" si="11"/>
        <v>1</v>
      </c>
      <c r="AC56" s="61">
        <v>1</v>
      </c>
      <c r="AD56" s="62">
        <f t="shared" si="12"/>
        <v>1</v>
      </c>
      <c r="AE56" s="62">
        <f t="shared" si="12"/>
        <v>1</v>
      </c>
      <c r="AF56" s="62">
        <f t="shared" si="12"/>
        <v>1</v>
      </c>
      <c r="AG56" s="62">
        <f t="shared" si="12"/>
        <v>1</v>
      </c>
      <c r="AH56" s="62">
        <f t="shared" si="12"/>
        <v>1</v>
      </c>
      <c r="AI56" s="62">
        <f t="shared" si="12"/>
        <v>1</v>
      </c>
      <c r="AJ56" s="63">
        <f t="shared" si="12"/>
        <v>1</v>
      </c>
      <c r="AK56" s="135"/>
      <c r="AL56" s="136"/>
      <c r="AM56" s="136"/>
      <c r="AN56" s="136"/>
      <c r="AO56" s="136"/>
      <c r="AP56" s="136"/>
      <c r="AQ56" s="136"/>
      <c r="AR56" s="137"/>
      <c r="AS56" s="282"/>
      <c r="AT56" s="283"/>
      <c r="AU56" s="283"/>
      <c r="AV56" s="283"/>
      <c r="AW56" s="283"/>
      <c r="AX56" s="283"/>
      <c r="AY56" s="283"/>
      <c r="AZ56" s="284"/>
      <c r="BA56" s="37">
        <f t="shared" si="10"/>
        <v>24</v>
      </c>
      <c r="BB56" s="9">
        <f t="shared" si="4"/>
        <v>446</v>
      </c>
      <c r="BC56" s="10">
        <f t="shared" si="5"/>
        <v>93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390</v>
      </c>
      <c r="E57" s="61">
        <v>1</v>
      </c>
      <c r="F57" s="62">
        <f t="shared" si="13"/>
        <v>1</v>
      </c>
      <c r="G57" s="62">
        <f t="shared" si="13"/>
        <v>1</v>
      </c>
      <c r="H57" s="62">
        <f t="shared" si="13"/>
        <v>1</v>
      </c>
      <c r="I57" s="62">
        <f t="shared" si="13"/>
        <v>1</v>
      </c>
      <c r="J57" s="62">
        <f t="shared" si="13"/>
        <v>1</v>
      </c>
      <c r="K57" s="62">
        <f t="shared" si="13"/>
        <v>1</v>
      </c>
      <c r="L57" s="63">
        <f t="shared" si="13"/>
        <v>1</v>
      </c>
      <c r="M57" s="282"/>
      <c r="N57" s="283"/>
      <c r="O57" s="283"/>
      <c r="P57" s="283"/>
      <c r="Q57" s="283"/>
      <c r="R57" s="283"/>
      <c r="S57" s="283"/>
      <c r="T57" s="284"/>
      <c r="U57" s="61">
        <v>1</v>
      </c>
      <c r="V57" s="62">
        <f t="shared" si="11"/>
        <v>1</v>
      </c>
      <c r="W57" s="62">
        <f t="shared" si="11"/>
        <v>1</v>
      </c>
      <c r="X57" s="62">
        <f t="shared" si="11"/>
        <v>1</v>
      </c>
      <c r="Y57" s="62">
        <f t="shared" si="11"/>
        <v>1</v>
      </c>
      <c r="Z57" s="62">
        <f t="shared" si="11"/>
        <v>1</v>
      </c>
      <c r="AA57" s="62">
        <f t="shared" si="11"/>
        <v>1</v>
      </c>
      <c r="AB57" s="63">
        <f t="shared" si="11"/>
        <v>1</v>
      </c>
      <c r="AC57" s="61">
        <v>1</v>
      </c>
      <c r="AD57" s="62">
        <f t="shared" si="12"/>
        <v>1</v>
      </c>
      <c r="AE57" s="62">
        <f t="shared" si="12"/>
        <v>1</v>
      </c>
      <c r="AF57" s="62">
        <f t="shared" si="12"/>
        <v>1</v>
      </c>
      <c r="AG57" s="62">
        <f t="shared" si="12"/>
        <v>1</v>
      </c>
      <c r="AH57" s="62">
        <f t="shared" si="12"/>
        <v>1</v>
      </c>
      <c r="AI57" s="62">
        <f t="shared" si="12"/>
        <v>1</v>
      </c>
      <c r="AJ57" s="63">
        <f t="shared" si="12"/>
        <v>1</v>
      </c>
      <c r="AK57" s="135"/>
      <c r="AL57" s="136"/>
      <c r="AM57" s="136"/>
      <c r="AN57" s="136"/>
      <c r="AO57" s="136"/>
      <c r="AP57" s="136"/>
      <c r="AQ57" s="136"/>
      <c r="AR57" s="137"/>
      <c r="AS57" s="282"/>
      <c r="AT57" s="283"/>
      <c r="AU57" s="283"/>
      <c r="AV57" s="283"/>
      <c r="AW57" s="283"/>
      <c r="AX57" s="283"/>
      <c r="AY57" s="283"/>
      <c r="AZ57" s="284"/>
      <c r="BA57" s="37">
        <f t="shared" si="10"/>
        <v>24</v>
      </c>
      <c r="BB57" s="9">
        <f t="shared" si="4"/>
        <v>414</v>
      </c>
      <c r="BC57" s="10">
        <f t="shared" si="5"/>
        <v>87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438</v>
      </c>
      <c r="E58" s="61">
        <v>1</v>
      </c>
      <c r="F58" s="62">
        <f t="shared" si="13"/>
        <v>1</v>
      </c>
      <c r="G58" s="62">
        <f t="shared" si="13"/>
        <v>1</v>
      </c>
      <c r="H58" s="62">
        <f t="shared" si="13"/>
        <v>1</v>
      </c>
      <c r="I58" s="62">
        <f t="shared" si="13"/>
        <v>1</v>
      </c>
      <c r="J58" s="62">
        <f t="shared" si="13"/>
        <v>1</v>
      </c>
      <c r="K58" s="62">
        <f t="shared" si="13"/>
        <v>1</v>
      </c>
      <c r="L58" s="63">
        <f t="shared" si="13"/>
        <v>1</v>
      </c>
      <c r="M58" s="282"/>
      <c r="N58" s="283"/>
      <c r="O58" s="283"/>
      <c r="P58" s="283"/>
      <c r="Q58" s="283"/>
      <c r="R58" s="283"/>
      <c r="S58" s="283"/>
      <c r="T58" s="284"/>
      <c r="U58" s="61">
        <v>1</v>
      </c>
      <c r="V58" s="62">
        <f t="shared" ref="V58:AB73" si="14">U58</f>
        <v>1</v>
      </c>
      <c r="W58" s="62">
        <f t="shared" si="14"/>
        <v>1</v>
      </c>
      <c r="X58" s="62">
        <f t="shared" si="14"/>
        <v>1</v>
      </c>
      <c r="Y58" s="62">
        <f t="shared" si="14"/>
        <v>1</v>
      </c>
      <c r="Z58" s="62">
        <f t="shared" si="14"/>
        <v>1</v>
      </c>
      <c r="AA58" s="62">
        <f t="shared" si="14"/>
        <v>1</v>
      </c>
      <c r="AB58" s="63">
        <f t="shared" si="14"/>
        <v>1</v>
      </c>
      <c r="AC58" s="61">
        <v>1</v>
      </c>
      <c r="AD58" s="62">
        <f t="shared" ref="AD58:AJ73" si="15">AC58</f>
        <v>1</v>
      </c>
      <c r="AE58" s="62">
        <f t="shared" si="15"/>
        <v>1</v>
      </c>
      <c r="AF58" s="62">
        <f t="shared" si="15"/>
        <v>1</v>
      </c>
      <c r="AG58" s="62">
        <f t="shared" si="15"/>
        <v>1</v>
      </c>
      <c r="AH58" s="62">
        <f t="shared" si="15"/>
        <v>1</v>
      </c>
      <c r="AI58" s="62">
        <f t="shared" si="15"/>
        <v>1</v>
      </c>
      <c r="AJ58" s="63">
        <f t="shared" si="15"/>
        <v>1</v>
      </c>
      <c r="AK58" s="135"/>
      <c r="AL58" s="136"/>
      <c r="AM58" s="136"/>
      <c r="AN58" s="136"/>
      <c r="AO58" s="136"/>
      <c r="AP58" s="136"/>
      <c r="AQ58" s="136"/>
      <c r="AR58" s="137"/>
      <c r="AS58" s="282"/>
      <c r="AT58" s="283"/>
      <c r="AU58" s="283"/>
      <c r="AV58" s="283"/>
      <c r="AW58" s="283"/>
      <c r="AX58" s="283"/>
      <c r="AY58" s="283"/>
      <c r="AZ58" s="284"/>
      <c r="BA58" s="37">
        <f t="shared" si="10"/>
        <v>24</v>
      </c>
      <c r="BB58" s="9">
        <f t="shared" si="4"/>
        <v>462</v>
      </c>
      <c r="BC58" s="10">
        <f t="shared" si="5"/>
        <v>97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430</v>
      </c>
      <c r="E59" s="61">
        <v>1</v>
      </c>
      <c r="F59" s="62">
        <f t="shared" si="13"/>
        <v>1</v>
      </c>
      <c r="G59" s="62">
        <f t="shared" si="13"/>
        <v>1</v>
      </c>
      <c r="H59" s="62">
        <f t="shared" si="13"/>
        <v>1</v>
      </c>
      <c r="I59" s="62">
        <f t="shared" si="13"/>
        <v>1</v>
      </c>
      <c r="J59" s="62">
        <f t="shared" si="13"/>
        <v>1</v>
      </c>
      <c r="K59" s="62">
        <f t="shared" si="13"/>
        <v>1</v>
      </c>
      <c r="L59" s="63">
        <f t="shared" si="13"/>
        <v>1</v>
      </c>
      <c r="M59" s="282"/>
      <c r="N59" s="283"/>
      <c r="O59" s="283"/>
      <c r="P59" s="283"/>
      <c r="Q59" s="283"/>
      <c r="R59" s="283"/>
      <c r="S59" s="283"/>
      <c r="T59" s="284"/>
      <c r="U59" s="61">
        <v>1</v>
      </c>
      <c r="V59" s="62">
        <f t="shared" si="14"/>
        <v>1</v>
      </c>
      <c r="W59" s="62">
        <f t="shared" si="14"/>
        <v>1</v>
      </c>
      <c r="X59" s="62">
        <f t="shared" si="14"/>
        <v>1</v>
      </c>
      <c r="Y59" s="62">
        <f t="shared" si="14"/>
        <v>1</v>
      </c>
      <c r="Z59" s="62">
        <f t="shared" si="14"/>
        <v>1</v>
      </c>
      <c r="AA59" s="62">
        <f t="shared" si="14"/>
        <v>1</v>
      </c>
      <c r="AB59" s="63">
        <f t="shared" si="14"/>
        <v>1</v>
      </c>
      <c r="AC59" s="61">
        <v>1</v>
      </c>
      <c r="AD59" s="62">
        <f t="shared" si="15"/>
        <v>1</v>
      </c>
      <c r="AE59" s="62">
        <f t="shared" si="15"/>
        <v>1</v>
      </c>
      <c r="AF59" s="62">
        <f t="shared" si="15"/>
        <v>1</v>
      </c>
      <c r="AG59" s="62">
        <f t="shared" si="15"/>
        <v>1</v>
      </c>
      <c r="AH59" s="62">
        <f t="shared" si="15"/>
        <v>1</v>
      </c>
      <c r="AI59" s="62">
        <f t="shared" si="15"/>
        <v>1</v>
      </c>
      <c r="AJ59" s="63">
        <f t="shared" si="15"/>
        <v>1</v>
      </c>
      <c r="AK59" s="135"/>
      <c r="AL59" s="136"/>
      <c r="AM59" s="136"/>
      <c r="AN59" s="136"/>
      <c r="AO59" s="136"/>
      <c r="AP59" s="136"/>
      <c r="AQ59" s="136"/>
      <c r="AR59" s="137"/>
      <c r="AS59" s="282"/>
      <c r="AT59" s="283"/>
      <c r="AU59" s="283"/>
      <c r="AV59" s="283"/>
      <c r="AW59" s="283"/>
      <c r="AX59" s="283"/>
      <c r="AY59" s="283"/>
      <c r="AZ59" s="284"/>
      <c r="BA59" s="37">
        <f t="shared" si="10"/>
        <v>24</v>
      </c>
      <c r="BB59" s="9">
        <f t="shared" si="4"/>
        <v>454</v>
      </c>
      <c r="BC59" s="10">
        <f t="shared" si="5"/>
        <v>95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350</v>
      </c>
      <c r="E60" s="61">
        <v>1</v>
      </c>
      <c r="F60" s="62">
        <f t="shared" ref="F60:L73" si="16">E60</f>
        <v>1</v>
      </c>
      <c r="G60" s="62">
        <f t="shared" si="16"/>
        <v>1</v>
      </c>
      <c r="H60" s="62">
        <f t="shared" si="16"/>
        <v>1</v>
      </c>
      <c r="I60" s="62">
        <f t="shared" si="16"/>
        <v>1</v>
      </c>
      <c r="J60" s="62">
        <f t="shared" si="16"/>
        <v>1</v>
      </c>
      <c r="K60" s="62">
        <f t="shared" si="16"/>
        <v>1</v>
      </c>
      <c r="L60" s="63">
        <f t="shared" si="16"/>
        <v>1</v>
      </c>
      <c r="M60" s="282"/>
      <c r="N60" s="283"/>
      <c r="O60" s="283"/>
      <c r="P60" s="283"/>
      <c r="Q60" s="283"/>
      <c r="R60" s="283"/>
      <c r="S60" s="283"/>
      <c r="T60" s="284"/>
      <c r="U60" s="61">
        <v>1</v>
      </c>
      <c r="V60" s="62">
        <f t="shared" si="14"/>
        <v>1</v>
      </c>
      <c r="W60" s="62">
        <f t="shared" si="14"/>
        <v>1</v>
      </c>
      <c r="X60" s="62">
        <f t="shared" si="14"/>
        <v>1</v>
      </c>
      <c r="Y60" s="62">
        <f t="shared" si="14"/>
        <v>1</v>
      </c>
      <c r="Z60" s="62">
        <f t="shared" si="14"/>
        <v>1</v>
      </c>
      <c r="AA60" s="62">
        <f t="shared" si="14"/>
        <v>1</v>
      </c>
      <c r="AB60" s="63">
        <f t="shared" si="14"/>
        <v>1</v>
      </c>
      <c r="AC60" s="61">
        <v>1</v>
      </c>
      <c r="AD60" s="62">
        <f t="shared" si="15"/>
        <v>1</v>
      </c>
      <c r="AE60" s="62">
        <f t="shared" si="15"/>
        <v>1</v>
      </c>
      <c r="AF60" s="62">
        <f t="shared" si="15"/>
        <v>1</v>
      </c>
      <c r="AG60" s="62">
        <f t="shared" si="15"/>
        <v>1</v>
      </c>
      <c r="AH60" s="62">
        <f t="shared" si="15"/>
        <v>1</v>
      </c>
      <c r="AI60" s="62">
        <f t="shared" si="15"/>
        <v>1</v>
      </c>
      <c r="AJ60" s="63">
        <f t="shared" si="15"/>
        <v>1</v>
      </c>
      <c r="AK60" s="135"/>
      <c r="AL60" s="136"/>
      <c r="AM60" s="136"/>
      <c r="AN60" s="136"/>
      <c r="AO60" s="136"/>
      <c r="AP60" s="136"/>
      <c r="AQ60" s="136"/>
      <c r="AR60" s="137"/>
      <c r="AS60" s="282"/>
      <c r="AT60" s="283"/>
      <c r="AU60" s="283"/>
      <c r="AV60" s="283"/>
      <c r="AW60" s="283"/>
      <c r="AX60" s="283"/>
      <c r="AY60" s="283"/>
      <c r="AZ60" s="284"/>
      <c r="BA60" s="37">
        <f t="shared" si="10"/>
        <v>24</v>
      </c>
      <c r="BB60" s="9">
        <f t="shared" si="4"/>
        <v>374</v>
      </c>
      <c r="BC60" s="10">
        <f t="shared" si="5"/>
        <v>78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430</v>
      </c>
      <c r="E61" s="61">
        <v>1</v>
      </c>
      <c r="F61" s="62">
        <f t="shared" si="16"/>
        <v>1</v>
      </c>
      <c r="G61" s="62">
        <f t="shared" si="16"/>
        <v>1</v>
      </c>
      <c r="H61" s="62">
        <f t="shared" si="16"/>
        <v>1</v>
      </c>
      <c r="I61" s="62">
        <f t="shared" si="16"/>
        <v>1</v>
      </c>
      <c r="J61" s="62">
        <f t="shared" si="16"/>
        <v>1</v>
      </c>
      <c r="K61" s="62">
        <f t="shared" si="16"/>
        <v>1</v>
      </c>
      <c r="L61" s="63">
        <f t="shared" si="16"/>
        <v>1</v>
      </c>
      <c r="M61" s="282"/>
      <c r="N61" s="283"/>
      <c r="O61" s="283"/>
      <c r="P61" s="283"/>
      <c r="Q61" s="283"/>
      <c r="R61" s="283"/>
      <c r="S61" s="283"/>
      <c r="T61" s="284"/>
      <c r="U61" s="61">
        <v>1</v>
      </c>
      <c r="V61" s="62">
        <f t="shared" si="14"/>
        <v>1</v>
      </c>
      <c r="W61" s="62">
        <f t="shared" si="14"/>
        <v>1</v>
      </c>
      <c r="X61" s="62">
        <f t="shared" si="14"/>
        <v>1</v>
      </c>
      <c r="Y61" s="62">
        <f t="shared" si="14"/>
        <v>1</v>
      </c>
      <c r="Z61" s="62">
        <f t="shared" si="14"/>
        <v>1</v>
      </c>
      <c r="AA61" s="62">
        <f t="shared" si="14"/>
        <v>1</v>
      </c>
      <c r="AB61" s="63">
        <f t="shared" si="14"/>
        <v>1</v>
      </c>
      <c r="AC61" s="61" t="s">
        <v>124</v>
      </c>
      <c r="AD61" s="62" t="str">
        <f t="shared" si="15"/>
        <v>a</v>
      </c>
      <c r="AE61" s="62" t="str">
        <f t="shared" si="15"/>
        <v>a</v>
      </c>
      <c r="AF61" s="62" t="str">
        <f t="shared" si="15"/>
        <v>a</v>
      </c>
      <c r="AG61" s="62" t="str">
        <f t="shared" si="15"/>
        <v>a</v>
      </c>
      <c r="AH61" s="62" t="str">
        <f t="shared" si="15"/>
        <v>a</v>
      </c>
      <c r="AI61" s="62" t="str">
        <f t="shared" si="15"/>
        <v>a</v>
      </c>
      <c r="AJ61" s="63" t="str">
        <f t="shared" si="15"/>
        <v>a</v>
      </c>
      <c r="AK61" s="135"/>
      <c r="AL61" s="136"/>
      <c r="AM61" s="136"/>
      <c r="AN61" s="136"/>
      <c r="AO61" s="136"/>
      <c r="AP61" s="136"/>
      <c r="AQ61" s="136"/>
      <c r="AR61" s="137"/>
      <c r="AS61" s="282"/>
      <c r="AT61" s="283"/>
      <c r="AU61" s="283"/>
      <c r="AV61" s="283"/>
      <c r="AW61" s="283"/>
      <c r="AX61" s="283"/>
      <c r="AY61" s="283"/>
      <c r="AZ61" s="284"/>
      <c r="BA61" s="37">
        <f t="shared" si="10"/>
        <v>16</v>
      </c>
      <c r="BB61" s="9">
        <f t="shared" si="4"/>
        <v>446</v>
      </c>
      <c r="BC61" s="10">
        <f t="shared" si="5"/>
        <v>93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324</v>
      </c>
      <c r="E62" s="61">
        <v>1</v>
      </c>
      <c r="F62" s="62">
        <f t="shared" si="16"/>
        <v>1</v>
      </c>
      <c r="G62" s="62">
        <f t="shared" si="16"/>
        <v>1</v>
      </c>
      <c r="H62" s="62">
        <f t="shared" si="16"/>
        <v>1</v>
      </c>
      <c r="I62" s="62">
        <f t="shared" si="16"/>
        <v>1</v>
      </c>
      <c r="J62" s="62">
        <f t="shared" si="16"/>
        <v>1</v>
      </c>
      <c r="K62" s="62">
        <f t="shared" si="16"/>
        <v>1</v>
      </c>
      <c r="L62" s="63">
        <f t="shared" si="16"/>
        <v>1</v>
      </c>
      <c r="M62" s="282"/>
      <c r="N62" s="283"/>
      <c r="O62" s="283"/>
      <c r="P62" s="283"/>
      <c r="Q62" s="283"/>
      <c r="R62" s="283"/>
      <c r="S62" s="283"/>
      <c r="T62" s="284"/>
      <c r="U62" s="61">
        <v>1</v>
      </c>
      <c r="V62" s="62">
        <f t="shared" si="14"/>
        <v>1</v>
      </c>
      <c r="W62" s="62">
        <f t="shared" si="14"/>
        <v>1</v>
      </c>
      <c r="X62" s="62">
        <f t="shared" si="14"/>
        <v>1</v>
      </c>
      <c r="Y62" s="62">
        <f t="shared" si="14"/>
        <v>1</v>
      </c>
      <c r="Z62" s="62">
        <f t="shared" si="14"/>
        <v>1</v>
      </c>
      <c r="AA62" s="62">
        <f t="shared" si="14"/>
        <v>1</v>
      </c>
      <c r="AB62" s="63">
        <f t="shared" si="14"/>
        <v>1</v>
      </c>
      <c r="AC62" s="61">
        <v>1</v>
      </c>
      <c r="AD62" s="62">
        <f t="shared" si="15"/>
        <v>1</v>
      </c>
      <c r="AE62" s="62">
        <f t="shared" si="15"/>
        <v>1</v>
      </c>
      <c r="AF62" s="62">
        <f t="shared" si="15"/>
        <v>1</v>
      </c>
      <c r="AG62" s="62">
        <f t="shared" si="15"/>
        <v>1</v>
      </c>
      <c r="AH62" s="62">
        <f t="shared" si="15"/>
        <v>1</v>
      </c>
      <c r="AI62" s="62">
        <f t="shared" si="15"/>
        <v>1</v>
      </c>
      <c r="AJ62" s="63">
        <f t="shared" si="15"/>
        <v>1</v>
      </c>
      <c r="AK62" s="135"/>
      <c r="AL62" s="136"/>
      <c r="AM62" s="136"/>
      <c r="AN62" s="136"/>
      <c r="AO62" s="136"/>
      <c r="AP62" s="136"/>
      <c r="AQ62" s="136"/>
      <c r="AR62" s="137"/>
      <c r="AS62" s="282"/>
      <c r="AT62" s="283"/>
      <c r="AU62" s="283"/>
      <c r="AV62" s="283"/>
      <c r="AW62" s="283"/>
      <c r="AX62" s="283"/>
      <c r="AY62" s="283"/>
      <c r="AZ62" s="284"/>
      <c r="BA62" s="42">
        <f t="shared" si="10"/>
        <v>24</v>
      </c>
      <c r="BB62" s="9">
        <f t="shared" si="4"/>
        <v>348</v>
      </c>
      <c r="BC62" s="10">
        <f t="shared" si="5"/>
        <v>73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359</v>
      </c>
      <c r="E63" s="61">
        <v>1</v>
      </c>
      <c r="F63" s="62">
        <f t="shared" si="16"/>
        <v>1</v>
      </c>
      <c r="G63" s="62">
        <f t="shared" si="16"/>
        <v>1</v>
      </c>
      <c r="H63" s="62">
        <f t="shared" si="16"/>
        <v>1</v>
      </c>
      <c r="I63" s="62">
        <f t="shared" si="16"/>
        <v>1</v>
      </c>
      <c r="J63" s="62">
        <f t="shared" si="16"/>
        <v>1</v>
      </c>
      <c r="K63" s="62">
        <f t="shared" si="16"/>
        <v>1</v>
      </c>
      <c r="L63" s="63">
        <f t="shared" si="16"/>
        <v>1</v>
      </c>
      <c r="M63" s="282"/>
      <c r="N63" s="283"/>
      <c r="O63" s="283"/>
      <c r="P63" s="283"/>
      <c r="Q63" s="283"/>
      <c r="R63" s="283"/>
      <c r="S63" s="283"/>
      <c r="T63" s="284"/>
      <c r="U63" s="61">
        <v>1</v>
      </c>
      <c r="V63" s="62">
        <f t="shared" si="14"/>
        <v>1</v>
      </c>
      <c r="W63" s="62">
        <f t="shared" si="14"/>
        <v>1</v>
      </c>
      <c r="X63" s="62">
        <f t="shared" si="14"/>
        <v>1</v>
      </c>
      <c r="Y63" s="62">
        <f t="shared" si="14"/>
        <v>1</v>
      </c>
      <c r="Z63" s="62">
        <f t="shared" si="14"/>
        <v>1</v>
      </c>
      <c r="AA63" s="62">
        <f t="shared" si="14"/>
        <v>1</v>
      </c>
      <c r="AB63" s="63">
        <f t="shared" si="14"/>
        <v>1</v>
      </c>
      <c r="AC63" s="61" t="s">
        <v>124</v>
      </c>
      <c r="AD63" s="62" t="str">
        <f t="shared" si="15"/>
        <v>a</v>
      </c>
      <c r="AE63" s="62" t="str">
        <f t="shared" si="15"/>
        <v>a</v>
      </c>
      <c r="AF63" s="62" t="str">
        <f t="shared" si="15"/>
        <v>a</v>
      </c>
      <c r="AG63" s="62" t="str">
        <f t="shared" si="15"/>
        <v>a</v>
      </c>
      <c r="AH63" s="62" t="str">
        <f t="shared" si="15"/>
        <v>a</v>
      </c>
      <c r="AI63" s="62" t="str">
        <f t="shared" si="15"/>
        <v>a</v>
      </c>
      <c r="AJ63" s="63" t="str">
        <f t="shared" si="15"/>
        <v>a</v>
      </c>
      <c r="AK63" s="135"/>
      <c r="AL63" s="136"/>
      <c r="AM63" s="136"/>
      <c r="AN63" s="136"/>
      <c r="AO63" s="136"/>
      <c r="AP63" s="136"/>
      <c r="AQ63" s="136"/>
      <c r="AR63" s="137"/>
      <c r="AS63" s="282"/>
      <c r="AT63" s="283"/>
      <c r="AU63" s="283"/>
      <c r="AV63" s="283"/>
      <c r="AW63" s="283"/>
      <c r="AX63" s="283"/>
      <c r="AY63" s="283"/>
      <c r="AZ63" s="284"/>
      <c r="BA63" s="42">
        <f t="shared" si="10"/>
        <v>16</v>
      </c>
      <c r="BB63" s="9">
        <f t="shared" si="4"/>
        <v>375</v>
      </c>
      <c r="BC63" s="10">
        <f t="shared" si="5"/>
        <v>78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400</v>
      </c>
      <c r="E64" s="61">
        <v>1</v>
      </c>
      <c r="F64" s="62">
        <f t="shared" si="16"/>
        <v>1</v>
      </c>
      <c r="G64" s="62">
        <f t="shared" si="16"/>
        <v>1</v>
      </c>
      <c r="H64" s="62">
        <f t="shared" si="16"/>
        <v>1</v>
      </c>
      <c r="I64" s="62">
        <f t="shared" si="16"/>
        <v>1</v>
      </c>
      <c r="J64" s="62">
        <f t="shared" si="16"/>
        <v>1</v>
      </c>
      <c r="K64" s="62">
        <f t="shared" si="16"/>
        <v>1</v>
      </c>
      <c r="L64" s="63">
        <f t="shared" si="16"/>
        <v>1</v>
      </c>
      <c r="M64" s="282"/>
      <c r="N64" s="283"/>
      <c r="O64" s="283"/>
      <c r="P64" s="283"/>
      <c r="Q64" s="283"/>
      <c r="R64" s="283"/>
      <c r="S64" s="283"/>
      <c r="T64" s="284"/>
      <c r="U64" s="61">
        <v>1</v>
      </c>
      <c r="V64" s="62">
        <f t="shared" si="14"/>
        <v>1</v>
      </c>
      <c r="W64" s="62">
        <f t="shared" si="14"/>
        <v>1</v>
      </c>
      <c r="X64" s="62">
        <f t="shared" si="14"/>
        <v>1</v>
      </c>
      <c r="Y64" s="62">
        <f t="shared" si="14"/>
        <v>1</v>
      </c>
      <c r="Z64" s="62">
        <f t="shared" si="14"/>
        <v>1</v>
      </c>
      <c r="AA64" s="62">
        <f t="shared" si="14"/>
        <v>1</v>
      </c>
      <c r="AB64" s="63">
        <f t="shared" si="14"/>
        <v>1</v>
      </c>
      <c r="AC64" s="61">
        <v>1</v>
      </c>
      <c r="AD64" s="62">
        <f t="shared" si="15"/>
        <v>1</v>
      </c>
      <c r="AE64" s="62">
        <f t="shared" si="15"/>
        <v>1</v>
      </c>
      <c r="AF64" s="62">
        <f t="shared" si="15"/>
        <v>1</v>
      </c>
      <c r="AG64" s="62">
        <f t="shared" si="15"/>
        <v>1</v>
      </c>
      <c r="AH64" s="62">
        <f t="shared" si="15"/>
        <v>1</v>
      </c>
      <c r="AI64" s="62">
        <f t="shared" si="15"/>
        <v>1</v>
      </c>
      <c r="AJ64" s="63">
        <f t="shared" si="15"/>
        <v>1</v>
      </c>
      <c r="AK64" s="135"/>
      <c r="AL64" s="136"/>
      <c r="AM64" s="136"/>
      <c r="AN64" s="136"/>
      <c r="AO64" s="136"/>
      <c r="AP64" s="136"/>
      <c r="AQ64" s="136"/>
      <c r="AR64" s="137"/>
      <c r="AS64" s="282"/>
      <c r="AT64" s="283"/>
      <c r="AU64" s="283"/>
      <c r="AV64" s="283"/>
      <c r="AW64" s="283"/>
      <c r="AX64" s="283"/>
      <c r="AY64" s="283"/>
      <c r="AZ64" s="284"/>
      <c r="BA64" s="42">
        <f t="shared" si="10"/>
        <v>24</v>
      </c>
      <c r="BB64" s="9">
        <f t="shared" si="4"/>
        <v>424</v>
      </c>
      <c r="BC64" s="10">
        <f t="shared" si="5"/>
        <v>89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380</v>
      </c>
      <c r="E65" s="61">
        <v>1</v>
      </c>
      <c r="F65" s="62">
        <f t="shared" si="16"/>
        <v>1</v>
      </c>
      <c r="G65" s="62">
        <f t="shared" si="16"/>
        <v>1</v>
      </c>
      <c r="H65" s="62">
        <f t="shared" si="16"/>
        <v>1</v>
      </c>
      <c r="I65" s="62">
        <f t="shared" si="16"/>
        <v>1</v>
      </c>
      <c r="J65" s="62">
        <f t="shared" si="16"/>
        <v>1</v>
      </c>
      <c r="K65" s="62">
        <f t="shared" si="16"/>
        <v>1</v>
      </c>
      <c r="L65" s="63">
        <f t="shared" si="16"/>
        <v>1</v>
      </c>
      <c r="M65" s="282"/>
      <c r="N65" s="283"/>
      <c r="O65" s="283"/>
      <c r="P65" s="283"/>
      <c r="Q65" s="283"/>
      <c r="R65" s="283"/>
      <c r="S65" s="283"/>
      <c r="T65" s="284"/>
      <c r="U65" s="61">
        <v>1</v>
      </c>
      <c r="V65" s="62">
        <f t="shared" si="14"/>
        <v>1</v>
      </c>
      <c r="W65" s="62">
        <f t="shared" si="14"/>
        <v>1</v>
      </c>
      <c r="X65" s="62">
        <f t="shared" si="14"/>
        <v>1</v>
      </c>
      <c r="Y65" s="62">
        <f t="shared" si="14"/>
        <v>1</v>
      </c>
      <c r="Z65" s="62">
        <f t="shared" si="14"/>
        <v>1</v>
      </c>
      <c r="AA65" s="62">
        <f t="shared" si="14"/>
        <v>1</v>
      </c>
      <c r="AB65" s="63">
        <f t="shared" si="14"/>
        <v>1</v>
      </c>
      <c r="AC65" s="61">
        <v>1</v>
      </c>
      <c r="AD65" s="62">
        <f t="shared" si="15"/>
        <v>1</v>
      </c>
      <c r="AE65" s="62">
        <f t="shared" si="15"/>
        <v>1</v>
      </c>
      <c r="AF65" s="62">
        <f t="shared" si="15"/>
        <v>1</v>
      </c>
      <c r="AG65" s="62">
        <f t="shared" si="15"/>
        <v>1</v>
      </c>
      <c r="AH65" s="62">
        <f t="shared" si="15"/>
        <v>1</v>
      </c>
      <c r="AI65" s="62">
        <f t="shared" si="15"/>
        <v>1</v>
      </c>
      <c r="AJ65" s="63">
        <f t="shared" si="15"/>
        <v>1</v>
      </c>
      <c r="AK65" s="135"/>
      <c r="AL65" s="136"/>
      <c r="AM65" s="136"/>
      <c r="AN65" s="136"/>
      <c r="AO65" s="136"/>
      <c r="AP65" s="136"/>
      <c r="AQ65" s="136"/>
      <c r="AR65" s="137"/>
      <c r="AS65" s="282"/>
      <c r="AT65" s="283"/>
      <c r="AU65" s="283"/>
      <c r="AV65" s="283"/>
      <c r="AW65" s="283"/>
      <c r="AX65" s="283"/>
      <c r="AY65" s="283"/>
      <c r="AZ65" s="284"/>
      <c r="BA65" s="37">
        <f t="shared" si="10"/>
        <v>24</v>
      </c>
      <c r="BB65" s="9">
        <f t="shared" si="4"/>
        <v>404</v>
      </c>
      <c r="BC65" s="10">
        <f t="shared" si="5"/>
        <v>85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430</v>
      </c>
      <c r="E66" s="61">
        <v>1</v>
      </c>
      <c r="F66" s="62">
        <f t="shared" si="16"/>
        <v>1</v>
      </c>
      <c r="G66" s="62">
        <f t="shared" si="16"/>
        <v>1</v>
      </c>
      <c r="H66" s="62">
        <f t="shared" si="16"/>
        <v>1</v>
      </c>
      <c r="I66" s="62">
        <f t="shared" si="16"/>
        <v>1</v>
      </c>
      <c r="J66" s="62">
        <f t="shared" si="16"/>
        <v>1</v>
      </c>
      <c r="K66" s="62">
        <f t="shared" si="16"/>
        <v>1</v>
      </c>
      <c r="L66" s="63">
        <f t="shared" si="16"/>
        <v>1</v>
      </c>
      <c r="M66" s="282"/>
      <c r="N66" s="283"/>
      <c r="O66" s="283"/>
      <c r="P66" s="283"/>
      <c r="Q66" s="283"/>
      <c r="R66" s="283"/>
      <c r="S66" s="283"/>
      <c r="T66" s="284"/>
      <c r="U66" s="61">
        <v>1</v>
      </c>
      <c r="V66" s="62">
        <f t="shared" si="14"/>
        <v>1</v>
      </c>
      <c r="W66" s="62">
        <f t="shared" si="14"/>
        <v>1</v>
      </c>
      <c r="X66" s="62">
        <f t="shared" si="14"/>
        <v>1</v>
      </c>
      <c r="Y66" s="62">
        <f t="shared" si="14"/>
        <v>1</v>
      </c>
      <c r="Z66" s="62">
        <f t="shared" si="14"/>
        <v>1</v>
      </c>
      <c r="AA66" s="62">
        <f t="shared" si="14"/>
        <v>1</v>
      </c>
      <c r="AB66" s="63">
        <f t="shared" si="14"/>
        <v>1</v>
      </c>
      <c r="AC66" s="61">
        <v>1</v>
      </c>
      <c r="AD66" s="62">
        <f t="shared" si="15"/>
        <v>1</v>
      </c>
      <c r="AE66" s="62">
        <f t="shared" si="15"/>
        <v>1</v>
      </c>
      <c r="AF66" s="62">
        <f t="shared" si="15"/>
        <v>1</v>
      </c>
      <c r="AG66" s="62">
        <f t="shared" si="15"/>
        <v>1</v>
      </c>
      <c r="AH66" s="62">
        <f t="shared" si="15"/>
        <v>1</v>
      </c>
      <c r="AI66" s="62">
        <f t="shared" si="15"/>
        <v>1</v>
      </c>
      <c r="AJ66" s="63">
        <f t="shared" si="15"/>
        <v>1</v>
      </c>
      <c r="AK66" s="135"/>
      <c r="AL66" s="136"/>
      <c r="AM66" s="136"/>
      <c r="AN66" s="136"/>
      <c r="AO66" s="136"/>
      <c r="AP66" s="136"/>
      <c r="AQ66" s="136"/>
      <c r="AR66" s="137"/>
      <c r="AS66" s="282"/>
      <c r="AT66" s="283"/>
      <c r="AU66" s="283"/>
      <c r="AV66" s="283"/>
      <c r="AW66" s="283"/>
      <c r="AX66" s="283"/>
      <c r="AY66" s="283"/>
      <c r="AZ66" s="284"/>
      <c r="BA66" s="37">
        <f t="shared" si="10"/>
        <v>24</v>
      </c>
      <c r="BB66" s="9">
        <f t="shared" si="4"/>
        <v>454</v>
      </c>
      <c r="BC66" s="10">
        <f t="shared" si="5"/>
        <v>95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390</v>
      </c>
      <c r="E67" s="61">
        <v>1</v>
      </c>
      <c r="F67" s="62">
        <f t="shared" si="16"/>
        <v>1</v>
      </c>
      <c r="G67" s="62">
        <f t="shared" si="16"/>
        <v>1</v>
      </c>
      <c r="H67" s="62">
        <f t="shared" si="16"/>
        <v>1</v>
      </c>
      <c r="I67" s="62">
        <f t="shared" si="16"/>
        <v>1</v>
      </c>
      <c r="J67" s="62">
        <f t="shared" si="16"/>
        <v>1</v>
      </c>
      <c r="K67" s="62">
        <f t="shared" si="16"/>
        <v>1</v>
      </c>
      <c r="L67" s="63">
        <f t="shared" si="16"/>
        <v>1</v>
      </c>
      <c r="M67" s="282"/>
      <c r="N67" s="283"/>
      <c r="O67" s="283"/>
      <c r="P67" s="283"/>
      <c r="Q67" s="283"/>
      <c r="R67" s="283"/>
      <c r="S67" s="283"/>
      <c r="T67" s="284"/>
      <c r="U67" s="61" t="s">
        <v>124</v>
      </c>
      <c r="V67" s="62" t="str">
        <f t="shared" si="14"/>
        <v>a</v>
      </c>
      <c r="W67" s="62" t="str">
        <f t="shared" si="14"/>
        <v>a</v>
      </c>
      <c r="X67" s="62" t="str">
        <f t="shared" si="14"/>
        <v>a</v>
      </c>
      <c r="Y67" s="62" t="str">
        <f t="shared" si="14"/>
        <v>a</v>
      </c>
      <c r="Z67" s="62" t="str">
        <f t="shared" si="14"/>
        <v>a</v>
      </c>
      <c r="AA67" s="62" t="str">
        <f t="shared" si="14"/>
        <v>a</v>
      </c>
      <c r="AB67" s="63" t="str">
        <f t="shared" si="14"/>
        <v>a</v>
      </c>
      <c r="AC67" s="61">
        <v>1</v>
      </c>
      <c r="AD67" s="62">
        <f t="shared" si="15"/>
        <v>1</v>
      </c>
      <c r="AE67" s="62">
        <f t="shared" si="15"/>
        <v>1</v>
      </c>
      <c r="AF67" s="62">
        <f t="shared" si="15"/>
        <v>1</v>
      </c>
      <c r="AG67" s="62">
        <f t="shared" si="15"/>
        <v>1</v>
      </c>
      <c r="AH67" s="62">
        <f t="shared" si="15"/>
        <v>1</v>
      </c>
      <c r="AI67" s="62">
        <f t="shared" si="15"/>
        <v>1</v>
      </c>
      <c r="AJ67" s="63">
        <f t="shared" si="15"/>
        <v>1</v>
      </c>
      <c r="AK67" s="135"/>
      <c r="AL67" s="136"/>
      <c r="AM67" s="136"/>
      <c r="AN67" s="136"/>
      <c r="AO67" s="136"/>
      <c r="AP67" s="136"/>
      <c r="AQ67" s="136"/>
      <c r="AR67" s="137"/>
      <c r="AS67" s="282"/>
      <c r="AT67" s="283"/>
      <c r="AU67" s="283"/>
      <c r="AV67" s="283"/>
      <c r="AW67" s="283"/>
      <c r="AX67" s="283"/>
      <c r="AY67" s="283"/>
      <c r="AZ67" s="284"/>
      <c r="BA67" s="42">
        <f t="shared" si="10"/>
        <v>16</v>
      </c>
      <c r="BB67" s="9">
        <f t="shared" si="4"/>
        <v>406</v>
      </c>
      <c r="BC67" s="10">
        <f t="shared" si="5"/>
        <v>85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394</v>
      </c>
      <c r="E68" s="61">
        <v>1</v>
      </c>
      <c r="F68" s="62">
        <f t="shared" si="16"/>
        <v>1</v>
      </c>
      <c r="G68" s="62">
        <f t="shared" si="16"/>
        <v>1</v>
      </c>
      <c r="H68" s="62">
        <f t="shared" si="16"/>
        <v>1</v>
      </c>
      <c r="I68" s="62">
        <f t="shared" si="16"/>
        <v>1</v>
      </c>
      <c r="J68" s="62">
        <f t="shared" si="16"/>
        <v>1</v>
      </c>
      <c r="K68" s="62">
        <f t="shared" si="16"/>
        <v>1</v>
      </c>
      <c r="L68" s="63">
        <f t="shared" si="16"/>
        <v>1</v>
      </c>
      <c r="M68" s="282"/>
      <c r="N68" s="283"/>
      <c r="O68" s="283"/>
      <c r="P68" s="283"/>
      <c r="Q68" s="283"/>
      <c r="R68" s="283"/>
      <c r="S68" s="283"/>
      <c r="T68" s="284"/>
      <c r="U68" s="61">
        <v>1</v>
      </c>
      <c r="V68" s="62">
        <f t="shared" si="14"/>
        <v>1</v>
      </c>
      <c r="W68" s="62">
        <f t="shared" si="14"/>
        <v>1</v>
      </c>
      <c r="X68" s="62">
        <f t="shared" si="14"/>
        <v>1</v>
      </c>
      <c r="Y68" s="62">
        <f t="shared" si="14"/>
        <v>1</v>
      </c>
      <c r="Z68" s="62">
        <f t="shared" si="14"/>
        <v>1</v>
      </c>
      <c r="AA68" s="62">
        <f t="shared" si="14"/>
        <v>1</v>
      </c>
      <c r="AB68" s="63">
        <f t="shared" si="14"/>
        <v>1</v>
      </c>
      <c r="AC68" s="61" t="s">
        <v>124</v>
      </c>
      <c r="AD68" s="62" t="str">
        <f t="shared" si="15"/>
        <v>a</v>
      </c>
      <c r="AE68" s="62" t="str">
        <f t="shared" si="15"/>
        <v>a</v>
      </c>
      <c r="AF68" s="62" t="str">
        <f t="shared" si="15"/>
        <v>a</v>
      </c>
      <c r="AG68" s="62" t="str">
        <f t="shared" si="15"/>
        <v>a</v>
      </c>
      <c r="AH68" s="62" t="str">
        <f t="shared" si="15"/>
        <v>a</v>
      </c>
      <c r="AI68" s="62" t="str">
        <f t="shared" si="15"/>
        <v>a</v>
      </c>
      <c r="AJ68" s="63" t="str">
        <f t="shared" si="15"/>
        <v>a</v>
      </c>
      <c r="AK68" s="135"/>
      <c r="AL68" s="136"/>
      <c r="AM68" s="136"/>
      <c r="AN68" s="136"/>
      <c r="AO68" s="136"/>
      <c r="AP68" s="136"/>
      <c r="AQ68" s="136"/>
      <c r="AR68" s="137"/>
      <c r="AS68" s="282"/>
      <c r="AT68" s="283"/>
      <c r="AU68" s="283"/>
      <c r="AV68" s="283"/>
      <c r="AW68" s="283"/>
      <c r="AX68" s="283"/>
      <c r="AY68" s="283"/>
      <c r="AZ68" s="284"/>
      <c r="BA68" s="37">
        <f t="shared" si="10"/>
        <v>16</v>
      </c>
      <c r="BB68" s="9">
        <f t="shared" si="4"/>
        <v>410</v>
      </c>
      <c r="BC68" s="10">
        <f t="shared" si="5"/>
        <v>86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443</v>
      </c>
      <c r="E69" s="61">
        <v>1</v>
      </c>
      <c r="F69" s="62">
        <f t="shared" si="16"/>
        <v>1</v>
      </c>
      <c r="G69" s="62">
        <f t="shared" si="16"/>
        <v>1</v>
      </c>
      <c r="H69" s="62">
        <f t="shared" si="16"/>
        <v>1</v>
      </c>
      <c r="I69" s="62">
        <f t="shared" si="16"/>
        <v>1</v>
      </c>
      <c r="J69" s="62">
        <f t="shared" si="16"/>
        <v>1</v>
      </c>
      <c r="K69" s="62">
        <f t="shared" si="16"/>
        <v>1</v>
      </c>
      <c r="L69" s="63">
        <f t="shared" si="16"/>
        <v>1</v>
      </c>
      <c r="M69" s="282"/>
      <c r="N69" s="283"/>
      <c r="O69" s="283"/>
      <c r="P69" s="283"/>
      <c r="Q69" s="283"/>
      <c r="R69" s="283"/>
      <c r="S69" s="283"/>
      <c r="T69" s="284"/>
      <c r="U69" s="61">
        <v>1</v>
      </c>
      <c r="V69" s="62">
        <f t="shared" si="14"/>
        <v>1</v>
      </c>
      <c r="W69" s="62">
        <f t="shared" si="14"/>
        <v>1</v>
      </c>
      <c r="X69" s="62">
        <f t="shared" si="14"/>
        <v>1</v>
      </c>
      <c r="Y69" s="62">
        <f t="shared" si="14"/>
        <v>1</v>
      </c>
      <c r="Z69" s="62">
        <f t="shared" si="14"/>
        <v>1</v>
      </c>
      <c r="AA69" s="62">
        <f t="shared" si="14"/>
        <v>1</v>
      </c>
      <c r="AB69" s="63">
        <f t="shared" si="14"/>
        <v>1</v>
      </c>
      <c r="AC69" s="61" t="s">
        <v>124</v>
      </c>
      <c r="AD69" s="62" t="str">
        <f t="shared" si="15"/>
        <v>a</v>
      </c>
      <c r="AE69" s="62" t="str">
        <f t="shared" si="15"/>
        <v>a</v>
      </c>
      <c r="AF69" s="62" t="str">
        <f t="shared" si="15"/>
        <v>a</v>
      </c>
      <c r="AG69" s="62" t="str">
        <f t="shared" si="15"/>
        <v>a</v>
      </c>
      <c r="AH69" s="62" t="str">
        <f t="shared" si="15"/>
        <v>a</v>
      </c>
      <c r="AI69" s="62" t="str">
        <f t="shared" si="15"/>
        <v>a</v>
      </c>
      <c r="AJ69" s="63" t="str">
        <f t="shared" si="15"/>
        <v>a</v>
      </c>
      <c r="AK69" s="135"/>
      <c r="AL69" s="136"/>
      <c r="AM69" s="136"/>
      <c r="AN69" s="136"/>
      <c r="AO69" s="136"/>
      <c r="AP69" s="136"/>
      <c r="AQ69" s="136"/>
      <c r="AR69" s="137"/>
      <c r="AS69" s="282"/>
      <c r="AT69" s="283"/>
      <c r="AU69" s="283"/>
      <c r="AV69" s="283"/>
      <c r="AW69" s="283"/>
      <c r="AX69" s="283"/>
      <c r="AY69" s="283"/>
      <c r="AZ69" s="284"/>
      <c r="BA69" s="37">
        <f t="shared" si="10"/>
        <v>16</v>
      </c>
      <c r="BB69" s="9">
        <f t="shared" si="4"/>
        <v>459</v>
      </c>
      <c r="BC69" s="10">
        <f t="shared" si="5"/>
        <v>96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354</v>
      </c>
      <c r="E70" s="61">
        <v>1</v>
      </c>
      <c r="F70" s="62">
        <f t="shared" si="16"/>
        <v>1</v>
      </c>
      <c r="G70" s="62">
        <f t="shared" si="16"/>
        <v>1</v>
      </c>
      <c r="H70" s="62">
        <f t="shared" si="16"/>
        <v>1</v>
      </c>
      <c r="I70" s="62">
        <f t="shared" si="16"/>
        <v>1</v>
      </c>
      <c r="J70" s="62">
        <f t="shared" si="16"/>
        <v>1</v>
      </c>
      <c r="K70" s="62">
        <f t="shared" si="16"/>
        <v>1</v>
      </c>
      <c r="L70" s="63">
        <f t="shared" si="16"/>
        <v>1</v>
      </c>
      <c r="M70" s="282"/>
      <c r="N70" s="283"/>
      <c r="O70" s="283"/>
      <c r="P70" s="283"/>
      <c r="Q70" s="283"/>
      <c r="R70" s="283"/>
      <c r="S70" s="283"/>
      <c r="T70" s="284"/>
      <c r="U70" s="61">
        <v>1</v>
      </c>
      <c r="V70" s="62">
        <f t="shared" si="14"/>
        <v>1</v>
      </c>
      <c r="W70" s="62">
        <f t="shared" si="14"/>
        <v>1</v>
      </c>
      <c r="X70" s="62">
        <f t="shared" si="14"/>
        <v>1</v>
      </c>
      <c r="Y70" s="62">
        <f t="shared" si="14"/>
        <v>1</v>
      </c>
      <c r="Z70" s="62">
        <f t="shared" si="14"/>
        <v>1</v>
      </c>
      <c r="AA70" s="62">
        <f t="shared" si="14"/>
        <v>1</v>
      </c>
      <c r="AB70" s="63">
        <f t="shared" si="14"/>
        <v>1</v>
      </c>
      <c r="AC70" s="61">
        <v>1</v>
      </c>
      <c r="AD70" s="62">
        <f t="shared" si="15"/>
        <v>1</v>
      </c>
      <c r="AE70" s="62">
        <f t="shared" si="15"/>
        <v>1</v>
      </c>
      <c r="AF70" s="62">
        <f t="shared" si="15"/>
        <v>1</v>
      </c>
      <c r="AG70" s="62">
        <f t="shared" si="15"/>
        <v>1</v>
      </c>
      <c r="AH70" s="62">
        <f t="shared" si="15"/>
        <v>1</v>
      </c>
      <c r="AI70" s="62">
        <f t="shared" si="15"/>
        <v>1</v>
      </c>
      <c r="AJ70" s="63">
        <f t="shared" si="15"/>
        <v>1</v>
      </c>
      <c r="AK70" s="135"/>
      <c r="AL70" s="136"/>
      <c r="AM70" s="136"/>
      <c r="AN70" s="136"/>
      <c r="AO70" s="136"/>
      <c r="AP70" s="136"/>
      <c r="AQ70" s="136"/>
      <c r="AR70" s="137"/>
      <c r="AS70" s="282"/>
      <c r="AT70" s="283"/>
      <c r="AU70" s="283"/>
      <c r="AV70" s="283"/>
      <c r="AW70" s="283"/>
      <c r="AX70" s="283"/>
      <c r="AY70" s="283"/>
      <c r="AZ70" s="284"/>
      <c r="BA70" s="37">
        <f t="shared" si="10"/>
        <v>24</v>
      </c>
      <c r="BB70" s="9">
        <f t="shared" si="4"/>
        <v>378</v>
      </c>
      <c r="BC70" s="10">
        <f t="shared" si="5"/>
        <v>79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398</v>
      </c>
      <c r="E71" s="61">
        <v>1</v>
      </c>
      <c r="F71" s="62">
        <f t="shared" si="16"/>
        <v>1</v>
      </c>
      <c r="G71" s="62">
        <f t="shared" si="16"/>
        <v>1</v>
      </c>
      <c r="H71" s="62">
        <f t="shared" si="16"/>
        <v>1</v>
      </c>
      <c r="I71" s="62">
        <f t="shared" si="16"/>
        <v>1</v>
      </c>
      <c r="J71" s="62">
        <f t="shared" si="16"/>
        <v>1</v>
      </c>
      <c r="K71" s="62">
        <f t="shared" si="16"/>
        <v>1</v>
      </c>
      <c r="L71" s="63">
        <f t="shared" si="16"/>
        <v>1</v>
      </c>
      <c r="M71" s="282"/>
      <c r="N71" s="283"/>
      <c r="O71" s="283"/>
      <c r="P71" s="283"/>
      <c r="Q71" s="283"/>
      <c r="R71" s="283"/>
      <c r="S71" s="283"/>
      <c r="T71" s="284"/>
      <c r="U71" s="61">
        <v>1</v>
      </c>
      <c r="V71" s="62">
        <f t="shared" si="14"/>
        <v>1</v>
      </c>
      <c r="W71" s="62">
        <f t="shared" si="14"/>
        <v>1</v>
      </c>
      <c r="X71" s="62">
        <f t="shared" si="14"/>
        <v>1</v>
      </c>
      <c r="Y71" s="62">
        <f t="shared" si="14"/>
        <v>1</v>
      </c>
      <c r="Z71" s="62">
        <f t="shared" si="14"/>
        <v>1</v>
      </c>
      <c r="AA71" s="62">
        <f t="shared" si="14"/>
        <v>1</v>
      </c>
      <c r="AB71" s="63">
        <f t="shared" si="14"/>
        <v>1</v>
      </c>
      <c r="AC71" s="61">
        <v>1</v>
      </c>
      <c r="AD71" s="62">
        <f t="shared" si="15"/>
        <v>1</v>
      </c>
      <c r="AE71" s="62">
        <f t="shared" si="15"/>
        <v>1</v>
      </c>
      <c r="AF71" s="62">
        <f t="shared" si="15"/>
        <v>1</v>
      </c>
      <c r="AG71" s="62">
        <f t="shared" si="15"/>
        <v>1</v>
      </c>
      <c r="AH71" s="62">
        <f t="shared" si="15"/>
        <v>1</v>
      </c>
      <c r="AI71" s="62">
        <f t="shared" si="15"/>
        <v>1</v>
      </c>
      <c r="AJ71" s="63">
        <f t="shared" si="15"/>
        <v>1</v>
      </c>
      <c r="AK71" s="135"/>
      <c r="AL71" s="136"/>
      <c r="AM71" s="136"/>
      <c r="AN71" s="136"/>
      <c r="AO71" s="136"/>
      <c r="AP71" s="136"/>
      <c r="AQ71" s="136"/>
      <c r="AR71" s="137"/>
      <c r="AS71" s="282"/>
      <c r="AT71" s="283"/>
      <c r="AU71" s="283"/>
      <c r="AV71" s="283"/>
      <c r="AW71" s="283"/>
      <c r="AX71" s="283"/>
      <c r="AY71" s="283"/>
      <c r="AZ71" s="284"/>
      <c r="BA71" s="42">
        <f t="shared" si="10"/>
        <v>24</v>
      </c>
      <c r="BB71" s="9">
        <f t="shared" si="4"/>
        <v>422</v>
      </c>
      <c r="BC71" s="10">
        <f t="shared" si="5"/>
        <v>88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367</v>
      </c>
      <c r="E72" s="61">
        <v>1</v>
      </c>
      <c r="F72" s="62">
        <f t="shared" si="16"/>
        <v>1</v>
      </c>
      <c r="G72" s="62">
        <f t="shared" si="16"/>
        <v>1</v>
      </c>
      <c r="H72" s="62">
        <f t="shared" si="16"/>
        <v>1</v>
      </c>
      <c r="I72" s="62">
        <f t="shared" si="16"/>
        <v>1</v>
      </c>
      <c r="J72" s="62">
        <f t="shared" si="16"/>
        <v>1</v>
      </c>
      <c r="K72" s="62">
        <f t="shared" si="16"/>
        <v>1</v>
      </c>
      <c r="L72" s="63">
        <f t="shared" si="16"/>
        <v>1</v>
      </c>
      <c r="M72" s="282"/>
      <c r="N72" s="283"/>
      <c r="O72" s="283"/>
      <c r="P72" s="283"/>
      <c r="Q72" s="283"/>
      <c r="R72" s="283"/>
      <c r="S72" s="283"/>
      <c r="T72" s="284"/>
      <c r="U72" s="61">
        <v>1</v>
      </c>
      <c r="V72" s="62">
        <f t="shared" si="14"/>
        <v>1</v>
      </c>
      <c r="W72" s="62">
        <f t="shared" si="14"/>
        <v>1</v>
      </c>
      <c r="X72" s="62">
        <f t="shared" si="14"/>
        <v>1</v>
      </c>
      <c r="Y72" s="62">
        <f t="shared" si="14"/>
        <v>1</v>
      </c>
      <c r="Z72" s="62">
        <f t="shared" si="14"/>
        <v>1</v>
      </c>
      <c r="AA72" s="62">
        <f t="shared" si="14"/>
        <v>1</v>
      </c>
      <c r="AB72" s="63">
        <f t="shared" si="14"/>
        <v>1</v>
      </c>
      <c r="AC72" s="61" t="s">
        <v>124</v>
      </c>
      <c r="AD72" s="62" t="str">
        <f t="shared" si="15"/>
        <v>a</v>
      </c>
      <c r="AE72" s="62" t="str">
        <f t="shared" si="15"/>
        <v>a</v>
      </c>
      <c r="AF72" s="62" t="str">
        <f t="shared" si="15"/>
        <v>a</v>
      </c>
      <c r="AG72" s="62" t="str">
        <f t="shared" si="15"/>
        <v>a</v>
      </c>
      <c r="AH72" s="62" t="str">
        <f t="shared" si="15"/>
        <v>a</v>
      </c>
      <c r="AI72" s="62" t="str">
        <f t="shared" si="15"/>
        <v>a</v>
      </c>
      <c r="AJ72" s="63" t="str">
        <f t="shared" si="15"/>
        <v>a</v>
      </c>
      <c r="AK72" s="135"/>
      <c r="AL72" s="136"/>
      <c r="AM72" s="136"/>
      <c r="AN72" s="136"/>
      <c r="AO72" s="136"/>
      <c r="AP72" s="136"/>
      <c r="AQ72" s="136"/>
      <c r="AR72" s="137"/>
      <c r="AS72" s="282"/>
      <c r="AT72" s="283"/>
      <c r="AU72" s="283"/>
      <c r="AV72" s="283"/>
      <c r="AW72" s="283"/>
      <c r="AX72" s="283"/>
      <c r="AY72" s="283"/>
      <c r="AZ72" s="284"/>
      <c r="BA72" s="37">
        <f t="shared" si="10"/>
        <v>16</v>
      </c>
      <c r="BB72" s="9">
        <f t="shared" si="4"/>
        <v>383</v>
      </c>
      <c r="BC72" s="10">
        <f t="shared" si="5"/>
        <v>80</v>
      </c>
    </row>
    <row r="73" spans="1:55" ht="15" thickBot="1" x14ac:dyDescent="0.4">
      <c r="A73" s="31">
        <v>820323205701</v>
      </c>
      <c r="B73" s="30" t="s">
        <v>87</v>
      </c>
      <c r="C73" s="8"/>
      <c r="D73" s="46">
        <v>426</v>
      </c>
      <c r="E73" s="61">
        <v>1</v>
      </c>
      <c r="F73" s="62">
        <f t="shared" si="16"/>
        <v>1</v>
      </c>
      <c r="G73" s="62">
        <f t="shared" si="16"/>
        <v>1</v>
      </c>
      <c r="H73" s="62">
        <f t="shared" si="16"/>
        <v>1</v>
      </c>
      <c r="I73" s="62">
        <f t="shared" si="16"/>
        <v>1</v>
      </c>
      <c r="J73" s="62">
        <f t="shared" si="16"/>
        <v>1</v>
      </c>
      <c r="K73" s="62">
        <f t="shared" si="16"/>
        <v>1</v>
      </c>
      <c r="L73" s="63">
        <f t="shared" si="16"/>
        <v>1</v>
      </c>
      <c r="M73" s="285"/>
      <c r="N73" s="286"/>
      <c r="O73" s="286"/>
      <c r="P73" s="286"/>
      <c r="Q73" s="286"/>
      <c r="R73" s="286"/>
      <c r="S73" s="286"/>
      <c r="T73" s="287"/>
      <c r="U73" s="61">
        <v>1</v>
      </c>
      <c r="V73" s="62">
        <f t="shared" si="14"/>
        <v>1</v>
      </c>
      <c r="W73" s="62">
        <f t="shared" si="14"/>
        <v>1</v>
      </c>
      <c r="X73" s="62">
        <f t="shared" si="14"/>
        <v>1</v>
      </c>
      <c r="Y73" s="62">
        <f t="shared" si="14"/>
        <v>1</v>
      </c>
      <c r="Z73" s="62">
        <f t="shared" si="14"/>
        <v>1</v>
      </c>
      <c r="AA73" s="62">
        <f t="shared" si="14"/>
        <v>1</v>
      </c>
      <c r="AB73" s="63">
        <f t="shared" si="14"/>
        <v>1</v>
      </c>
      <c r="AC73" s="61">
        <v>1</v>
      </c>
      <c r="AD73" s="62">
        <f t="shared" si="15"/>
        <v>1</v>
      </c>
      <c r="AE73" s="62">
        <f t="shared" si="15"/>
        <v>1</v>
      </c>
      <c r="AF73" s="62">
        <f t="shared" si="15"/>
        <v>1</v>
      </c>
      <c r="AG73" s="62">
        <f t="shared" si="15"/>
        <v>1</v>
      </c>
      <c r="AH73" s="62">
        <f t="shared" si="15"/>
        <v>1</v>
      </c>
      <c r="AI73" s="62">
        <f t="shared" si="15"/>
        <v>1</v>
      </c>
      <c r="AJ73" s="63">
        <f t="shared" si="15"/>
        <v>1</v>
      </c>
      <c r="AK73" s="138"/>
      <c r="AL73" s="139"/>
      <c r="AM73" s="139"/>
      <c r="AN73" s="139"/>
      <c r="AO73" s="139"/>
      <c r="AP73" s="139"/>
      <c r="AQ73" s="139"/>
      <c r="AR73" s="140"/>
      <c r="AS73" s="285"/>
      <c r="AT73" s="286"/>
      <c r="AU73" s="286"/>
      <c r="AV73" s="286"/>
      <c r="AW73" s="286"/>
      <c r="AX73" s="286"/>
      <c r="AY73" s="286"/>
      <c r="AZ73" s="287"/>
      <c r="BA73" s="37">
        <f t="shared" si="10"/>
        <v>24</v>
      </c>
      <c r="BB73" s="9">
        <f t="shared" si="4"/>
        <v>450</v>
      </c>
      <c r="BC73" s="10">
        <f t="shared" si="5"/>
        <v>94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6</v>
      </c>
      <c r="F74" s="50">
        <f t="shared" ref="F74:AJ74" si="17">COUNTIF(F10:F73,"a")</f>
        <v>6</v>
      </c>
      <c r="G74" s="50">
        <f t="shared" si="17"/>
        <v>6</v>
      </c>
      <c r="H74" s="50">
        <f t="shared" si="17"/>
        <v>6</v>
      </c>
      <c r="I74" s="50">
        <f t="shared" si="17"/>
        <v>6</v>
      </c>
      <c r="J74" s="50">
        <f t="shared" si="17"/>
        <v>6</v>
      </c>
      <c r="K74" s="50">
        <f t="shared" si="17"/>
        <v>6</v>
      </c>
      <c r="L74" s="50">
        <f t="shared" si="17"/>
        <v>6</v>
      </c>
      <c r="M74" s="50"/>
      <c r="N74" s="50"/>
      <c r="O74" s="50"/>
      <c r="P74" s="50"/>
      <c r="Q74" s="50"/>
      <c r="R74" s="50"/>
      <c r="S74" s="50"/>
      <c r="T74" s="50"/>
      <c r="U74" s="50">
        <f t="shared" si="17"/>
        <v>5</v>
      </c>
      <c r="V74" s="50">
        <f t="shared" si="17"/>
        <v>5</v>
      </c>
      <c r="W74" s="50">
        <f t="shared" si="17"/>
        <v>5</v>
      </c>
      <c r="X74" s="50">
        <f t="shared" si="17"/>
        <v>5</v>
      </c>
      <c r="Y74" s="50">
        <f t="shared" si="17"/>
        <v>5</v>
      </c>
      <c r="Z74" s="50">
        <f t="shared" si="17"/>
        <v>5</v>
      </c>
      <c r="AA74" s="50">
        <f t="shared" si="17"/>
        <v>5</v>
      </c>
      <c r="AB74" s="50">
        <f t="shared" si="17"/>
        <v>5</v>
      </c>
      <c r="AC74" s="50">
        <f t="shared" si="17"/>
        <v>16</v>
      </c>
      <c r="AD74" s="50">
        <f t="shared" si="17"/>
        <v>16</v>
      </c>
      <c r="AE74" s="50">
        <f t="shared" si="17"/>
        <v>16</v>
      </c>
      <c r="AF74" s="50">
        <f t="shared" si="17"/>
        <v>16</v>
      </c>
      <c r="AG74" s="50">
        <f t="shared" si="17"/>
        <v>16</v>
      </c>
      <c r="AH74" s="50">
        <f t="shared" si="17"/>
        <v>16</v>
      </c>
      <c r="AI74" s="50">
        <f t="shared" si="17"/>
        <v>16</v>
      </c>
      <c r="AJ74" s="50">
        <f t="shared" si="17"/>
        <v>16</v>
      </c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J75" si="18">F9</f>
        <v>PA</v>
      </c>
      <c r="G75" s="102" t="str">
        <f t="shared" si="18"/>
        <v>BB</v>
      </c>
      <c r="H75" s="102" t="str">
        <f t="shared" si="18"/>
        <v>VP</v>
      </c>
      <c r="I75" s="243" t="str">
        <f>I9</f>
        <v>NS / PA</v>
      </c>
      <c r="J75" s="244"/>
      <c r="K75" s="244"/>
      <c r="L75" s="245"/>
      <c r="M75" s="102"/>
      <c r="N75" s="102"/>
      <c r="O75" s="102"/>
      <c r="P75" s="102"/>
      <c r="Q75" s="102"/>
      <c r="R75" s="102"/>
      <c r="S75" s="102"/>
      <c r="T75" s="102"/>
      <c r="U75" s="243" t="str">
        <f t="shared" si="18"/>
        <v>SG / VP, KM  (1,2,4) SS</v>
      </c>
      <c r="V75" s="244"/>
      <c r="W75" s="244"/>
      <c r="X75" s="245"/>
      <c r="Y75" s="102" t="str">
        <f t="shared" si="18"/>
        <v>PA</v>
      </c>
      <c r="Z75" s="102" t="str">
        <f t="shared" si="18"/>
        <v>SG</v>
      </c>
      <c r="AA75" s="102" t="str">
        <f t="shared" si="18"/>
        <v>NS</v>
      </c>
      <c r="AB75" s="102" t="str">
        <f t="shared" si="18"/>
        <v>VP</v>
      </c>
      <c r="AC75" s="102" t="str">
        <f t="shared" si="18"/>
        <v>BB</v>
      </c>
      <c r="AD75" s="102" t="str">
        <f t="shared" si="18"/>
        <v>VP</v>
      </c>
      <c r="AE75" s="102" t="str">
        <f t="shared" si="18"/>
        <v>SG</v>
      </c>
      <c r="AF75" s="102" t="str">
        <f t="shared" si="18"/>
        <v>PA</v>
      </c>
      <c r="AG75" s="102" t="str">
        <f t="shared" si="18"/>
        <v>SG</v>
      </c>
      <c r="AH75" s="102" t="str">
        <f t="shared" si="18"/>
        <v>SG</v>
      </c>
      <c r="AI75" s="102" t="str">
        <f t="shared" si="18"/>
        <v>NS</v>
      </c>
      <c r="AJ75" s="102" t="str">
        <f t="shared" si="18"/>
        <v>BB</v>
      </c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2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U8:X8"/>
    <mergeCell ref="BA8:BA9"/>
    <mergeCell ref="BB8:BB9"/>
    <mergeCell ref="I9:L9"/>
    <mergeCell ref="U9:X9"/>
    <mergeCell ref="M9:T9"/>
    <mergeCell ref="A74:D74"/>
    <mergeCell ref="A76:D76"/>
    <mergeCell ref="A79:I79"/>
    <mergeCell ref="A80:H80"/>
    <mergeCell ref="AR80:BC80"/>
    <mergeCell ref="I75:L75"/>
    <mergeCell ref="U75:X75"/>
    <mergeCell ref="AS43:AZ73"/>
    <mergeCell ref="AK10:AR42"/>
    <mergeCell ref="AK43:AR73"/>
    <mergeCell ref="M8:T8"/>
    <mergeCell ref="AK8:AR8"/>
    <mergeCell ref="AK9:AR9"/>
    <mergeCell ref="AS8:AZ8"/>
    <mergeCell ref="AS9:AZ9"/>
    <mergeCell ref="AS10:AZ42"/>
    <mergeCell ref="M10:T42"/>
    <mergeCell ref="M43:T73"/>
  </mergeCells>
  <conditionalFormatting sqref="BC1:BC73">
    <cfRule type="cellIs" dxfId="14" priority="1" operator="lessThan">
      <formula>75</formula>
    </cfRule>
  </conditionalFormatting>
  <conditionalFormatting sqref="BC10:BC73">
    <cfRule type="cellIs" dxfId="13" priority="3" operator="lessThan">
      <formula>75</formula>
    </cfRule>
  </conditionalFormatting>
  <conditionalFormatting sqref="BC80">
    <cfRule type="cellIs" dxfId="12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horizontalDpi="4294967292" verticalDpi="0" r:id="rId1"/>
  <rowBreaks count="1" manualBreakCount="1">
    <brk id="42" max="5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0A9E-0770-46CA-8D84-899A5541CCA7}">
  <dimension ref="A1:BC80"/>
  <sheetViews>
    <sheetView view="pageBreakPreview" topLeftCell="A2" zoomScale="70" zoomScaleNormal="70" zoomScaleSheetLayoutView="70" workbookViewId="0">
      <selection activeCell="BB10" sqref="BB10:BB73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250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257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251</v>
      </c>
      <c r="F5" s="177"/>
      <c r="G5" s="177"/>
      <c r="H5" s="177"/>
      <c r="I5" s="177"/>
      <c r="J5" s="177"/>
      <c r="K5" s="177"/>
      <c r="L5" s="177"/>
      <c r="M5" s="177" t="s">
        <v>252</v>
      </c>
      <c r="N5" s="177"/>
      <c r="O5" s="177"/>
      <c r="P5" s="177"/>
      <c r="Q5" s="177"/>
      <c r="R5" s="177"/>
      <c r="S5" s="177"/>
      <c r="T5" s="177"/>
      <c r="U5" s="177" t="s">
        <v>253</v>
      </c>
      <c r="V5" s="177"/>
      <c r="W5" s="177"/>
      <c r="X5" s="177"/>
      <c r="Y5" s="177"/>
      <c r="Z5" s="177"/>
      <c r="AA5" s="177"/>
      <c r="AB5" s="177"/>
      <c r="AC5" s="177" t="s">
        <v>254</v>
      </c>
      <c r="AD5" s="177"/>
      <c r="AE5" s="177"/>
      <c r="AF5" s="177"/>
      <c r="AG5" s="177"/>
      <c r="AH5" s="177"/>
      <c r="AI5" s="177"/>
      <c r="AJ5" s="177"/>
      <c r="AK5" s="177" t="s">
        <v>255</v>
      </c>
      <c r="AL5" s="177"/>
      <c r="AM5" s="177"/>
      <c r="AN5" s="177"/>
      <c r="AO5" s="177"/>
      <c r="AP5" s="177"/>
      <c r="AQ5" s="177"/>
      <c r="AR5" s="177"/>
      <c r="AS5" s="177" t="s">
        <v>258</v>
      </c>
      <c r="AT5" s="177"/>
      <c r="AU5" s="177"/>
      <c r="AV5" s="177"/>
      <c r="AW5" s="177"/>
      <c r="AX5" s="177"/>
      <c r="AY5" s="177"/>
      <c r="AZ5" s="178"/>
      <c r="BA5" s="157">
        <v>48</v>
      </c>
      <c r="BB5" s="179">
        <f>D7+BA5</f>
        <v>526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220">
        <v>478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181"/>
      <c r="BC7" s="182"/>
    </row>
    <row r="8" spans="1:55" ht="30" customHeight="1" thickBot="1" x14ac:dyDescent="0.4">
      <c r="A8" s="165"/>
      <c r="B8" s="168"/>
      <c r="C8" s="171"/>
      <c r="D8" s="221"/>
      <c r="E8" s="104" t="s">
        <v>91</v>
      </c>
      <c r="F8" s="94" t="s">
        <v>92</v>
      </c>
      <c r="G8" s="76" t="s">
        <v>94</v>
      </c>
      <c r="H8" s="76" t="s">
        <v>96</v>
      </c>
      <c r="I8" s="201" t="s">
        <v>97</v>
      </c>
      <c r="J8" s="202"/>
      <c r="K8" s="202"/>
      <c r="L8" s="203"/>
      <c r="M8" s="58" t="s">
        <v>99</v>
      </c>
      <c r="N8" s="59" t="s">
        <v>99</v>
      </c>
      <c r="O8" s="59" t="s">
        <v>92</v>
      </c>
      <c r="P8" s="59" t="s">
        <v>96</v>
      </c>
      <c r="Q8" s="59" t="s">
        <v>101</v>
      </c>
      <c r="R8" s="174" t="s">
        <v>102</v>
      </c>
      <c r="S8" s="175"/>
      <c r="T8" s="176"/>
      <c r="U8" s="192" t="s">
        <v>103</v>
      </c>
      <c r="V8" s="193"/>
      <c r="W8" s="193"/>
      <c r="X8" s="194"/>
      <c r="Y8" s="59" t="s">
        <v>92</v>
      </c>
      <c r="Z8" s="59" t="s">
        <v>91</v>
      </c>
      <c r="AA8" s="59" t="s">
        <v>96</v>
      </c>
      <c r="AB8" s="60" t="s">
        <v>101</v>
      </c>
      <c r="AC8" s="129" t="s">
        <v>96</v>
      </c>
      <c r="AD8" s="130"/>
      <c r="AE8" s="130"/>
      <c r="AF8" s="131"/>
      <c r="AG8" s="160" t="s">
        <v>256</v>
      </c>
      <c r="AH8" s="130"/>
      <c r="AI8" s="130"/>
      <c r="AJ8" s="161"/>
      <c r="AK8" s="129" t="s">
        <v>91</v>
      </c>
      <c r="AL8" s="130"/>
      <c r="AM8" s="130"/>
      <c r="AN8" s="131"/>
      <c r="AO8" s="160" t="s">
        <v>256</v>
      </c>
      <c r="AP8" s="130"/>
      <c r="AQ8" s="130"/>
      <c r="AR8" s="161"/>
      <c r="AS8" s="129" t="s">
        <v>101</v>
      </c>
      <c r="AT8" s="130"/>
      <c r="AU8" s="130"/>
      <c r="AV8" s="131"/>
      <c r="AW8" s="160" t="s">
        <v>256</v>
      </c>
      <c r="AX8" s="130"/>
      <c r="AY8" s="130"/>
      <c r="AZ8" s="161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16" t="s">
        <v>83</v>
      </c>
      <c r="F9" s="78" t="s">
        <v>93</v>
      </c>
      <c r="G9" s="78" t="s">
        <v>95</v>
      </c>
      <c r="H9" s="78" t="s">
        <v>85</v>
      </c>
      <c r="I9" s="204" t="s">
        <v>98</v>
      </c>
      <c r="J9" s="205"/>
      <c r="K9" s="205"/>
      <c r="L9" s="206"/>
      <c r="M9" s="57" t="s">
        <v>84</v>
      </c>
      <c r="N9" s="56" t="s">
        <v>100</v>
      </c>
      <c r="O9" s="56" t="s">
        <v>93</v>
      </c>
      <c r="P9" s="56" t="s">
        <v>85</v>
      </c>
      <c r="Q9" s="56" t="s">
        <v>92</v>
      </c>
      <c r="R9" s="160" t="s">
        <v>107</v>
      </c>
      <c r="S9" s="130"/>
      <c r="T9" s="161"/>
      <c r="U9" s="129" t="s">
        <v>108</v>
      </c>
      <c r="V9" s="130"/>
      <c r="W9" s="130"/>
      <c r="X9" s="131"/>
      <c r="Y9" s="56" t="s">
        <v>93</v>
      </c>
      <c r="Z9" s="56" t="s">
        <v>83</v>
      </c>
      <c r="AA9" s="56" t="s">
        <v>85</v>
      </c>
      <c r="AB9" s="79" t="s">
        <v>92</v>
      </c>
      <c r="AC9" s="129" t="s">
        <v>85</v>
      </c>
      <c r="AD9" s="130"/>
      <c r="AE9" s="130"/>
      <c r="AF9" s="131"/>
      <c r="AG9" s="160" t="s">
        <v>96</v>
      </c>
      <c r="AH9" s="130"/>
      <c r="AI9" s="130"/>
      <c r="AJ9" s="161"/>
      <c r="AK9" s="129" t="s">
        <v>83</v>
      </c>
      <c r="AL9" s="130"/>
      <c r="AM9" s="130"/>
      <c r="AN9" s="131"/>
      <c r="AO9" s="129" t="s">
        <v>91</v>
      </c>
      <c r="AP9" s="130"/>
      <c r="AQ9" s="130"/>
      <c r="AR9" s="131"/>
      <c r="AS9" s="129" t="s">
        <v>92</v>
      </c>
      <c r="AT9" s="130"/>
      <c r="AU9" s="130"/>
      <c r="AV9" s="131"/>
      <c r="AW9" s="160" t="s">
        <v>101</v>
      </c>
      <c r="AX9" s="130"/>
      <c r="AY9" s="130"/>
      <c r="AZ9" s="161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454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 t="s">
        <v>124</v>
      </c>
      <c r="N10" s="62" t="str">
        <f t="shared" ref="N10:T25" si="1">M10</f>
        <v>a</v>
      </c>
      <c r="O10" s="62" t="str">
        <f t="shared" si="1"/>
        <v>a</v>
      </c>
      <c r="P10" s="62" t="str">
        <f t="shared" si="1"/>
        <v>a</v>
      </c>
      <c r="Q10" s="62" t="str">
        <f t="shared" si="1"/>
        <v>a</v>
      </c>
      <c r="R10" s="62" t="str">
        <f t="shared" si="1"/>
        <v>a</v>
      </c>
      <c r="S10" s="62" t="str">
        <f t="shared" si="1"/>
        <v>a</v>
      </c>
      <c r="T10" s="63" t="str">
        <f t="shared" si="1"/>
        <v>a</v>
      </c>
      <c r="U10" s="61">
        <v>1</v>
      </c>
      <c r="V10" s="62">
        <f t="shared" ref="V10:AB25" si="2">U10</f>
        <v>1</v>
      </c>
      <c r="W10" s="62">
        <f t="shared" si="2"/>
        <v>1</v>
      </c>
      <c r="X10" s="62">
        <f t="shared" si="2"/>
        <v>1</v>
      </c>
      <c r="Y10" s="62">
        <f t="shared" si="2"/>
        <v>1</v>
      </c>
      <c r="Z10" s="62">
        <f t="shared" si="2"/>
        <v>1</v>
      </c>
      <c r="AA10" s="62">
        <f t="shared" si="2"/>
        <v>1</v>
      </c>
      <c r="AB10" s="63">
        <f t="shared" si="2"/>
        <v>1</v>
      </c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62">
        <f t="shared" si="3"/>
        <v>1</v>
      </c>
      <c r="AH10" s="62">
        <f t="shared" si="3"/>
        <v>1</v>
      </c>
      <c r="AI10" s="62">
        <f t="shared" si="3"/>
        <v>1</v>
      </c>
      <c r="AJ10" s="63">
        <f t="shared" si="3"/>
        <v>1</v>
      </c>
      <c r="AK10" s="61">
        <v>1</v>
      </c>
      <c r="AL10" s="62">
        <f t="shared" ref="AL10:AR25" si="4">AK10</f>
        <v>1</v>
      </c>
      <c r="AM10" s="62">
        <f t="shared" si="4"/>
        <v>1</v>
      </c>
      <c r="AN10" s="62">
        <f t="shared" si="4"/>
        <v>1</v>
      </c>
      <c r="AO10" s="62">
        <f t="shared" si="4"/>
        <v>1</v>
      </c>
      <c r="AP10" s="62">
        <f t="shared" si="4"/>
        <v>1</v>
      </c>
      <c r="AQ10" s="62">
        <f t="shared" si="4"/>
        <v>1</v>
      </c>
      <c r="AR10" s="63">
        <f t="shared" si="4"/>
        <v>1</v>
      </c>
      <c r="AS10" s="61">
        <v>1</v>
      </c>
      <c r="AT10" s="62">
        <f t="shared" ref="AT10:AZ25" si="5">AS10</f>
        <v>1</v>
      </c>
      <c r="AU10" s="62">
        <f t="shared" si="5"/>
        <v>1</v>
      </c>
      <c r="AV10" s="62">
        <f t="shared" si="5"/>
        <v>1</v>
      </c>
      <c r="AW10" s="62">
        <f t="shared" si="5"/>
        <v>1</v>
      </c>
      <c r="AX10" s="62">
        <f t="shared" si="5"/>
        <v>1</v>
      </c>
      <c r="AY10" s="62">
        <f t="shared" si="5"/>
        <v>1</v>
      </c>
      <c r="AZ10" s="63">
        <f t="shared" si="5"/>
        <v>1</v>
      </c>
      <c r="BA10" s="36">
        <f t="shared" ref="BA10:BA37" si="6">SUM(E10:AZ10)</f>
        <v>40</v>
      </c>
      <c r="BB10" s="9">
        <f>BA10+D10+C10</f>
        <v>494</v>
      </c>
      <c r="BC10" s="10">
        <f>ROUND((BB10/BB$5)*100,0)</f>
        <v>94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424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>
        <v>1</v>
      </c>
      <c r="N11" s="62">
        <f t="shared" si="1"/>
        <v>1</v>
      </c>
      <c r="O11" s="62">
        <f t="shared" si="1"/>
        <v>1</v>
      </c>
      <c r="P11" s="62">
        <f t="shared" si="1"/>
        <v>1</v>
      </c>
      <c r="Q11" s="62">
        <f t="shared" si="1"/>
        <v>1</v>
      </c>
      <c r="R11" s="62">
        <f t="shared" si="1"/>
        <v>1</v>
      </c>
      <c r="S11" s="62">
        <f t="shared" si="1"/>
        <v>1</v>
      </c>
      <c r="T11" s="63">
        <f t="shared" si="1"/>
        <v>1</v>
      </c>
      <c r="U11" s="61" t="s">
        <v>124</v>
      </c>
      <c r="V11" s="62" t="str">
        <f t="shared" si="2"/>
        <v>a</v>
      </c>
      <c r="W11" s="62" t="str">
        <f t="shared" si="2"/>
        <v>a</v>
      </c>
      <c r="X11" s="62" t="str">
        <f t="shared" si="2"/>
        <v>a</v>
      </c>
      <c r="Y11" s="62" t="str">
        <f t="shared" si="2"/>
        <v>a</v>
      </c>
      <c r="Z11" s="62" t="str">
        <f t="shared" si="2"/>
        <v>a</v>
      </c>
      <c r="AA11" s="62" t="str">
        <f t="shared" si="2"/>
        <v>a</v>
      </c>
      <c r="AB11" s="63" t="str">
        <f t="shared" si="2"/>
        <v>a</v>
      </c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62">
        <f t="shared" si="3"/>
        <v>1</v>
      </c>
      <c r="AH11" s="62">
        <f t="shared" si="3"/>
        <v>1</v>
      </c>
      <c r="AI11" s="62">
        <f t="shared" si="3"/>
        <v>1</v>
      </c>
      <c r="AJ11" s="63">
        <f t="shared" si="3"/>
        <v>1</v>
      </c>
      <c r="AK11" s="61">
        <v>1</v>
      </c>
      <c r="AL11" s="62">
        <f t="shared" si="4"/>
        <v>1</v>
      </c>
      <c r="AM11" s="62">
        <f t="shared" si="4"/>
        <v>1</v>
      </c>
      <c r="AN11" s="62">
        <f t="shared" si="4"/>
        <v>1</v>
      </c>
      <c r="AO11" s="62">
        <f t="shared" si="4"/>
        <v>1</v>
      </c>
      <c r="AP11" s="62">
        <f t="shared" si="4"/>
        <v>1</v>
      </c>
      <c r="AQ11" s="62">
        <f t="shared" si="4"/>
        <v>1</v>
      </c>
      <c r="AR11" s="63">
        <f t="shared" si="4"/>
        <v>1</v>
      </c>
      <c r="AS11" s="61">
        <v>1</v>
      </c>
      <c r="AT11" s="62">
        <f t="shared" si="5"/>
        <v>1</v>
      </c>
      <c r="AU11" s="62">
        <f t="shared" si="5"/>
        <v>1</v>
      </c>
      <c r="AV11" s="62">
        <f t="shared" si="5"/>
        <v>1</v>
      </c>
      <c r="AW11" s="62">
        <f t="shared" si="5"/>
        <v>1</v>
      </c>
      <c r="AX11" s="62">
        <f t="shared" si="5"/>
        <v>1</v>
      </c>
      <c r="AY11" s="62">
        <f t="shared" si="5"/>
        <v>1</v>
      </c>
      <c r="AZ11" s="63">
        <f t="shared" si="5"/>
        <v>1</v>
      </c>
      <c r="BA11" s="37">
        <f t="shared" si="6"/>
        <v>40</v>
      </c>
      <c r="BB11" s="9">
        <f t="shared" ref="BB11:BB73" si="7">BA11+D11+C11</f>
        <v>464</v>
      </c>
      <c r="BC11" s="10">
        <f t="shared" ref="BC11:BC73" si="8">ROUND((BB11/BB$5)*100,0)</f>
        <v>88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454</v>
      </c>
      <c r="E12" s="61">
        <v>1</v>
      </c>
      <c r="F12" s="62">
        <f t="shared" ref="F12:L27" si="9">E12</f>
        <v>1</v>
      </c>
      <c r="G12" s="62">
        <f t="shared" si="9"/>
        <v>1</v>
      </c>
      <c r="H12" s="62">
        <f t="shared" si="9"/>
        <v>1</v>
      </c>
      <c r="I12" s="62">
        <f t="shared" si="9"/>
        <v>1</v>
      </c>
      <c r="J12" s="62">
        <f t="shared" si="9"/>
        <v>1</v>
      </c>
      <c r="K12" s="62">
        <f t="shared" si="9"/>
        <v>1</v>
      </c>
      <c r="L12" s="63">
        <f t="shared" si="9"/>
        <v>1</v>
      </c>
      <c r="M12" s="61">
        <v>1</v>
      </c>
      <c r="N12" s="62">
        <f t="shared" si="1"/>
        <v>1</v>
      </c>
      <c r="O12" s="62">
        <f t="shared" si="1"/>
        <v>1</v>
      </c>
      <c r="P12" s="62">
        <f t="shared" si="1"/>
        <v>1</v>
      </c>
      <c r="Q12" s="62">
        <f t="shared" si="1"/>
        <v>1</v>
      </c>
      <c r="R12" s="62">
        <f t="shared" si="1"/>
        <v>1</v>
      </c>
      <c r="S12" s="62">
        <f t="shared" si="1"/>
        <v>1</v>
      </c>
      <c r="T12" s="63">
        <f t="shared" si="1"/>
        <v>1</v>
      </c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62">
        <f t="shared" si="2"/>
        <v>1</v>
      </c>
      <c r="Z12" s="62">
        <f t="shared" si="2"/>
        <v>1</v>
      </c>
      <c r="AA12" s="62">
        <f t="shared" si="2"/>
        <v>1</v>
      </c>
      <c r="AB12" s="63">
        <f t="shared" si="2"/>
        <v>1</v>
      </c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62">
        <f t="shared" si="3"/>
        <v>1</v>
      </c>
      <c r="AH12" s="62">
        <f t="shared" si="3"/>
        <v>1</v>
      </c>
      <c r="AI12" s="62">
        <f t="shared" si="3"/>
        <v>1</v>
      </c>
      <c r="AJ12" s="63">
        <f t="shared" si="3"/>
        <v>1</v>
      </c>
      <c r="AK12" s="61">
        <v>1</v>
      </c>
      <c r="AL12" s="62">
        <f t="shared" si="4"/>
        <v>1</v>
      </c>
      <c r="AM12" s="62">
        <f t="shared" si="4"/>
        <v>1</v>
      </c>
      <c r="AN12" s="62">
        <f t="shared" si="4"/>
        <v>1</v>
      </c>
      <c r="AO12" s="62">
        <f t="shared" si="4"/>
        <v>1</v>
      </c>
      <c r="AP12" s="62">
        <f t="shared" si="4"/>
        <v>1</v>
      </c>
      <c r="AQ12" s="62">
        <f t="shared" si="4"/>
        <v>1</v>
      </c>
      <c r="AR12" s="63">
        <f t="shared" si="4"/>
        <v>1</v>
      </c>
      <c r="AS12" s="61">
        <v>1</v>
      </c>
      <c r="AT12" s="62">
        <f t="shared" si="5"/>
        <v>1</v>
      </c>
      <c r="AU12" s="62">
        <f t="shared" si="5"/>
        <v>1</v>
      </c>
      <c r="AV12" s="62">
        <f t="shared" si="5"/>
        <v>1</v>
      </c>
      <c r="AW12" s="62">
        <f t="shared" si="5"/>
        <v>1</v>
      </c>
      <c r="AX12" s="62">
        <f t="shared" si="5"/>
        <v>1</v>
      </c>
      <c r="AY12" s="62">
        <f t="shared" si="5"/>
        <v>1</v>
      </c>
      <c r="AZ12" s="63">
        <f t="shared" si="5"/>
        <v>1</v>
      </c>
      <c r="BA12" s="37">
        <f t="shared" si="6"/>
        <v>48</v>
      </c>
      <c r="BB12" s="9">
        <f t="shared" si="7"/>
        <v>502</v>
      </c>
      <c r="BC12" s="10">
        <f t="shared" si="8"/>
        <v>95</v>
      </c>
    </row>
    <row r="13" spans="1:55" ht="15" customHeight="1" x14ac:dyDescent="0.35">
      <c r="A13" s="29">
        <v>820323205064</v>
      </c>
      <c r="B13" s="30" t="s">
        <v>23</v>
      </c>
      <c r="C13" s="11">
        <v>40</v>
      </c>
      <c r="D13" s="7">
        <v>446</v>
      </c>
      <c r="E13" s="61" t="s">
        <v>124</v>
      </c>
      <c r="F13" s="62" t="str">
        <f t="shared" si="9"/>
        <v>a</v>
      </c>
      <c r="G13" s="62" t="str">
        <f t="shared" si="9"/>
        <v>a</v>
      </c>
      <c r="H13" s="62" t="str">
        <f t="shared" si="9"/>
        <v>a</v>
      </c>
      <c r="I13" s="62" t="str">
        <f t="shared" si="9"/>
        <v>a</v>
      </c>
      <c r="J13" s="62" t="str">
        <f t="shared" si="9"/>
        <v>a</v>
      </c>
      <c r="K13" s="62" t="str">
        <f t="shared" si="9"/>
        <v>a</v>
      </c>
      <c r="L13" s="63" t="str">
        <f t="shared" si="9"/>
        <v>a</v>
      </c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62" t="str">
        <f t="shared" si="1"/>
        <v>a</v>
      </c>
      <c r="R13" s="62" t="str">
        <f t="shared" si="1"/>
        <v>a</v>
      </c>
      <c r="S13" s="62" t="str">
        <f t="shared" si="1"/>
        <v>a</v>
      </c>
      <c r="T13" s="63" t="str">
        <f t="shared" si="1"/>
        <v>a</v>
      </c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62" t="str">
        <f t="shared" si="2"/>
        <v>a</v>
      </c>
      <c r="Z13" s="62" t="str">
        <f t="shared" si="2"/>
        <v>a</v>
      </c>
      <c r="AA13" s="62" t="str">
        <f t="shared" si="2"/>
        <v>a</v>
      </c>
      <c r="AB13" s="63" t="str">
        <f t="shared" si="2"/>
        <v>a</v>
      </c>
      <c r="AC13" s="61" t="s">
        <v>124</v>
      </c>
      <c r="AD13" s="62" t="str">
        <f t="shared" si="3"/>
        <v>a</v>
      </c>
      <c r="AE13" s="62" t="str">
        <f t="shared" si="3"/>
        <v>a</v>
      </c>
      <c r="AF13" s="62" t="str">
        <f t="shared" si="3"/>
        <v>a</v>
      </c>
      <c r="AG13" s="62" t="str">
        <f t="shared" si="3"/>
        <v>a</v>
      </c>
      <c r="AH13" s="62" t="str">
        <f t="shared" si="3"/>
        <v>a</v>
      </c>
      <c r="AI13" s="62" t="str">
        <f t="shared" si="3"/>
        <v>a</v>
      </c>
      <c r="AJ13" s="63" t="str">
        <f t="shared" si="3"/>
        <v>a</v>
      </c>
      <c r="AK13" s="61" t="s">
        <v>124</v>
      </c>
      <c r="AL13" s="62" t="str">
        <f t="shared" si="4"/>
        <v>a</v>
      </c>
      <c r="AM13" s="62" t="str">
        <f t="shared" si="4"/>
        <v>a</v>
      </c>
      <c r="AN13" s="62" t="str">
        <f t="shared" si="4"/>
        <v>a</v>
      </c>
      <c r="AO13" s="62" t="str">
        <f t="shared" si="4"/>
        <v>a</v>
      </c>
      <c r="AP13" s="62" t="str">
        <f t="shared" si="4"/>
        <v>a</v>
      </c>
      <c r="AQ13" s="62" t="str">
        <f t="shared" si="4"/>
        <v>a</v>
      </c>
      <c r="AR13" s="63" t="str">
        <f t="shared" si="4"/>
        <v>a</v>
      </c>
      <c r="AS13" s="61" t="s">
        <v>124</v>
      </c>
      <c r="AT13" s="62" t="str">
        <f t="shared" si="5"/>
        <v>a</v>
      </c>
      <c r="AU13" s="62" t="str">
        <f t="shared" si="5"/>
        <v>a</v>
      </c>
      <c r="AV13" s="62" t="str">
        <f t="shared" si="5"/>
        <v>a</v>
      </c>
      <c r="AW13" s="62" t="str">
        <f t="shared" si="5"/>
        <v>a</v>
      </c>
      <c r="AX13" s="62" t="str">
        <f t="shared" si="5"/>
        <v>a</v>
      </c>
      <c r="AY13" s="62" t="str">
        <f t="shared" si="5"/>
        <v>a</v>
      </c>
      <c r="AZ13" s="63" t="str">
        <f t="shared" si="5"/>
        <v>a</v>
      </c>
      <c r="BA13" s="37">
        <f t="shared" si="6"/>
        <v>0</v>
      </c>
      <c r="BB13" s="9">
        <f t="shared" si="7"/>
        <v>486</v>
      </c>
      <c r="BC13" s="10">
        <f t="shared" si="8"/>
        <v>92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410</v>
      </c>
      <c r="E14" s="61">
        <v>1</v>
      </c>
      <c r="F14" s="62">
        <f t="shared" si="9"/>
        <v>1</v>
      </c>
      <c r="G14" s="62">
        <f t="shared" si="9"/>
        <v>1</v>
      </c>
      <c r="H14" s="62">
        <f t="shared" si="9"/>
        <v>1</v>
      </c>
      <c r="I14" s="62">
        <f t="shared" si="9"/>
        <v>1</v>
      </c>
      <c r="J14" s="62">
        <f t="shared" si="9"/>
        <v>1</v>
      </c>
      <c r="K14" s="62">
        <f t="shared" si="9"/>
        <v>1</v>
      </c>
      <c r="L14" s="63">
        <f t="shared" si="9"/>
        <v>1</v>
      </c>
      <c r="M14" s="61">
        <v>1</v>
      </c>
      <c r="N14" s="62">
        <f t="shared" si="1"/>
        <v>1</v>
      </c>
      <c r="O14" s="62">
        <f t="shared" si="1"/>
        <v>1</v>
      </c>
      <c r="P14" s="62">
        <f t="shared" si="1"/>
        <v>1</v>
      </c>
      <c r="Q14" s="62">
        <f t="shared" si="1"/>
        <v>1</v>
      </c>
      <c r="R14" s="62">
        <f t="shared" si="1"/>
        <v>1</v>
      </c>
      <c r="S14" s="62">
        <f t="shared" si="1"/>
        <v>1</v>
      </c>
      <c r="T14" s="63">
        <f t="shared" si="1"/>
        <v>1</v>
      </c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62">
        <f t="shared" si="2"/>
        <v>1</v>
      </c>
      <c r="Z14" s="62">
        <f t="shared" si="2"/>
        <v>1</v>
      </c>
      <c r="AA14" s="62">
        <f t="shared" si="2"/>
        <v>1</v>
      </c>
      <c r="AB14" s="63">
        <f t="shared" si="2"/>
        <v>1</v>
      </c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62">
        <f t="shared" si="3"/>
        <v>1</v>
      </c>
      <c r="AH14" s="62">
        <f t="shared" si="3"/>
        <v>1</v>
      </c>
      <c r="AI14" s="62">
        <f t="shared" si="3"/>
        <v>1</v>
      </c>
      <c r="AJ14" s="63">
        <f t="shared" si="3"/>
        <v>1</v>
      </c>
      <c r="AK14" s="61">
        <v>1</v>
      </c>
      <c r="AL14" s="62">
        <f t="shared" si="4"/>
        <v>1</v>
      </c>
      <c r="AM14" s="62">
        <f t="shared" si="4"/>
        <v>1</v>
      </c>
      <c r="AN14" s="62">
        <f t="shared" si="4"/>
        <v>1</v>
      </c>
      <c r="AO14" s="62">
        <f t="shared" si="4"/>
        <v>1</v>
      </c>
      <c r="AP14" s="62">
        <f t="shared" si="4"/>
        <v>1</v>
      </c>
      <c r="AQ14" s="62">
        <f t="shared" si="4"/>
        <v>1</v>
      </c>
      <c r="AR14" s="63">
        <f t="shared" si="4"/>
        <v>1</v>
      </c>
      <c r="AS14" s="61">
        <v>1</v>
      </c>
      <c r="AT14" s="62">
        <f t="shared" si="5"/>
        <v>1</v>
      </c>
      <c r="AU14" s="62">
        <f t="shared" si="5"/>
        <v>1</v>
      </c>
      <c r="AV14" s="62">
        <f t="shared" si="5"/>
        <v>1</v>
      </c>
      <c r="AW14" s="62">
        <f t="shared" si="5"/>
        <v>1</v>
      </c>
      <c r="AX14" s="62">
        <f t="shared" si="5"/>
        <v>1</v>
      </c>
      <c r="AY14" s="62">
        <f t="shared" si="5"/>
        <v>1</v>
      </c>
      <c r="AZ14" s="63">
        <f t="shared" si="5"/>
        <v>1</v>
      </c>
      <c r="BA14" s="37">
        <f t="shared" si="6"/>
        <v>48</v>
      </c>
      <c r="BB14" s="9">
        <f t="shared" si="7"/>
        <v>458</v>
      </c>
      <c r="BC14" s="10">
        <f t="shared" si="8"/>
        <v>87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368</v>
      </c>
      <c r="E15" s="61">
        <v>1</v>
      </c>
      <c r="F15" s="62">
        <f t="shared" si="9"/>
        <v>1</v>
      </c>
      <c r="G15" s="62">
        <f t="shared" si="9"/>
        <v>1</v>
      </c>
      <c r="H15" s="62">
        <f t="shared" si="9"/>
        <v>1</v>
      </c>
      <c r="I15" s="62">
        <f t="shared" si="9"/>
        <v>1</v>
      </c>
      <c r="J15" s="62">
        <f t="shared" si="9"/>
        <v>1</v>
      </c>
      <c r="K15" s="62">
        <f t="shared" si="9"/>
        <v>1</v>
      </c>
      <c r="L15" s="63">
        <f t="shared" si="9"/>
        <v>1</v>
      </c>
      <c r="M15" s="61">
        <v>1</v>
      </c>
      <c r="N15" s="62">
        <f t="shared" si="1"/>
        <v>1</v>
      </c>
      <c r="O15" s="62">
        <f t="shared" si="1"/>
        <v>1</v>
      </c>
      <c r="P15" s="62">
        <f t="shared" si="1"/>
        <v>1</v>
      </c>
      <c r="Q15" s="62">
        <f t="shared" si="1"/>
        <v>1</v>
      </c>
      <c r="R15" s="62">
        <f t="shared" si="1"/>
        <v>1</v>
      </c>
      <c r="S15" s="62">
        <f t="shared" si="1"/>
        <v>1</v>
      </c>
      <c r="T15" s="63">
        <f t="shared" si="1"/>
        <v>1</v>
      </c>
      <c r="U15" s="61" t="s">
        <v>124</v>
      </c>
      <c r="V15" s="62" t="str">
        <f t="shared" si="2"/>
        <v>a</v>
      </c>
      <c r="W15" s="62" t="str">
        <f t="shared" si="2"/>
        <v>a</v>
      </c>
      <c r="X15" s="62" t="str">
        <f t="shared" si="2"/>
        <v>a</v>
      </c>
      <c r="Y15" s="62" t="str">
        <f t="shared" si="2"/>
        <v>a</v>
      </c>
      <c r="Z15" s="62" t="str">
        <f t="shared" si="2"/>
        <v>a</v>
      </c>
      <c r="AA15" s="62" t="str">
        <f t="shared" si="2"/>
        <v>a</v>
      </c>
      <c r="AB15" s="63" t="str">
        <f t="shared" si="2"/>
        <v>a</v>
      </c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62">
        <f t="shared" si="3"/>
        <v>1</v>
      </c>
      <c r="AH15" s="62">
        <f t="shared" si="3"/>
        <v>1</v>
      </c>
      <c r="AI15" s="62">
        <f t="shared" si="3"/>
        <v>1</v>
      </c>
      <c r="AJ15" s="63">
        <f t="shared" si="3"/>
        <v>1</v>
      </c>
      <c r="AK15" s="61">
        <v>1</v>
      </c>
      <c r="AL15" s="62">
        <f t="shared" si="4"/>
        <v>1</v>
      </c>
      <c r="AM15" s="62">
        <f t="shared" si="4"/>
        <v>1</v>
      </c>
      <c r="AN15" s="62">
        <f t="shared" si="4"/>
        <v>1</v>
      </c>
      <c r="AO15" s="62">
        <f t="shared" si="4"/>
        <v>1</v>
      </c>
      <c r="AP15" s="62">
        <f t="shared" si="4"/>
        <v>1</v>
      </c>
      <c r="AQ15" s="62">
        <f t="shared" si="4"/>
        <v>1</v>
      </c>
      <c r="AR15" s="63">
        <f t="shared" si="4"/>
        <v>1</v>
      </c>
      <c r="AS15" s="61">
        <v>1</v>
      </c>
      <c r="AT15" s="62">
        <f t="shared" si="5"/>
        <v>1</v>
      </c>
      <c r="AU15" s="62">
        <f t="shared" si="5"/>
        <v>1</v>
      </c>
      <c r="AV15" s="62">
        <f t="shared" si="5"/>
        <v>1</v>
      </c>
      <c r="AW15" s="62">
        <f t="shared" si="5"/>
        <v>1</v>
      </c>
      <c r="AX15" s="62">
        <f t="shared" si="5"/>
        <v>1</v>
      </c>
      <c r="AY15" s="62">
        <f t="shared" si="5"/>
        <v>1</v>
      </c>
      <c r="AZ15" s="63">
        <f t="shared" si="5"/>
        <v>1</v>
      </c>
      <c r="BA15" s="37">
        <f t="shared" si="6"/>
        <v>40</v>
      </c>
      <c r="BB15" s="9">
        <f t="shared" si="7"/>
        <v>408</v>
      </c>
      <c r="BC15" s="10">
        <f t="shared" si="8"/>
        <v>78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403</v>
      </c>
      <c r="E16" s="61">
        <v>1</v>
      </c>
      <c r="F16" s="62">
        <f t="shared" si="9"/>
        <v>1</v>
      </c>
      <c r="G16" s="62">
        <f t="shared" si="9"/>
        <v>1</v>
      </c>
      <c r="H16" s="62">
        <f t="shared" si="9"/>
        <v>1</v>
      </c>
      <c r="I16" s="62">
        <f t="shared" si="9"/>
        <v>1</v>
      </c>
      <c r="J16" s="62">
        <f t="shared" si="9"/>
        <v>1</v>
      </c>
      <c r="K16" s="62">
        <f t="shared" si="9"/>
        <v>1</v>
      </c>
      <c r="L16" s="63">
        <f t="shared" si="9"/>
        <v>1</v>
      </c>
      <c r="M16" s="61">
        <v>1</v>
      </c>
      <c r="N16" s="62">
        <f t="shared" si="1"/>
        <v>1</v>
      </c>
      <c r="O16" s="62">
        <f t="shared" si="1"/>
        <v>1</v>
      </c>
      <c r="P16" s="62">
        <f t="shared" si="1"/>
        <v>1</v>
      </c>
      <c r="Q16" s="62">
        <f t="shared" si="1"/>
        <v>1</v>
      </c>
      <c r="R16" s="62">
        <f t="shared" si="1"/>
        <v>1</v>
      </c>
      <c r="S16" s="62">
        <f t="shared" si="1"/>
        <v>1</v>
      </c>
      <c r="T16" s="63">
        <f t="shared" si="1"/>
        <v>1</v>
      </c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62" t="str">
        <f t="shared" si="2"/>
        <v>a</v>
      </c>
      <c r="Z16" s="62" t="str">
        <f t="shared" si="2"/>
        <v>a</v>
      </c>
      <c r="AA16" s="62" t="str">
        <f t="shared" si="2"/>
        <v>a</v>
      </c>
      <c r="AB16" s="63" t="str">
        <f t="shared" si="2"/>
        <v>a</v>
      </c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62">
        <f t="shared" si="3"/>
        <v>1</v>
      </c>
      <c r="AH16" s="62">
        <f t="shared" si="3"/>
        <v>1</v>
      </c>
      <c r="AI16" s="62">
        <f t="shared" si="3"/>
        <v>1</v>
      </c>
      <c r="AJ16" s="63">
        <f t="shared" si="3"/>
        <v>1</v>
      </c>
      <c r="AK16" s="61">
        <v>1</v>
      </c>
      <c r="AL16" s="62">
        <f t="shared" si="4"/>
        <v>1</v>
      </c>
      <c r="AM16" s="62">
        <f t="shared" si="4"/>
        <v>1</v>
      </c>
      <c r="AN16" s="62">
        <f t="shared" si="4"/>
        <v>1</v>
      </c>
      <c r="AO16" s="62">
        <f t="shared" si="4"/>
        <v>1</v>
      </c>
      <c r="AP16" s="62">
        <f t="shared" si="4"/>
        <v>1</v>
      </c>
      <c r="AQ16" s="62">
        <f t="shared" si="4"/>
        <v>1</v>
      </c>
      <c r="AR16" s="63">
        <f t="shared" si="4"/>
        <v>1</v>
      </c>
      <c r="AS16" s="61">
        <v>1</v>
      </c>
      <c r="AT16" s="62">
        <f t="shared" si="5"/>
        <v>1</v>
      </c>
      <c r="AU16" s="62">
        <f t="shared" si="5"/>
        <v>1</v>
      </c>
      <c r="AV16" s="62">
        <f t="shared" si="5"/>
        <v>1</v>
      </c>
      <c r="AW16" s="62">
        <f t="shared" si="5"/>
        <v>1</v>
      </c>
      <c r="AX16" s="62">
        <f t="shared" si="5"/>
        <v>1</v>
      </c>
      <c r="AY16" s="62">
        <f t="shared" si="5"/>
        <v>1</v>
      </c>
      <c r="AZ16" s="63">
        <f t="shared" si="5"/>
        <v>1</v>
      </c>
      <c r="BA16" s="37">
        <f t="shared" si="6"/>
        <v>40</v>
      </c>
      <c r="BB16" s="9">
        <f t="shared" si="7"/>
        <v>443</v>
      </c>
      <c r="BC16" s="10">
        <f t="shared" si="8"/>
        <v>84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448</v>
      </c>
      <c r="E17" s="61">
        <v>1</v>
      </c>
      <c r="F17" s="62">
        <f t="shared" si="9"/>
        <v>1</v>
      </c>
      <c r="G17" s="62">
        <f t="shared" si="9"/>
        <v>1</v>
      </c>
      <c r="H17" s="62">
        <f t="shared" si="9"/>
        <v>1</v>
      </c>
      <c r="I17" s="62">
        <f t="shared" si="9"/>
        <v>1</v>
      </c>
      <c r="J17" s="62">
        <f t="shared" si="9"/>
        <v>1</v>
      </c>
      <c r="K17" s="62">
        <f t="shared" si="9"/>
        <v>1</v>
      </c>
      <c r="L17" s="63">
        <f t="shared" si="9"/>
        <v>1</v>
      </c>
      <c r="M17" s="61">
        <v>1</v>
      </c>
      <c r="N17" s="62">
        <f t="shared" si="1"/>
        <v>1</v>
      </c>
      <c r="O17" s="62">
        <f t="shared" si="1"/>
        <v>1</v>
      </c>
      <c r="P17" s="62">
        <f t="shared" si="1"/>
        <v>1</v>
      </c>
      <c r="Q17" s="62">
        <f t="shared" si="1"/>
        <v>1</v>
      </c>
      <c r="R17" s="62">
        <f t="shared" si="1"/>
        <v>1</v>
      </c>
      <c r="S17" s="62">
        <f t="shared" si="1"/>
        <v>1</v>
      </c>
      <c r="T17" s="63">
        <f t="shared" si="1"/>
        <v>1</v>
      </c>
      <c r="U17" s="61">
        <v>1</v>
      </c>
      <c r="V17" s="62">
        <f t="shared" si="2"/>
        <v>1</v>
      </c>
      <c r="W17" s="62">
        <f t="shared" si="2"/>
        <v>1</v>
      </c>
      <c r="X17" s="62">
        <f t="shared" si="2"/>
        <v>1</v>
      </c>
      <c r="Y17" s="62">
        <f t="shared" si="2"/>
        <v>1</v>
      </c>
      <c r="Z17" s="62">
        <f t="shared" si="2"/>
        <v>1</v>
      </c>
      <c r="AA17" s="62">
        <f t="shared" si="2"/>
        <v>1</v>
      </c>
      <c r="AB17" s="63">
        <f t="shared" si="2"/>
        <v>1</v>
      </c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62">
        <f t="shared" si="3"/>
        <v>1</v>
      </c>
      <c r="AH17" s="62">
        <f t="shared" si="3"/>
        <v>1</v>
      </c>
      <c r="AI17" s="62">
        <f t="shared" si="3"/>
        <v>1</v>
      </c>
      <c r="AJ17" s="63">
        <f t="shared" si="3"/>
        <v>1</v>
      </c>
      <c r="AK17" s="61">
        <v>1</v>
      </c>
      <c r="AL17" s="62">
        <f t="shared" si="4"/>
        <v>1</v>
      </c>
      <c r="AM17" s="62">
        <f t="shared" si="4"/>
        <v>1</v>
      </c>
      <c r="AN17" s="62">
        <f t="shared" si="4"/>
        <v>1</v>
      </c>
      <c r="AO17" s="62">
        <f t="shared" si="4"/>
        <v>1</v>
      </c>
      <c r="AP17" s="62">
        <f t="shared" si="4"/>
        <v>1</v>
      </c>
      <c r="AQ17" s="62">
        <f t="shared" si="4"/>
        <v>1</v>
      </c>
      <c r="AR17" s="63">
        <f t="shared" si="4"/>
        <v>1</v>
      </c>
      <c r="AS17" s="61">
        <v>1</v>
      </c>
      <c r="AT17" s="62">
        <f t="shared" si="5"/>
        <v>1</v>
      </c>
      <c r="AU17" s="62">
        <f t="shared" si="5"/>
        <v>1</v>
      </c>
      <c r="AV17" s="62">
        <f t="shared" si="5"/>
        <v>1</v>
      </c>
      <c r="AW17" s="62">
        <f t="shared" si="5"/>
        <v>1</v>
      </c>
      <c r="AX17" s="62">
        <f t="shared" si="5"/>
        <v>1</v>
      </c>
      <c r="AY17" s="62">
        <f t="shared" si="5"/>
        <v>1</v>
      </c>
      <c r="AZ17" s="63">
        <f t="shared" si="5"/>
        <v>1</v>
      </c>
      <c r="BA17" s="37">
        <f t="shared" si="6"/>
        <v>48</v>
      </c>
      <c r="BB17" s="9">
        <f t="shared" si="7"/>
        <v>496</v>
      </c>
      <c r="BC17" s="10">
        <f t="shared" si="8"/>
        <v>94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380</v>
      </c>
      <c r="E18" s="61">
        <v>1</v>
      </c>
      <c r="F18" s="62">
        <f t="shared" si="9"/>
        <v>1</v>
      </c>
      <c r="G18" s="62">
        <f t="shared" si="9"/>
        <v>1</v>
      </c>
      <c r="H18" s="62">
        <f t="shared" si="9"/>
        <v>1</v>
      </c>
      <c r="I18" s="62">
        <f t="shared" si="9"/>
        <v>1</v>
      </c>
      <c r="J18" s="62">
        <f t="shared" si="9"/>
        <v>1</v>
      </c>
      <c r="K18" s="62">
        <f t="shared" si="9"/>
        <v>1</v>
      </c>
      <c r="L18" s="63">
        <f t="shared" si="9"/>
        <v>1</v>
      </c>
      <c r="M18" s="61">
        <v>1</v>
      </c>
      <c r="N18" s="62">
        <f t="shared" si="1"/>
        <v>1</v>
      </c>
      <c r="O18" s="62">
        <f t="shared" si="1"/>
        <v>1</v>
      </c>
      <c r="P18" s="62">
        <f t="shared" si="1"/>
        <v>1</v>
      </c>
      <c r="Q18" s="62">
        <f t="shared" si="1"/>
        <v>1</v>
      </c>
      <c r="R18" s="62">
        <f t="shared" si="1"/>
        <v>1</v>
      </c>
      <c r="S18" s="62">
        <f t="shared" si="1"/>
        <v>1</v>
      </c>
      <c r="T18" s="63">
        <f t="shared" si="1"/>
        <v>1</v>
      </c>
      <c r="U18" s="61">
        <v>1</v>
      </c>
      <c r="V18" s="62">
        <f t="shared" si="2"/>
        <v>1</v>
      </c>
      <c r="W18" s="62">
        <f t="shared" si="2"/>
        <v>1</v>
      </c>
      <c r="X18" s="62">
        <f t="shared" si="2"/>
        <v>1</v>
      </c>
      <c r="Y18" s="62">
        <f t="shared" si="2"/>
        <v>1</v>
      </c>
      <c r="Z18" s="62">
        <f t="shared" si="2"/>
        <v>1</v>
      </c>
      <c r="AA18" s="62">
        <f t="shared" si="2"/>
        <v>1</v>
      </c>
      <c r="AB18" s="63">
        <f t="shared" si="2"/>
        <v>1</v>
      </c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62">
        <f t="shared" si="3"/>
        <v>1</v>
      </c>
      <c r="AH18" s="62">
        <f t="shared" si="3"/>
        <v>1</v>
      </c>
      <c r="AI18" s="62">
        <f t="shared" si="3"/>
        <v>1</v>
      </c>
      <c r="AJ18" s="63">
        <f t="shared" si="3"/>
        <v>1</v>
      </c>
      <c r="AK18" s="61">
        <v>1</v>
      </c>
      <c r="AL18" s="62">
        <f t="shared" si="4"/>
        <v>1</v>
      </c>
      <c r="AM18" s="62">
        <f t="shared" si="4"/>
        <v>1</v>
      </c>
      <c r="AN18" s="62">
        <f t="shared" si="4"/>
        <v>1</v>
      </c>
      <c r="AO18" s="62">
        <f t="shared" si="4"/>
        <v>1</v>
      </c>
      <c r="AP18" s="62">
        <f t="shared" si="4"/>
        <v>1</v>
      </c>
      <c r="AQ18" s="62">
        <f t="shared" si="4"/>
        <v>1</v>
      </c>
      <c r="AR18" s="63">
        <f t="shared" si="4"/>
        <v>1</v>
      </c>
      <c r="AS18" s="61">
        <v>1</v>
      </c>
      <c r="AT18" s="62">
        <f t="shared" si="5"/>
        <v>1</v>
      </c>
      <c r="AU18" s="62">
        <f t="shared" si="5"/>
        <v>1</v>
      </c>
      <c r="AV18" s="62">
        <f t="shared" si="5"/>
        <v>1</v>
      </c>
      <c r="AW18" s="62">
        <f t="shared" si="5"/>
        <v>1</v>
      </c>
      <c r="AX18" s="62">
        <f t="shared" si="5"/>
        <v>1</v>
      </c>
      <c r="AY18" s="62">
        <f t="shared" si="5"/>
        <v>1</v>
      </c>
      <c r="AZ18" s="63">
        <f t="shared" si="5"/>
        <v>1</v>
      </c>
      <c r="BA18" s="37">
        <f t="shared" si="6"/>
        <v>48</v>
      </c>
      <c r="BB18" s="9">
        <f t="shared" si="7"/>
        <v>428</v>
      </c>
      <c r="BC18" s="10">
        <f t="shared" si="8"/>
        <v>81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420</v>
      </c>
      <c r="E19" s="61" t="s">
        <v>124</v>
      </c>
      <c r="F19" s="62" t="str">
        <f t="shared" si="9"/>
        <v>a</v>
      </c>
      <c r="G19" s="62" t="str">
        <f t="shared" si="9"/>
        <v>a</v>
      </c>
      <c r="H19" s="62" t="str">
        <f t="shared" si="9"/>
        <v>a</v>
      </c>
      <c r="I19" s="62" t="str">
        <f t="shared" si="9"/>
        <v>a</v>
      </c>
      <c r="J19" s="62" t="str">
        <f t="shared" si="9"/>
        <v>a</v>
      </c>
      <c r="K19" s="62" t="str">
        <f t="shared" si="9"/>
        <v>a</v>
      </c>
      <c r="L19" s="63" t="str">
        <f t="shared" si="9"/>
        <v>a</v>
      </c>
      <c r="M19" s="61">
        <v>1</v>
      </c>
      <c r="N19" s="62">
        <f t="shared" si="1"/>
        <v>1</v>
      </c>
      <c r="O19" s="62">
        <f t="shared" si="1"/>
        <v>1</v>
      </c>
      <c r="P19" s="62">
        <f t="shared" si="1"/>
        <v>1</v>
      </c>
      <c r="Q19" s="62">
        <f t="shared" si="1"/>
        <v>1</v>
      </c>
      <c r="R19" s="62">
        <f t="shared" si="1"/>
        <v>1</v>
      </c>
      <c r="S19" s="62">
        <f t="shared" si="1"/>
        <v>1</v>
      </c>
      <c r="T19" s="63">
        <f t="shared" si="1"/>
        <v>1</v>
      </c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62">
        <f t="shared" si="2"/>
        <v>1</v>
      </c>
      <c r="Z19" s="62">
        <f t="shared" si="2"/>
        <v>1</v>
      </c>
      <c r="AA19" s="62">
        <f t="shared" si="2"/>
        <v>1</v>
      </c>
      <c r="AB19" s="63">
        <f t="shared" si="2"/>
        <v>1</v>
      </c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62">
        <f t="shared" si="3"/>
        <v>1</v>
      </c>
      <c r="AH19" s="62">
        <f t="shared" si="3"/>
        <v>1</v>
      </c>
      <c r="AI19" s="62">
        <f t="shared" si="3"/>
        <v>1</v>
      </c>
      <c r="AJ19" s="63">
        <f t="shared" si="3"/>
        <v>1</v>
      </c>
      <c r="AK19" s="61">
        <v>1</v>
      </c>
      <c r="AL19" s="62">
        <f t="shared" si="4"/>
        <v>1</v>
      </c>
      <c r="AM19" s="62">
        <f t="shared" si="4"/>
        <v>1</v>
      </c>
      <c r="AN19" s="62">
        <f t="shared" si="4"/>
        <v>1</v>
      </c>
      <c r="AO19" s="62">
        <f t="shared" si="4"/>
        <v>1</v>
      </c>
      <c r="AP19" s="62">
        <f t="shared" si="4"/>
        <v>1</v>
      </c>
      <c r="AQ19" s="62">
        <f t="shared" si="4"/>
        <v>1</v>
      </c>
      <c r="AR19" s="63">
        <f t="shared" si="4"/>
        <v>1</v>
      </c>
      <c r="AS19" s="61">
        <v>1</v>
      </c>
      <c r="AT19" s="62">
        <f t="shared" si="5"/>
        <v>1</v>
      </c>
      <c r="AU19" s="62">
        <f t="shared" si="5"/>
        <v>1</v>
      </c>
      <c r="AV19" s="62">
        <f t="shared" si="5"/>
        <v>1</v>
      </c>
      <c r="AW19" s="62">
        <f t="shared" si="5"/>
        <v>1</v>
      </c>
      <c r="AX19" s="62">
        <f t="shared" si="5"/>
        <v>1</v>
      </c>
      <c r="AY19" s="62">
        <f t="shared" si="5"/>
        <v>1</v>
      </c>
      <c r="AZ19" s="63">
        <f t="shared" si="5"/>
        <v>1</v>
      </c>
      <c r="BA19" s="37">
        <f t="shared" si="6"/>
        <v>40</v>
      </c>
      <c r="BB19" s="9">
        <f t="shared" si="7"/>
        <v>460</v>
      </c>
      <c r="BC19" s="10">
        <f t="shared" si="8"/>
        <v>87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454</v>
      </c>
      <c r="E20" s="61">
        <v>1</v>
      </c>
      <c r="F20" s="62">
        <f t="shared" si="9"/>
        <v>1</v>
      </c>
      <c r="G20" s="62">
        <f t="shared" si="9"/>
        <v>1</v>
      </c>
      <c r="H20" s="62">
        <f t="shared" si="9"/>
        <v>1</v>
      </c>
      <c r="I20" s="62">
        <f t="shared" si="9"/>
        <v>1</v>
      </c>
      <c r="J20" s="62">
        <f t="shared" si="9"/>
        <v>1</v>
      </c>
      <c r="K20" s="62">
        <f t="shared" si="9"/>
        <v>1</v>
      </c>
      <c r="L20" s="63">
        <f t="shared" si="9"/>
        <v>1</v>
      </c>
      <c r="M20" s="61">
        <v>1</v>
      </c>
      <c r="N20" s="62">
        <f t="shared" si="1"/>
        <v>1</v>
      </c>
      <c r="O20" s="62">
        <f t="shared" si="1"/>
        <v>1</v>
      </c>
      <c r="P20" s="62">
        <f t="shared" si="1"/>
        <v>1</v>
      </c>
      <c r="Q20" s="62">
        <f t="shared" si="1"/>
        <v>1</v>
      </c>
      <c r="R20" s="62">
        <f t="shared" si="1"/>
        <v>1</v>
      </c>
      <c r="S20" s="62">
        <f t="shared" si="1"/>
        <v>1</v>
      </c>
      <c r="T20" s="63">
        <f t="shared" si="1"/>
        <v>1</v>
      </c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62">
        <f t="shared" si="2"/>
        <v>1</v>
      </c>
      <c r="Z20" s="62">
        <f t="shared" si="2"/>
        <v>1</v>
      </c>
      <c r="AA20" s="62">
        <f t="shared" si="2"/>
        <v>1</v>
      </c>
      <c r="AB20" s="63">
        <f t="shared" si="2"/>
        <v>1</v>
      </c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62">
        <f t="shared" si="3"/>
        <v>1</v>
      </c>
      <c r="AH20" s="62">
        <f t="shared" si="3"/>
        <v>1</v>
      </c>
      <c r="AI20" s="62">
        <f t="shared" si="3"/>
        <v>1</v>
      </c>
      <c r="AJ20" s="63">
        <f t="shared" si="3"/>
        <v>1</v>
      </c>
      <c r="AK20" s="61">
        <v>1</v>
      </c>
      <c r="AL20" s="62">
        <f t="shared" si="4"/>
        <v>1</v>
      </c>
      <c r="AM20" s="62">
        <f t="shared" si="4"/>
        <v>1</v>
      </c>
      <c r="AN20" s="62">
        <f t="shared" si="4"/>
        <v>1</v>
      </c>
      <c r="AO20" s="62">
        <f t="shared" si="4"/>
        <v>1</v>
      </c>
      <c r="AP20" s="62">
        <f t="shared" si="4"/>
        <v>1</v>
      </c>
      <c r="AQ20" s="62">
        <f t="shared" si="4"/>
        <v>1</v>
      </c>
      <c r="AR20" s="63">
        <f t="shared" si="4"/>
        <v>1</v>
      </c>
      <c r="AS20" s="61">
        <v>1</v>
      </c>
      <c r="AT20" s="62">
        <f t="shared" si="5"/>
        <v>1</v>
      </c>
      <c r="AU20" s="62">
        <f t="shared" si="5"/>
        <v>1</v>
      </c>
      <c r="AV20" s="62">
        <f t="shared" si="5"/>
        <v>1</v>
      </c>
      <c r="AW20" s="62">
        <f t="shared" si="5"/>
        <v>1</v>
      </c>
      <c r="AX20" s="62">
        <f t="shared" si="5"/>
        <v>1</v>
      </c>
      <c r="AY20" s="62">
        <f t="shared" si="5"/>
        <v>1</v>
      </c>
      <c r="AZ20" s="63">
        <f t="shared" si="5"/>
        <v>1</v>
      </c>
      <c r="BA20" s="37">
        <f t="shared" si="6"/>
        <v>48</v>
      </c>
      <c r="BB20" s="9">
        <f t="shared" si="7"/>
        <v>502</v>
      </c>
      <c r="BC20" s="10">
        <f t="shared" si="8"/>
        <v>95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458</v>
      </c>
      <c r="E21" s="61">
        <v>1</v>
      </c>
      <c r="F21" s="62">
        <f t="shared" si="9"/>
        <v>1</v>
      </c>
      <c r="G21" s="62">
        <f t="shared" si="9"/>
        <v>1</v>
      </c>
      <c r="H21" s="62">
        <f t="shared" si="9"/>
        <v>1</v>
      </c>
      <c r="I21" s="62">
        <f t="shared" si="9"/>
        <v>1</v>
      </c>
      <c r="J21" s="62">
        <f t="shared" si="9"/>
        <v>1</v>
      </c>
      <c r="K21" s="62">
        <f t="shared" si="9"/>
        <v>1</v>
      </c>
      <c r="L21" s="63">
        <f t="shared" si="9"/>
        <v>1</v>
      </c>
      <c r="M21" s="61">
        <v>1</v>
      </c>
      <c r="N21" s="62">
        <f t="shared" si="1"/>
        <v>1</v>
      </c>
      <c r="O21" s="62">
        <f t="shared" si="1"/>
        <v>1</v>
      </c>
      <c r="P21" s="62">
        <f t="shared" si="1"/>
        <v>1</v>
      </c>
      <c r="Q21" s="62">
        <f t="shared" si="1"/>
        <v>1</v>
      </c>
      <c r="R21" s="62">
        <f t="shared" si="1"/>
        <v>1</v>
      </c>
      <c r="S21" s="62">
        <f t="shared" si="1"/>
        <v>1</v>
      </c>
      <c r="T21" s="63">
        <f t="shared" si="1"/>
        <v>1</v>
      </c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62">
        <f t="shared" si="2"/>
        <v>1</v>
      </c>
      <c r="Z21" s="62">
        <f t="shared" si="2"/>
        <v>1</v>
      </c>
      <c r="AA21" s="62">
        <f t="shared" si="2"/>
        <v>1</v>
      </c>
      <c r="AB21" s="63">
        <f t="shared" si="2"/>
        <v>1</v>
      </c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62">
        <f t="shared" si="3"/>
        <v>1</v>
      </c>
      <c r="AH21" s="62">
        <f t="shared" si="3"/>
        <v>1</v>
      </c>
      <c r="AI21" s="62">
        <f t="shared" si="3"/>
        <v>1</v>
      </c>
      <c r="AJ21" s="63">
        <f t="shared" si="3"/>
        <v>1</v>
      </c>
      <c r="AK21" s="61">
        <v>1</v>
      </c>
      <c r="AL21" s="62">
        <f t="shared" si="4"/>
        <v>1</v>
      </c>
      <c r="AM21" s="62">
        <f t="shared" si="4"/>
        <v>1</v>
      </c>
      <c r="AN21" s="62">
        <f t="shared" si="4"/>
        <v>1</v>
      </c>
      <c r="AO21" s="62">
        <f t="shared" si="4"/>
        <v>1</v>
      </c>
      <c r="AP21" s="62">
        <f t="shared" si="4"/>
        <v>1</v>
      </c>
      <c r="AQ21" s="62">
        <f t="shared" si="4"/>
        <v>1</v>
      </c>
      <c r="AR21" s="63">
        <f t="shared" si="4"/>
        <v>1</v>
      </c>
      <c r="AS21" s="61">
        <v>1</v>
      </c>
      <c r="AT21" s="62">
        <f t="shared" si="5"/>
        <v>1</v>
      </c>
      <c r="AU21" s="62">
        <f t="shared" si="5"/>
        <v>1</v>
      </c>
      <c r="AV21" s="62">
        <f t="shared" si="5"/>
        <v>1</v>
      </c>
      <c r="AW21" s="62">
        <f t="shared" si="5"/>
        <v>1</v>
      </c>
      <c r="AX21" s="62">
        <f t="shared" si="5"/>
        <v>1</v>
      </c>
      <c r="AY21" s="62">
        <f t="shared" si="5"/>
        <v>1</v>
      </c>
      <c r="AZ21" s="63">
        <f t="shared" si="5"/>
        <v>1</v>
      </c>
      <c r="BA21" s="37">
        <f t="shared" si="6"/>
        <v>48</v>
      </c>
      <c r="BB21" s="9">
        <f t="shared" si="7"/>
        <v>506</v>
      </c>
      <c r="BC21" s="10">
        <f t="shared" si="8"/>
        <v>96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478</v>
      </c>
      <c r="E22" s="61">
        <v>1</v>
      </c>
      <c r="F22" s="62">
        <f t="shared" si="9"/>
        <v>1</v>
      </c>
      <c r="G22" s="62">
        <f t="shared" si="9"/>
        <v>1</v>
      </c>
      <c r="H22" s="62">
        <f t="shared" si="9"/>
        <v>1</v>
      </c>
      <c r="I22" s="62">
        <f t="shared" si="9"/>
        <v>1</v>
      </c>
      <c r="J22" s="62">
        <f t="shared" si="9"/>
        <v>1</v>
      </c>
      <c r="K22" s="62">
        <f t="shared" si="9"/>
        <v>1</v>
      </c>
      <c r="L22" s="63">
        <f t="shared" si="9"/>
        <v>1</v>
      </c>
      <c r="M22" s="61">
        <v>1</v>
      </c>
      <c r="N22" s="62">
        <f t="shared" si="1"/>
        <v>1</v>
      </c>
      <c r="O22" s="62">
        <f t="shared" si="1"/>
        <v>1</v>
      </c>
      <c r="P22" s="62">
        <f t="shared" si="1"/>
        <v>1</v>
      </c>
      <c r="Q22" s="62">
        <f t="shared" si="1"/>
        <v>1</v>
      </c>
      <c r="R22" s="62">
        <f t="shared" si="1"/>
        <v>1</v>
      </c>
      <c r="S22" s="62">
        <f t="shared" si="1"/>
        <v>1</v>
      </c>
      <c r="T22" s="63">
        <f t="shared" si="1"/>
        <v>1</v>
      </c>
      <c r="U22" s="61">
        <v>1</v>
      </c>
      <c r="V22" s="62">
        <f t="shared" si="2"/>
        <v>1</v>
      </c>
      <c r="W22" s="62">
        <f t="shared" si="2"/>
        <v>1</v>
      </c>
      <c r="X22" s="62">
        <f t="shared" si="2"/>
        <v>1</v>
      </c>
      <c r="Y22" s="62">
        <f t="shared" si="2"/>
        <v>1</v>
      </c>
      <c r="Z22" s="62">
        <f t="shared" si="2"/>
        <v>1</v>
      </c>
      <c r="AA22" s="62">
        <f t="shared" si="2"/>
        <v>1</v>
      </c>
      <c r="AB22" s="63">
        <f t="shared" si="2"/>
        <v>1</v>
      </c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62">
        <f t="shared" si="3"/>
        <v>1</v>
      </c>
      <c r="AH22" s="62">
        <f t="shared" si="3"/>
        <v>1</v>
      </c>
      <c r="AI22" s="62">
        <f t="shared" si="3"/>
        <v>1</v>
      </c>
      <c r="AJ22" s="63">
        <f t="shared" si="3"/>
        <v>1</v>
      </c>
      <c r="AK22" s="61">
        <v>1</v>
      </c>
      <c r="AL22" s="62">
        <f t="shared" si="4"/>
        <v>1</v>
      </c>
      <c r="AM22" s="62">
        <f t="shared" si="4"/>
        <v>1</v>
      </c>
      <c r="AN22" s="62">
        <f t="shared" si="4"/>
        <v>1</v>
      </c>
      <c r="AO22" s="62">
        <f t="shared" si="4"/>
        <v>1</v>
      </c>
      <c r="AP22" s="62">
        <f t="shared" si="4"/>
        <v>1</v>
      </c>
      <c r="AQ22" s="62">
        <f t="shared" si="4"/>
        <v>1</v>
      </c>
      <c r="AR22" s="63">
        <f t="shared" si="4"/>
        <v>1</v>
      </c>
      <c r="AS22" s="61">
        <v>1</v>
      </c>
      <c r="AT22" s="62">
        <f t="shared" si="5"/>
        <v>1</v>
      </c>
      <c r="AU22" s="62">
        <f t="shared" si="5"/>
        <v>1</v>
      </c>
      <c r="AV22" s="62">
        <f t="shared" si="5"/>
        <v>1</v>
      </c>
      <c r="AW22" s="62">
        <f t="shared" si="5"/>
        <v>1</v>
      </c>
      <c r="AX22" s="62">
        <f t="shared" si="5"/>
        <v>1</v>
      </c>
      <c r="AY22" s="62">
        <f t="shared" si="5"/>
        <v>1</v>
      </c>
      <c r="AZ22" s="63">
        <f t="shared" si="5"/>
        <v>1</v>
      </c>
      <c r="BA22" s="37">
        <f t="shared" si="6"/>
        <v>48</v>
      </c>
      <c r="BB22" s="9">
        <f t="shared" si="7"/>
        <v>526</v>
      </c>
      <c r="BC22" s="10">
        <f t="shared" si="8"/>
        <v>100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472</v>
      </c>
      <c r="E23" s="61">
        <v>1</v>
      </c>
      <c r="F23" s="62">
        <f t="shared" si="9"/>
        <v>1</v>
      </c>
      <c r="G23" s="62">
        <f t="shared" si="9"/>
        <v>1</v>
      </c>
      <c r="H23" s="62">
        <f t="shared" si="9"/>
        <v>1</v>
      </c>
      <c r="I23" s="62">
        <f t="shared" si="9"/>
        <v>1</v>
      </c>
      <c r="J23" s="62">
        <f t="shared" si="9"/>
        <v>1</v>
      </c>
      <c r="K23" s="62">
        <f t="shared" si="9"/>
        <v>1</v>
      </c>
      <c r="L23" s="63">
        <f t="shared" si="9"/>
        <v>1</v>
      </c>
      <c r="M23" s="61">
        <v>1</v>
      </c>
      <c r="N23" s="62">
        <f t="shared" si="1"/>
        <v>1</v>
      </c>
      <c r="O23" s="62">
        <f t="shared" si="1"/>
        <v>1</v>
      </c>
      <c r="P23" s="62">
        <f t="shared" si="1"/>
        <v>1</v>
      </c>
      <c r="Q23" s="62">
        <f t="shared" si="1"/>
        <v>1</v>
      </c>
      <c r="R23" s="62">
        <f t="shared" si="1"/>
        <v>1</v>
      </c>
      <c r="S23" s="62">
        <f t="shared" si="1"/>
        <v>1</v>
      </c>
      <c r="T23" s="63">
        <f t="shared" si="1"/>
        <v>1</v>
      </c>
      <c r="U23" s="61">
        <v>1</v>
      </c>
      <c r="V23" s="62">
        <f t="shared" si="2"/>
        <v>1</v>
      </c>
      <c r="W23" s="62">
        <f t="shared" si="2"/>
        <v>1</v>
      </c>
      <c r="X23" s="62">
        <f t="shared" si="2"/>
        <v>1</v>
      </c>
      <c r="Y23" s="62">
        <f t="shared" si="2"/>
        <v>1</v>
      </c>
      <c r="Z23" s="62">
        <f t="shared" si="2"/>
        <v>1</v>
      </c>
      <c r="AA23" s="62">
        <f t="shared" si="2"/>
        <v>1</v>
      </c>
      <c r="AB23" s="63">
        <f t="shared" si="2"/>
        <v>1</v>
      </c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62">
        <f t="shared" si="3"/>
        <v>1</v>
      </c>
      <c r="AH23" s="62">
        <f t="shared" si="3"/>
        <v>1</v>
      </c>
      <c r="AI23" s="62">
        <f t="shared" si="3"/>
        <v>1</v>
      </c>
      <c r="AJ23" s="63">
        <f t="shared" si="3"/>
        <v>1</v>
      </c>
      <c r="AK23" s="61">
        <v>1</v>
      </c>
      <c r="AL23" s="62">
        <f t="shared" si="4"/>
        <v>1</v>
      </c>
      <c r="AM23" s="62">
        <f t="shared" si="4"/>
        <v>1</v>
      </c>
      <c r="AN23" s="62">
        <f t="shared" si="4"/>
        <v>1</v>
      </c>
      <c r="AO23" s="62">
        <f t="shared" si="4"/>
        <v>1</v>
      </c>
      <c r="AP23" s="62">
        <f t="shared" si="4"/>
        <v>1</v>
      </c>
      <c r="AQ23" s="62">
        <f t="shared" si="4"/>
        <v>1</v>
      </c>
      <c r="AR23" s="63">
        <f t="shared" si="4"/>
        <v>1</v>
      </c>
      <c r="AS23" s="61">
        <v>1</v>
      </c>
      <c r="AT23" s="62">
        <f t="shared" si="5"/>
        <v>1</v>
      </c>
      <c r="AU23" s="62">
        <f t="shared" si="5"/>
        <v>1</v>
      </c>
      <c r="AV23" s="62">
        <f t="shared" si="5"/>
        <v>1</v>
      </c>
      <c r="AW23" s="62">
        <f t="shared" si="5"/>
        <v>1</v>
      </c>
      <c r="AX23" s="62">
        <f t="shared" si="5"/>
        <v>1</v>
      </c>
      <c r="AY23" s="62">
        <f t="shared" si="5"/>
        <v>1</v>
      </c>
      <c r="AZ23" s="63">
        <f t="shared" si="5"/>
        <v>1</v>
      </c>
      <c r="BA23" s="37">
        <f t="shared" si="6"/>
        <v>48</v>
      </c>
      <c r="BB23" s="9">
        <f t="shared" si="7"/>
        <v>520</v>
      </c>
      <c r="BC23" s="10">
        <f t="shared" si="8"/>
        <v>99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432</v>
      </c>
      <c r="E24" s="61" t="s">
        <v>124</v>
      </c>
      <c r="F24" s="62" t="str">
        <f t="shared" si="9"/>
        <v>a</v>
      </c>
      <c r="G24" s="62" t="str">
        <f t="shared" si="9"/>
        <v>a</v>
      </c>
      <c r="H24" s="62" t="str">
        <f t="shared" si="9"/>
        <v>a</v>
      </c>
      <c r="I24" s="62" t="str">
        <f t="shared" si="9"/>
        <v>a</v>
      </c>
      <c r="J24" s="62" t="str">
        <f t="shared" si="9"/>
        <v>a</v>
      </c>
      <c r="K24" s="62" t="str">
        <f t="shared" si="9"/>
        <v>a</v>
      </c>
      <c r="L24" s="63" t="str">
        <f t="shared" si="9"/>
        <v>a</v>
      </c>
      <c r="M24" s="61">
        <v>1</v>
      </c>
      <c r="N24" s="62">
        <f t="shared" si="1"/>
        <v>1</v>
      </c>
      <c r="O24" s="62">
        <f t="shared" si="1"/>
        <v>1</v>
      </c>
      <c r="P24" s="62">
        <f t="shared" si="1"/>
        <v>1</v>
      </c>
      <c r="Q24" s="62">
        <f t="shared" si="1"/>
        <v>1</v>
      </c>
      <c r="R24" s="62">
        <f t="shared" si="1"/>
        <v>1</v>
      </c>
      <c r="S24" s="62">
        <f t="shared" si="1"/>
        <v>1</v>
      </c>
      <c r="T24" s="63">
        <f t="shared" si="1"/>
        <v>1</v>
      </c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62">
        <f t="shared" si="2"/>
        <v>1</v>
      </c>
      <c r="Z24" s="62">
        <f t="shared" si="2"/>
        <v>1</v>
      </c>
      <c r="AA24" s="62">
        <f t="shared" si="2"/>
        <v>1</v>
      </c>
      <c r="AB24" s="63">
        <f t="shared" si="2"/>
        <v>1</v>
      </c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62">
        <f t="shared" si="3"/>
        <v>1</v>
      </c>
      <c r="AH24" s="62">
        <f t="shared" si="3"/>
        <v>1</v>
      </c>
      <c r="AI24" s="62">
        <f t="shared" si="3"/>
        <v>1</v>
      </c>
      <c r="AJ24" s="63">
        <f t="shared" si="3"/>
        <v>1</v>
      </c>
      <c r="AK24" s="61">
        <v>1</v>
      </c>
      <c r="AL24" s="62">
        <f t="shared" si="4"/>
        <v>1</v>
      </c>
      <c r="AM24" s="62">
        <f t="shared" si="4"/>
        <v>1</v>
      </c>
      <c r="AN24" s="62">
        <f t="shared" si="4"/>
        <v>1</v>
      </c>
      <c r="AO24" s="62">
        <f t="shared" si="4"/>
        <v>1</v>
      </c>
      <c r="AP24" s="62">
        <f t="shared" si="4"/>
        <v>1</v>
      </c>
      <c r="AQ24" s="62">
        <f t="shared" si="4"/>
        <v>1</v>
      </c>
      <c r="AR24" s="63">
        <f t="shared" si="4"/>
        <v>1</v>
      </c>
      <c r="AS24" s="61">
        <v>1</v>
      </c>
      <c r="AT24" s="62">
        <f t="shared" si="5"/>
        <v>1</v>
      </c>
      <c r="AU24" s="62">
        <f t="shared" si="5"/>
        <v>1</v>
      </c>
      <c r="AV24" s="62">
        <f t="shared" si="5"/>
        <v>1</v>
      </c>
      <c r="AW24" s="62">
        <f t="shared" si="5"/>
        <v>1</v>
      </c>
      <c r="AX24" s="62">
        <f t="shared" si="5"/>
        <v>1</v>
      </c>
      <c r="AY24" s="62">
        <f t="shared" si="5"/>
        <v>1</v>
      </c>
      <c r="AZ24" s="63">
        <f t="shared" si="5"/>
        <v>1</v>
      </c>
      <c r="BA24" s="37">
        <f t="shared" si="6"/>
        <v>40</v>
      </c>
      <c r="BB24" s="9">
        <f t="shared" si="7"/>
        <v>472</v>
      </c>
      <c r="BC24" s="10">
        <f t="shared" si="8"/>
        <v>90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422</v>
      </c>
      <c r="E25" s="61">
        <v>1</v>
      </c>
      <c r="F25" s="62">
        <f t="shared" si="9"/>
        <v>1</v>
      </c>
      <c r="G25" s="62">
        <f t="shared" si="9"/>
        <v>1</v>
      </c>
      <c r="H25" s="62">
        <f t="shared" si="9"/>
        <v>1</v>
      </c>
      <c r="I25" s="62">
        <f t="shared" si="9"/>
        <v>1</v>
      </c>
      <c r="J25" s="62">
        <f t="shared" si="9"/>
        <v>1</v>
      </c>
      <c r="K25" s="62">
        <f t="shared" si="9"/>
        <v>1</v>
      </c>
      <c r="L25" s="63">
        <f t="shared" si="9"/>
        <v>1</v>
      </c>
      <c r="M25" s="61">
        <v>1</v>
      </c>
      <c r="N25" s="62">
        <f t="shared" si="1"/>
        <v>1</v>
      </c>
      <c r="O25" s="62">
        <f t="shared" si="1"/>
        <v>1</v>
      </c>
      <c r="P25" s="62">
        <f t="shared" si="1"/>
        <v>1</v>
      </c>
      <c r="Q25" s="62">
        <f t="shared" si="1"/>
        <v>1</v>
      </c>
      <c r="R25" s="62">
        <f t="shared" si="1"/>
        <v>1</v>
      </c>
      <c r="S25" s="62">
        <f t="shared" si="1"/>
        <v>1</v>
      </c>
      <c r="T25" s="63">
        <f t="shared" si="1"/>
        <v>1</v>
      </c>
      <c r="U25" s="61">
        <v>1</v>
      </c>
      <c r="V25" s="62">
        <f t="shared" si="2"/>
        <v>1</v>
      </c>
      <c r="W25" s="62">
        <f t="shared" si="2"/>
        <v>1</v>
      </c>
      <c r="X25" s="62">
        <f t="shared" si="2"/>
        <v>1</v>
      </c>
      <c r="Y25" s="62">
        <f t="shared" si="2"/>
        <v>1</v>
      </c>
      <c r="Z25" s="62">
        <f t="shared" si="2"/>
        <v>1</v>
      </c>
      <c r="AA25" s="62">
        <f t="shared" si="2"/>
        <v>1</v>
      </c>
      <c r="AB25" s="63">
        <f t="shared" si="2"/>
        <v>1</v>
      </c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62">
        <f t="shared" si="3"/>
        <v>1</v>
      </c>
      <c r="AH25" s="62">
        <f t="shared" si="3"/>
        <v>1</v>
      </c>
      <c r="AI25" s="62">
        <f t="shared" si="3"/>
        <v>1</v>
      </c>
      <c r="AJ25" s="63">
        <f t="shared" si="3"/>
        <v>1</v>
      </c>
      <c r="AK25" s="61">
        <v>1</v>
      </c>
      <c r="AL25" s="62">
        <f t="shared" si="4"/>
        <v>1</v>
      </c>
      <c r="AM25" s="62">
        <f t="shared" si="4"/>
        <v>1</v>
      </c>
      <c r="AN25" s="62">
        <f t="shared" si="4"/>
        <v>1</v>
      </c>
      <c r="AO25" s="62">
        <f t="shared" si="4"/>
        <v>1</v>
      </c>
      <c r="AP25" s="62">
        <f t="shared" si="4"/>
        <v>1</v>
      </c>
      <c r="AQ25" s="62">
        <f t="shared" si="4"/>
        <v>1</v>
      </c>
      <c r="AR25" s="63">
        <f t="shared" si="4"/>
        <v>1</v>
      </c>
      <c r="AS25" s="61">
        <v>1</v>
      </c>
      <c r="AT25" s="62">
        <f t="shared" si="5"/>
        <v>1</v>
      </c>
      <c r="AU25" s="62">
        <f t="shared" si="5"/>
        <v>1</v>
      </c>
      <c r="AV25" s="62">
        <f t="shared" si="5"/>
        <v>1</v>
      </c>
      <c r="AW25" s="62">
        <f t="shared" si="5"/>
        <v>1</v>
      </c>
      <c r="AX25" s="62">
        <f t="shared" si="5"/>
        <v>1</v>
      </c>
      <c r="AY25" s="62">
        <f t="shared" si="5"/>
        <v>1</v>
      </c>
      <c r="AZ25" s="63">
        <f t="shared" si="5"/>
        <v>1</v>
      </c>
      <c r="BA25" s="37">
        <f t="shared" si="6"/>
        <v>48</v>
      </c>
      <c r="BB25" s="9">
        <f t="shared" si="7"/>
        <v>470</v>
      </c>
      <c r="BC25" s="10">
        <f t="shared" si="8"/>
        <v>89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427</v>
      </c>
      <c r="E26" s="61">
        <v>1</v>
      </c>
      <c r="F26" s="62">
        <f t="shared" si="9"/>
        <v>1</v>
      </c>
      <c r="G26" s="62">
        <f t="shared" si="9"/>
        <v>1</v>
      </c>
      <c r="H26" s="62">
        <f t="shared" si="9"/>
        <v>1</v>
      </c>
      <c r="I26" s="62">
        <f t="shared" si="9"/>
        <v>1</v>
      </c>
      <c r="J26" s="62">
        <f t="shared" si="9"/>
        <v>1</v>
      </c>
      <c r="K26" s="62">
        <f t="shared" si="9"/>
        <v>1</v>
      </c>
      <c r="L26" s="63">
        <f t="shared" si="9"/>
        <v>1</v>
      </c>
      <c r="M26" s="61">
        <v>1</v>
      </c>
      <c r="N26" s="62">
        <f t="shared" ref="N26:T41" si="10">M26</f>
        <v>1</v>
      </c>
      <c r="O26" s="62">
        <f t="shared" si="10"/>
        <v>1</v>
      </c>
      <c r="P26" s="62">
        <f t="shared" si="10"/>
        <v>1</v>
      </c>
      <c r="Q26" s="62">
        <f t="shared" si="10"/>
        <v>1</v>
      </c>
      <c r="R26" s="62">
        <f t="shared" si="10"/>
        <v>1</v>
      </c>
      <c r="S26" s="62">
        <f t="shared" si="10"/>
        <v>1</v>
      </c>
      <c r="T26" s="63">
        <f t="shared" si="10"/>
        <v>1</v>
      </c>
      <c r="U26" s="61" t="s">
        <v>124</v>
      </c>
      <c r="V26" s="62" t="str">
        <f t="shared" ref="V26:AB41" si="11">U26</f>
        <v>a</v>
      </c>
      <c r="W26" s="62" t="str">
        <f t="shared" si="11"/>
        <v>a</v>
      </c>
      <c r="X26" s="62" t="str">
        <f t="shared" si="11"/>
        <v>a</v>
      </c>
      <c r="Y26" s="62" t="str">
        <f t="shared" si="11"/>
        <v>a</v>
      </c>
      <c r="Z26" s="62" t="str">
        <f t="shared" si="11"/>
        <v>a</v>
      </c>
      <c r="AA26" s="62" t="str">
        <f t="shared" si="11"/>
        <v>a</v>
      </c>
      <c r="AB26" s="63" t="str">
        <f t="shared" si="11"/>
        <v>a</v>
      </c>
      <c r="AC26" s="61">
        <v>1</v>
      </c>
      <c r="AD26" s="62">
        <f t="shared" ref="AD26:AJ41" si="12">AC26</f>
        <v>1</v>
      </c>
      <c r="AE26" s="62">
        <f t="shared" si="12"/>
        <v>1</v>
      </c>
      <c r="AF26" s="62">
        <f t="shared" si="12"/>
        <v>1</v>
      </c>
      <c r="AG26" s="62">
        <f t="shared" si="12"/>
        <v>1</v>
      </c>
      <c r="AH26" s="62">
        <f t="shared" si="12"/>
        <v>1</v>
      </c>
      <c r="AI26" s="62">
        <f t="shared" si="12"/>
        <v>1</v>
      </c>
      <c r="AJ26" s="63">
        <f t="shared" si="12"/>
        <v>1</v>
      </c>
      <c r="AK26" s="61">
        <v>1</v>
      </c>
      <c r="AL26" s="62">
        <f t="shared" ref="AL26:AR41" si="13">AK26</f>
        <v>1</v>
      </c>
      <c r="AM26" s="62">
        <f t="shared" si="13"/>
        <v>1</v>
      </c>
      <c r="AN26" s="62">
        <f t="shared" si="13"/>
        <v>1</v>
      </c>
      <c r="AO26" s="62">
        <f t="shared" si="13"/>
        <v>1</v>
      </c>
      <c r="AP26" s="62">
        <f t="shared" si="13"/>
        <v>1</v>
      </c>
      <c r="AQ26" s="62">
        <f t="shared" si="13"/>
        <v>1</v>
      </c>
      <c r="AR26" s="63">
        <f t="shared" si="13"/>
        <v>1</v>
      </c>
      <c r="AS26" s="61">
        <v>1</v>
      </c>
      <c r="AT26" s="62">
        <f t="shared" ref="AT26:AZ41" si="14">AS26</f>
        <v>1</v>
      </c>
      <c r="AU26" s="62">
        <f t="shared" si="14"/>
        <v>1</v>
      </c>
      <c r="AV26" s="62">
        <f t="shared" si="14"/>
        <v>1</v>
      </c>
      <c r="AW26" s="62">
        <f t="shared" si="14"/>
        <v>1</v>
      </c>
      <c r="AX26" s="62">
        <f t="shared" si="14"/>
        <v>1</v>
      </c>
      <c r="AY26" s="62">
        <f t="shared" si="14"/>
        <v>1</v>
      </c>
      <c r="AZ26" s="63">
        <f t="shared" si="14"/>
        <v>1</v>
      </c>
      <c r="BA26" s="37">
        <f t="shared" si="6"/>
        <v>40</v>
      </c>
      <c r="BB26" s="9">
        <f t="shared" si="7"/>
        <v>467</v>
      </c>
      <c r="BC26" s="10">
        <f t="shared" si="8"/>
        <v>89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446</v>
      </c>
      <c r="E27" s="61">
        <v>1</v>
      </c>
      <c r="F27" s="62">
        <f t="shared" si="9"/>
        <v>1</v>
      </c>
      <c r="G27" s="62">
        <f t="shared" si="9"/>
        <v>1</v>
      </c>
      <c r="H27" s="62">
        <f t="shared" si="9"/>
        <v>1</v>
      </c>
      <c r="I27" s="62">
        <f t="shared" si="9"/>
        <v>1</v>
      </c>
      <c r="J27" s="62">
        <f t="shared" si="9"/>
        <v>1</v>
      </c>
      <c r="K27" s="62">
        <f t="shared" si="9"/>
        <v>1</v>
      </c>
      <c r="L27" s="63">
        <f t="shared" si="9"/>
        <v>1</v>
      </c>
      <c r="M27" s="61">
        <v>1</v>
      </c>
      <c r="N27" s="62">
        <f t="shared" si="10"/>
        <v>1</v>
      </c>
      <c r="O27" s="62">
        <f t="shared" si="10"/>
        <v>1</v>
      </c>
      <c r="P27" s="62">
        <f t="shared" si="10"/>
        <v>1</v>
      </c>
      <c r="Q27" s="62">
        <f t="shared" si="10"/>
        <v>1</v>
      </c>
      <c r="R27" s="62">
        <f t="shared" si="10"/>
        <v>1</v>
      </c>
      <c r="S27" s="62">
        <f t="shared" si="10"/>
        <v>1</v>
      </c>
      <c r="T27" s="63">
        <f t="shared" si="10"/>
        <v>1</v>
      </c>
      <c r="U27" s="61">
        <v>1</v>
      </c>
      <c r="V27" s="62">
        <f t="shared" si="11"/>
        <v>1</v>
      </c>
      <c r="W27" s="62">
        <f t="shared" si="11"/>
        <v>1</v>
      </c>
      <c r="X27" s="62">
        <f t="shared" si="11"/>
        <v>1</v>
      </c>
      <c r="Y27" s="62">
        <f t="shared" si="11"/>
        <v>1</v>
      </c>
      <c r="Z27" s="62">
        <f t="shared" si="11"/>
        <v>1</v>
      </c>
      <c r="AA27" s="62">
        <f t="shared" si="11"/>
        <v>1</v>
      </c>
      <c r="AB27" s="63">
        <f t="shared" si="11"/>
        <v>1</v>
      </c>
      <c r="AC27" s="61">
        <v>1</v>
      </c>
      <c r="AD27" s="62">
        <f t="shared" si="12"/>
        <v>1</v>
      </c>
      <c r="AE27" s="62">
        <f t="shared" si="12"/>
        <v>1</v>
      </c>
      <c r="AF27" s="62">
        <f t="shared" si="12"/>
        <v>1</v>
      </c>
      <c r="AG27" s="62">
        <f t="shared" si="12"/>
        <v>1</v>
      </c>
      <c r="AH27" s="62">
        <f t="shared" si="12"/>
        <v>1</v>
      </c>
      <c r="AI27" s="62">
        <f t="shared" si="12"/>
        <v>1</v>
      </c>
      <c r="AJ27" s="63">
        <f t="shared" si="12"/>
        <v>1</v>
      </c>
      <c r="AK27" s="61">
        <v>1</v>
      </c>
      <c r="AL27" s="62">
        <f t="shared" si="13"/>
        <v>1</v>
      </c>
      <c r="AM27" s="62">
        <f t="shared" si="13"/>
        <v>1</v>
      </c>
      <c r="AN27" s="62">
        <f t="shared" si="13"/>
        <v>1</v>
      </c>
      <c r="AO27" s="62">
        <f t="shared" si="13"/>
        <v>1</v>
      </c>
      <c r="AP27" s="62">
        <f t="shared" si="13"/>
        <v>1</v>
      </c>
      <c r="AQ27" s="62">
        <f t="shared" si="13"/>
        <v>1</v>
      </c>
      <c r="AR27" s="63">
        <f t="shared" si="13"/>
        <v>1</v>
      </c>
      <c r="AS27" s="61">
        <v>1</v>
      </c>
      <c r="AT27" s="62">
        <f t="shared" si="14"/>
        <v>1</v>
      </c>
      <c r="AU27" s="62">
        <f t="shared" si="14"/>
        <v>1</v>
      </c>
      <c r="AV27" s="62">
        <f t="shared" si="14"/>
        <v>1</v>
      </c>
      <c r="AW27" s="62">
        <f t="shared" si="14"/>
        <v>1</v>
      </c>
      <c r="AX27" s="62">
        <f t="shared" si="14"/>
        <v>1</v>
      </c>
      <c r="AY27" s="62">
        <f t="shared" si="14"/>
        <v>1</v>
      </c>
      <c r="AZ27" s="63">
        <f t="shared" si="14"/>
        <v>1</v>
      </c>
      <c r="BA27" s="37">
        <f t="shared" si="6"/>
        <v>48</v>
      </c>
      <c r="BB27" s="9">
        <f t="shared" si="7"/>
        <v>494</v>
      </c>
      <c r="BC27" s="10">
        <f t="shared" si="8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438</v>
      </c>
      <c r="E28" s="61">
        <v>1</v>
      </c>
      <c r="F28" s="62">
        <f t="shared" ref="F28:L43" si="15">E28</f>
        <v>1</v>
      </c>
      <c r="G28" s="62">
        <f t="shared" si="15"/>
        <v>1</v>
      </c>
      <c r="H28" s="62">
        <f t="shared" si="15"/>
        <v>1</v>
      </c>
      <c r="I28" s="62">
        <f t="shared" si="15"/>
        <v>1</v>
      </c>
      <c r="J28" s="62">
        <f t="shared" si="15"/>
        <v>1</v>
      </c>
      <c r="K28" s="62">
        <f t="shared" si="15"/>
        <v>1</v>
      </c>
      <c r="L28" s="63">
        <f t="shared" si="15"/>
        <v>1</v>
      </c>
      <c r="M28" s="61">
        <v>1</v>
      </c>
      <c r="N28" s="62">
        <f t="shared" si="10"/>
        <v>1</v>
      </c>
      <c r="O28" s="62">
        <f t="shared" si="10"/>
        <v>1</v>
      </c>
      <c r="P28" s="62">
        <f t="shared" si="10"/>
        <v>1</v>
      </c>
      <c r="Q28" s="62">
        <f t="shared" si="10"/>
        <v>1</v>
      </c>
      <c r="R28" s="62">
        <f t="shared" si="10"/>
        <v>1</v>
      </c>
      <c r="S28" s="62">
        <f t="shared" si="10"/>
        <v>1</v>
      </c>
      <c r="T28" s="63">
        <f t="shared" si="10"/>
        <v>1</v>
      </c>
      <c r="U28" s="61">
        <v>1</v>
      </c>
      <c r="V28" s="62">
        <f t="shared" si="11"/>
        <v>1</v>
      </c>
      <c r="W28" s="62">
        <f t="shared" si="11"/>
        <v>1</v>
      </c>
      <c r="X28" s="62">
        <f t="shared" si="11"/>
        <v>1</v>
      </c>
      <c r="Y28" s="62">
        <f t="shared" si="11"/>
        <v>1</v>
      </c>
      <c r="Z28" s="62">
        <f t="shared" si="11"/>
        <v>1</v>
      </c>
      <c r="AA28" s="62">
        <f t="shared" si="11"/>
        <v>1</v>
      </c>
      <c r="AB28" s="63">
        <f t="shared" si="11"/>
        <v>1</v>
      </c>
      <c r="AC28" s="61">
        <v>1</v>
      </c>
      <c r="AD28" s="62">
        <f t="shared" si="12"/>
        <v>1</v>
      </c>
      <c r="AE28" s="62">
        <f t="shared" si="12"/>
        <v>1</v>
      </c>
      <c r="AF28" s="62">
        <f t="shared" si="12"/>
        <v>1</v>
      </c>
      <c r="AG28" s="62">
        <f t="shared" si="12"/>
        <v>1</v>
      </c>
      <c r="AH28" s="62">
        <f t="shared" si="12"/>
        <v>1</v>
      </c>
      <c r="AI28" s="62">
        <f t="shared" si="12"/>
        <v>1</v>
      </c>
      <c r="AJ28" s="63">
        <f t="shared" si="12"/>
        <v>1</v>
      </c>
      <c r="AK28" s="61">
        <v>1</v>
      </c>
      <c r="AL28" s="62">
        <f t="shared" si="13"/>
        <v>1</v>
      </c>
      <c r="AM28" s="62">
        <f t="shared" si="13"/>
        <v>1</v>
      </c>
      <c r="AN28" s="62">
        <f t="shared" si="13"/>
        <v>1</v>
      </c>
      <c r="AO28" s="62">
        <f t="shared" si="13"/>
        <v>1</v>
      </c>
      <c r="AP28" s="62">
        <f t="shared" si="13"/>
        <v>1</v>
      </c>
      <c r="AQ28" s="62">
        <f t="shared" si="13"/>
        <v>1</v>
      </c>
      <c r="AR28" s="63">
        <f t="shared" si="13"/>
        <v>1</v>
      </c>
      <c r="AS28" s="61">
        <v>1</v>
      </c>
      <c r="AT28" s="62">
        <f t="shared" si="14"/>
        <v>1</v>
      </c>
      <c r="AU28" s="62">
        <f t="shared" si="14"/>
        <v>1</v>
      </c>
      <c r="AV28" s="62">
        <f t="shared" si="14"/>
        <v>1</v>
      </c>
      <c r="AW28" s="62">
        <f t="shared" si="14"/>
        <v>1</v>
      </c>
      <c r="AX28" s="62">
        <f t="shared" si="14"/>
        <v>1</v>
      </c>
      <c r="AY28" s="62">
        <f t="shared" si="14"/>
        <v>1</v>
      </c>
      <c r="AZ28" s="63">
        <f t="shared" si="14"/>
        <v>1</v>
      </c>
      <c r="BA28" s="37">
        <f t="shared" si="6"/>
        <v>48</v>
      </c>
      <c r="BB28" s="9">
        <f t="shared" si="7"/>
        <v>486</v>
      </c>
      <c r="BC28" s="10">
        <f t="shared" si="8"/>
        <v>92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408</v>
      </c>
      <c r="E29" s="61" t="s">
        <v>124</v>
      </c>
      <c r="F29" s="62" t="str">
        <f t="shared" si="15"/>
        <v>a</v>
      </c>
      <c r="G29" s="62" t="str">
        <f t="shared" si="15"/>
        <v>a</v>
      </c>
      <c r="H29" s="62" t="str">
        <f t="shared" si="15"/>
        <v>a</v>
      </c>
      <c r="I29" s="62" t="str">
        <f t="shared" si="15"/>
        <v>a</v>
      </c>
      <c r="J29" s="62" t="str">
        <f t="shared" si="15"/>
        <v>a</v>
      </c>
      <c r="K29" s="62" t="str">
        <f t="shared" si="15"/>
        <v>a</v>
      </c>
      <c r="L29" s="63" t="str">
        <f t="shared" si="15"/>
        <v>a</v>
      </c>
      <c r="M29" s="61" t="s">
        <v>124</v>
      </c>
      <c r="N29" s="62" t="str">
        <f t="shared" si="10"/>
        <v>a</v>
      </c>
      <c r="O29" s="62" t="str">
        <f t="shared" si="10"/>
        <v>a</v>
      </c>
      <c r="P29" s="62" t="str">
        <f t="shared" si="10"/>
        <v>a</v>
      </c>
      <c r="Q29" s="62" t="str">
        <f t="shared" si="10"/>
        <v>a</v>
      </c>
      <c r="R29" s="62" t="str">
        <f t="shared" si="10"/>
        <v>a</v>
      </c>
      <c r="S29" s="62" t="str">
        <f t="shared" si="10"/>
        <v>a</v>
      </c>
      <c r="T29" s="63" t="str">
        <f t="shared" si="10"/>
        <v>a</v>
      </c>
      <c r="U29" s="61">
        <v>1</v>
      </c>
      <c r="V29" s="62">
        <f t="shared" si="11"/>
        <v>1</v>
      </c>
      <c r="W29" s="62">
        <f t="shared" si="11"/>
        <v>1</v>
      </c>
      <c r="X29" s="62">
        <f t="shared" si="11"/>
        <v>1</v>
      </c>
      <c r="Y29" s="62">
        <f t="shared" si="11"/>
        <v>1</v>
      </c>
      <c r="Z29" s="62">
        <f t="shared" si="11"/>
        <v>1</v>
      </c>
      <c r="AA29" s="62">
        <f t="shared" si="11"/>
        <v>1</v>
      </c>
      <c r="AB29" s="63">
        <f t="shared" si="11"/>
        <v>1</v>
      </c>
      <c r="AC29" s="61">
        <v>1</v>
      </c>
      <c r="AD29" s="62">
        <f t="shared" si="12"/>
        <v>1</v>
      </c>
      <c r="AE29" s="62">
        <f t="shared" si="12"/>
        <v>1</v>
      </c>
      <c r="AF29" s="62">
        <f t="shared" si="12"/>
        <v>1</v>
      </c>
      <c r="AG29" s="62">
        <f t="shared" si="12"/>
        <v>1</v>
      </c>
      <c r="AH29" s="62">
        <f t="shared" si="12"/>
        <v>1</v>
      </c>
      <c r="AI29" s="62">
        <f t="shared" si="12"/>
        <v>1</v>
      </c>
      <c r="AJ29" s="63">
        <f t="shared" si="12"/>
        <v>1</v>
      </c>
      <c r="AK29" s="61">
        <v>1</v>
      </c>
      <c r="AL29" s="62">
        <f t="shared" si="13"/>
        <v>1</v>
      </c>
      <c r="AM29" s="62">
        <f t="shared" si="13"/>
        <v>1</v>
      </c>
      <c r="AN29" s="62">
        <f t="shared" si="13"/>
        <v>1</v>
      </c>
      <c r="AO29" s="62">
        <f t="shared" si="13"/>
        <v>1</v>
      </c>
      <c r="AP29" s="62">
        <f t="shared" si="13"/>
        <v>1</v>
      </c>
      <c r="AQ29" s="62">
        <f t="shared" si="13"/>
        <v>1</v>
      </c>
      <c r="AR29" s="63">
        <f t="shared" si="13"/>
        <v>1</v>
      </c>
      <c r="AS29" s="61">
        <v>1</v>
      </c>
      <c r="AT29" s="62">
        <f t="shared" si="14"/>
        <v>1</v>
      </c>
      <c r="AU29" s="62">
        <f t="shared" si="14"/>
        <v>1</v>
      </c>
      <c r="AV29" s="62">
        <f t="shared" si="14"/>
        <v>1</v>
      </c>
      <c r="AW29" s="62">
        <f t="shared" si="14"/>
        <v>1</v>
      </c>
      <c r="AX29" s="62">
        <f t="shared" si="14"/>
        <v>1</v>
      </c>
      <c r="AY29" s="62">
        <f t="shared" si="14"/>
        <v>1</v>
      </c>
      <c r="AZ29" s="63">
        <f t="shared" si="14"/>
        <v>1</v>
      </c>
      <c r="BA29" s="37">
        <f t="shared" si="6"/>
        <v>32</v>
      </c>
      <c r="BB29" s="9">
        <f t="shared" si="7"/>
        <v>440</v>
      </c>
      <c r="BC29" s="10">
        <f t="shared" si="8"/>
        <v>84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440</v>
      </c>
      <c r="E30" s="61">
        <v>1</v>
      </c>
      <c r="F30" s="62">
        <f t="shared" si="15"/>
        <v>1</v>
      </c>
      <c r="G30" s="62">
        <f t="shared" si="15"/>
        <v>1</v>
      </c>
      <c r="H30" s="62">
        <f t="shared" si="15"/>
        <v>1</v>
      </c>
      <c r="I30" s="62">
        <f t="shared" si="15"/>
        <v>1</v>
      </c>
      <c r="J30" s="62">
        <f t="shared" si="15"/>
        <v>1</v>
      </c>
      <c r="K30" s="62">
        <f t="shared" si="15"/>
        <v>1</v>
      </c>
      <c r="L30" s="63">
        <f t="shared" si="15"/>
        <v>1</v>
      </c>
      <c r="M30" s="61">
        <v>1</v>
      </c>
      <c r="N30" s="62">
        <f t="shared" si="10"/>
        <v>1</v>
      </c>
      <c r="O30" s="62">
        <f t="shared" si="10"/>
        <v>1</v>
      </c>
      <c r="P30" s="62">
        <f t="shared" si="10"/>
        <v>1</v>
      </c>
      <c r="Q30" s="62">
        <f t="shared" si="10"/>
        <v>1</v>
      </c>
      <c r="R30" s="62">
        <f t="shared" si="10"/>
        <v>1</v>
      </c>
      <c r="S30" s="62">
        <f t="shared" si="10"/>
        <v>1</v>
      </c>
      <c r="T30" s="63">
        <f t="shared" si="10"/>
        <v>1</v>
      </c>
      <c r="U30" s="61" t="s">
        <v>124</v>
      </c>
      <c r="V30" s="62" t="str">
        <f t="shared" si="11"/>
        <v>a</v>
      </c>
      <c r="W30" s="62" t="str">
        <f t="shared" si="11"/>
        <v>a</v>
      </c>
      <c r="X30" s="62" t="str">
        <f t="shared" si="11"/>
        <v>a</v>
      </c>
      <c r="Y30" s="62" t="str">
        <f t="shared" si="11"/>
        <v>a</v>
      </c>
      <c r="Z30" s="62" t="str">
        <f t="shared" si="11"/>
        <v>a</v>
      </c>
      <c r="AA30" s="62" t="str">
        <f t="shared" si="11"/>
        <v>a</v>
      </c>
      <c r="AB30" s="63" t="str">
        <f t="shared" si="11"/>
        <v>a</v>
      </c>
      <c r="AC30" s="61">
        <v>1</v>
      </c>
      <c r="AD30" s="62">
        <f t="shared" si="12"/>
        <v>1</v>
      </c>
      <c r="AE30" s="62">
        <f t="shared" si="12"/>
        <v>1</v>
      </c>
      <c r="AF30" s="62">
        <f t="shared" si="12"/>
        <v>1</v>
      </c>
      <c r="AG30" s="62">
        <f t="shared" si="12"/>
        <v>1</v>
      </c>
      <c r="AH30" s="62">
        <f t="shared" si="12"/>
        <v>1</v>
      </c>
      <c r="AI30" s="62">
        <f t="shared" si="12"/>
        <v>1</v>
      </c>
      <c r="AJ30" s="63">
        <f t="shared" si="12"/>
        <v>1</v>
      </c>
      <c r="AK30" s="61">
        <v>1</v>
      </c>
      <c r="AL30" s="62">
        <f t="shared" si="13"/>
        <v>1</v>
      </c>
      <c r="AM30" s="62">
        <f t="shared" si="13"/>
        <v>1</v>
      </c>
      <c r="AN30" s="62">
        <f t="shared" si="13"/>
        <v>1</v>
      </c>
      <c r="AO30" s="62">
        <f t="shared" si="13"/>
        <v>1</v>
      </c>
      <c r="AP30" s="62">
        <f t="shared" si="13"/>
        <v>1</v>
      </c>
      <c r="AQ30" s="62">
        <f t="shared" si="13"/>
        <v>1</v>
      </c>
      <c r="AR30" s="63">
        <f t="shared" si="13"/>
        <v>1</v>
      </c>
      <c r="AS30" s="61">
        <v>1</v>
      </c>
      <c r="AT30" s="62">
        <f t="shared" si="14"/>
        <v>1</v>
      </c>
      <c r="AU30" s="62">
        <f t="shared" si="14"/>
        <v>1</v>
      </c>
      <c r="AV30" s="62">
        <f t="shared" si="14"/>
        <v>1</v>
      </c>
      <c r="AW30" s="62">
        <f t="shared" si="14"/>
        <v>1</v>
      </c>
      <c r="AX30" s="62">
        <f t="shared" si="14"/>
        <v>1</v>
      </c>
      <c r="AY30" s="62">
        <f t="shared" si="14"/>
        <v>1</v>
      </c>
      <c r="AZ30" s="63">
        <f t="shared" si="14"/>
        <v>1</v>
      </c>
      <c r="BA30" s="37">
        <f t="shared" si="6"/>
        <v>40</v>
      </c>
      <c r="BB30" s="9">
        <f t="shared" si="7"/>
        <v>480</v>
      </c>
      <c r="BC30" s="10">
        <f t="shared" si="8"/>
        <v>91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438</v>
      </c>
      <c r="E31" s="61">
        <v>1</v>
      </c>
      <c r="F31" s="62">
        <f t="shared" si="15"/>
        <v>1</v>
      </c>
      <c r="G31" s="62">
        <f t="shared" si="15"/>
        <v>1</v>
      </c>
      <c r="H31" s="62">
        <f t="shared" si="15"/>
        <v>1</v>
      </c>
      <c r="I31" s="62">
        <f t="shared" si="15"/>
        <v>1</v>
      </c>
      <c r="J31" s="62">
        <f t="shared" si="15"/>
        <v>1</v>
      </c>
      <c r="K31" s="62">
        <f t="shared" si="15"/>
        <v>1</v>
      </c>
      <c r="L31" s="63">
        <f t="shared" si="15"/>
        <v>1</v>
      </c>
      <c r="M31" s="61">
        <v>1</v>
      </c>
      <c r="N31" s="62">
        <f t="shared" si="10"/>
        <v>1</v>
      </c>
      <c r="O31" s="62">
        <f t="shared" si="10"/>
        <v>1</v>
      </c>
      <c r="P31" s="62">
        <f t="shared" si="10"/>
        <v>1</v>
      </c>
      <c r="Q31" s="62">
        <f t="shared" si="10"/>
        <v>1</v>
      </c>
      <c r="R31" s="62">
        <f t="shared" si="10"/>
        <v>1</v>
      </c>
      <c r="S31" s="62">
        <f t="shared" si="10"/>
        <v>1</v>
      </c>
      <c r="T31" s="63">
        <f t="shared" si="10"/>
        <v>1</v>
      </c>
      <c r="U31" s="61" t="s">
        <v>124</v>
      </c>
      <c r="V31" s="62" t="str">
        <f t="shared" si="11"/>
        <v>a</v>
      </c>
      <c r="W31" s="62" t="str">
        <f t="shared" si="11"/>
        <v>a</v>
      </c>
      <c r="X31" s="62" t="str">
        <f t="shared" si="11"/>
        <v>a</v>
      </c>
      <c r="Y31" s="62" t="str">
        <f t="shared" si="11"/>
        <v>a</v>
      </c>
      <c r="Z31" s="62" t="str">
        <f t="shared" si="11"/>
        <v>a</v>
      </c>
      <c r="AA31" s="62" t="str">
        <f t="shared" si="11"/>
        <v>a</v>
      </c>
      <c r="AB31" s="63" t="str">
        <f t="shared" si="11"/>
        <v>a</v>
      </c>
      <c r="AC31" s="61">
        <v>1</v>
      </c>
      <c r="AD31" s="62">
        <f t="shared" si="12"/>
        <v>1</v>
      </c>
      <c r="AE31" s="62">
        <f t="shared" si="12"/>
        <v>1</v>
      </c>
      <c r="AF31" s="62">
        <f t="shared" si="12"/>
        <v>1</v>
      </c>
      <c r="AG31" s="62">
        <f t="shared" si="12"/>
        <v>1</v>
      </c>
      <c r="AH31" s="62">
        <f t="shared" si="12"/>
        <v>1</v>
      </c>
      <c r="AI31" s="62">
        <f t="shared" si="12"/>
        <v>1</v>
      </c>
      <c r="AJ31" s="63">
        <f t="shared" si="12"/>
        <v>1</v>
      </c>
      <c r="AK31" s="61">
        <v>1</v>
      </c>
      <c r="AL31" s="62">
        <f t="shared" si="13"/>
        <v>1</v>
      </c>
      <c r="AM31" s="62">
        <f t="shared" si="13"/>
        <v>1</v>
      </c>
      <c r="AN31" s="62">
        <f t="shared" si="13"/>
        <v>1</v>
      </c>
      <c r="AO31" s="62">
        <f t="shared" si="13"/>
        <v>1</v>
      </c>
      <c r="AP31" s="62">
        <f t="shared" si="13"/>
        <v>1</v>
      </c>
      <c r="AQ31" s="62">
        <f t="shared" si="13"/>
        <v>1</v>
      </c>
      <c r="AR31" s="63">
        <f t="shared" si="13"/>
        <v>1</v>
      </c>
      <c r="AS31" s="61">
        <v>1</v>
      </c>
      <c r="AT31" s="62">
        <f t="shared" si="14"/>
        <v>1</v>
      </c>
      <c r="AU31" s="62">
        <f t="shared" si="14"/>
        <v>1</v>
      </c>
      <c r="AV31" s="62">
        <f t="shared" si="14"/>
        <v>1</v>
      </c>
      <c r="AW31" s="62">
        <f t="shared" si="14"/>
        <v>1</v>
      </c>
      <c r="AX31" s="62">
        <f t="shared" si="14"/>
        <v>1</v>
      </c>
      <c r="AY31" s="62">
        <f t="shared" si="14"/>
        <v>1</v>
      </c>
      <c r="AZ31" s="63">
        <f t="shared" si="14"/>
        <v>1</v>
      </c>
      <c r="BA31" s="37">
        <f t="shared" si="6"/>
        <v>40</v>
      </c>
      <c r="BB31" s="9">
        <f t="shared" si="7"/>
        <v>478</v>
      </c>
      <c r="BC31" s="10">
        <f t="shared" si="8"/>
        <v>91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429</v>
      </c>
      <c r="E32" s="61">
        <v>1</v>
      </c>
      <c r="F32" s="62">
        <f t="shared" si="15"/>
        <v>1</v>
      </c>
      <c r="G32" s="62">
        <f t="shared" si="15"/>
        <v>1</v>
      </c>
      <c r="H32" s="62">
        <f t="shared" si="15"/>
        <v>1</v>
      </c>
      <c r="I32" s="62">
        <f t="shared" si="15"/>
        <v>1</v>
      </c>
      <c r="J32" s="62">
        <f t="shared" si="15"/>
        <v>1</v>
      </c>
      <c r="K32" s="62">
        <f t="shared" si="15"/>
        <v>1</v>
      </c>
      <c r="L32" s="63">
        <f t="shared" si="15"/>
        <v>1</v>
      </c>
      <c r="M32" s="61">
        <v>1</v>
      </c>
      <c r="N32" s="62">
        <f t="shared" si="10"/>
        <v>1</v>
      </c>
      <c r="O32" s="62">
        <f t="shared" si="10"/>
        <v>1</v>
      </c>
      <c r="P32" s="62">
        <f t="shared" si="10"/>
        <v>1</v>
      </c>
      <c r="Q32" s="62">
        <f t="shared" si="10"/>
        <v>1</v>
      </c>
      <c r="R32" s="62">
        <f t="shared" si="10"/>
        <v>1</v>
      </c>
      <c r="S32" s="62">
        <f t="shared" si="10"/>
        <v>1</v>
      </c>
      <c r="T32" s="63">
        <f t="shared" si="10"/>
        <v>1</v>
      </c>
      <c r="U32" s="61" t="s">
        <v>124</v>
      </c>
      <c r="V32" s="62" t="str">
        <f t="shared" si="11"/>
        <v>a</v>
      </c>
      <c r="W32" s="62" t="str">
        <f t="shared" si="11"/>
        <v>a</v>
      </c>
      <c r="X32" s="62" t="str">
        <f t="shared" si="11"/>
        <v>a</v>
      </c>
      <c r="Y32" s="62" t="str">
        <f t="shared" si="11"/>
        <v>a</v>
      </c>
      <c r="Z32" s="62" t="str">
        <f t="shared" si="11"/>
        <v>a</v>
      </c>
      <c r="AA32" s="62" t="str">
        <f t="shared" si="11"/>
        <v>a</v>
      </c>
      <c r="AB32" s="63" t="str">
        <f t="shared" si="11"/>
        <v>a</v>
      </c>
      <c r="AC32" s="61">
        <v>1</v>
      </c>
      <c r="AD32" s="62">
        <f t="shared" si="12"/>
        <v>1</v>
      </c>
      <c r="AE32" s="62">
        <f t="shared" si="12"/>
        <v>1</v>
      </c>
      <c r="AF32" s="62">
        <f t="shared" si="12"/>
        <v>1</v>
      </c>
      <c r="AG32" s="62">
        <f t="shared" si="12"/>
        <v>1</v>
      </c>
      <c r="AH32" s="62">
        <f t="shared" si="12"/>
        <v>1</v>
      </c>
      <c r="AI32" s="62">
        <f t="shared" si="12"/>
        <v>1</v>
      </c>
      <c r="AJ32" s="63">
        <f t="shared" si="12"/>
        <v>1</v>
      </c>
      <c r="AK32" s="61">
        <v>1</v>
      </c>
      <c r="AL32" s="62">
        <f t="shared" si="13"/>
        <v>1</v>
      </c>
      <c r="AM32" s="62">
        <f t="shared" si="13"/>
        <v>1</v>
      </c>
      <c r="AN32" s="62">
        <f t="shared" si="13"/>
        <v>1</v>
      </c>
      <c r="AO32" s="62">
        <f t="shared" si="13"/>
        <v>1</v>
      </c>
      <c r="AP32" s="62">
        <f t="shared" si="13"/>
        <v>1</v>
      </c>
      <c r="AQ32" s="62">
        <f t="shared" si="13"/>
        <v>1</v>
      </c>
      <c r="AR32" s="63">
        <f t="shared" si="13"/>
        <v>1</v>
      </c>
      <c r="AS32" s="61">
        <v>1</v>
      </c>
      <c r="AT32" s="62">
        <f t="shared" si="14"/>
        <v>1</v>
      </c>
      <c r="AU32" s="62">
        <f t="shared" si="14"/>
        <v>1</v>
      </c>
      <c r="AV32" s="62">
        <f t="shared" si="14"/>
        <v>1</v>
      </c>
      <c r="AW32" s="62">
        <f t="shared" si="14"/>
        <v>1</v>
      </c>
      <c r="AX32" s="62">
        <f t="shared" si="14"/>
        <v>1</v>
      </c>
      <c r="AY32" s="62">
        <f t="shared" si="14"/>
        <v>1</v>
      </c>
      <c r="AZ32" s="63">
        <f t="shared" si="14"/>
        <v>1</v>
      </c>
      <c r="BA32" s="37">
        <f t="shared" si="6"/>
        <v>40</v>
      </c>
      <c r="BB32" s="9">
        <f t="shared" si="7"/>
        <v>469</v>
      </c>
      <c r="BC32" s="10">
        <f t="shared" si="8"/>
        <v>89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448</v>
      </c>
      <c r="E33" s="61">
        <v>1</v>
      </c>
      <c r="F33" s="62">
        <f t="shared" si="15"/>
        <v>1</v>
      </c>
      <c r="G33" s="62">
        <f t="shared" si="15"/>
        <v>1</v>
      </c>
      <c r="H33" s="62">
        <f t="shared" si="15"/>
        <v>1</v>
      </c>
      <c r="I33" s="62">
        <f t="shared" si="15"/>
        <v>1</v>
      </c>
      <c r="J33" s="62">
        <f t="shared" si="15"/>
        <v>1</v>
      </c>
      <c r="K33" s="62">
        <f t="shared" si="15"/>
        <v>1</v>
      </c>
      <c r="L33" s="63">
        <f t="shared" si="15"/>
        <v>1</v>
      </c>
      <c r="M33" s="61">
        <v>1</v>
      </c>
      <c r="N33" s="62">
        <f t="shared" si="10"/>
        <v>1</v>
      </c>
      <c r="O33" s="62">
        <f t="shared" si="10"/>
        <v>1</v>
      </c>
      <c r="P33" s="62">
        <f t="shared" si="10"/>
        <v>1</v>
      </c>
      <c r="Q33" s="62">
        <f t="shared" si="10"/>
        <v>1</v>
      </c>
      <c r="R33" s="62">
        <f t="shared" si="10"/>
        <v>1</v>
      </c>
      <c r="S33" s="62">
        <f t="shared" si="10"/>
        <v>1</v>
      </c>
      <c r="T33" s="63">
        <f t="shared" si="10"/>
        <v>1</v>
      </c>
      <c r="U33" s="61">
        <v>1</v>
      </c>
      <c r="V33" s="62">
        <f t="shared" si="11"/>
        <v>1</v>
      </c>
      <c r="W33" s="62">
        <f t="shared" si="11"/>
        <v>1</v>
      </c>
      <c r="X33" s="62">
        <f t="shared" si="11"/>
        <v>1</v>
      </c>
      <c r="Y33" s="62">
        <f t="shared" si="11"/>
        <v>1</v>
      </c>
      <c r="Z33" s="62">
        <f t="shared" si="11"/>
        <v>1</v>
      </c>
      <c r="AA33" s="62">
        <f t="shared" si="11"/>
        <v>1</v>
      </c>
      <c r="AB33" s="63">
        <f t="shared" si="11"/>
        <v>1</v>
      </c>
      <c r="AC33" s="61">
        <v>1</v>
      </c>
      <c r="AD33" s="62">
        <f t="shared" si="12"/>
        <v>1</v>
      </c>
      <c r="AE33" s="62">
        <f t="shared" si="12"/>
        <v>1</v>
      </c>
      <c r="AF33" s="62">
        <f t="shared" si="12"/>
        <v>1</v>
      </c>
      <c r="AG33" s="62">
        <f t="shared" si="12"/>
        <v>1</v>
      </c>
      <c r="AH33" s="62">
        <f t="shared" si="12"/>
        <v>1</v>
      </c>
      <c r="AI33" s="62">
        <f t="shared" si="12"/>
        <v>1</v>
      </c>
      <c r="AJ33" s="63">
        <f t="shared" si="12"/>
        <v>1</v>
      </c>
      <c r="AK33" s="61">
        <v>1</v>
      </c>
      <c r="AL33" s="62">
        <f t="shared" si="13"/>
        <v>1</v>
      </c>
      <c r="AM33" s="62">
        <f t="shared" si="13"/>
        <v>1</v>
      </c>
      <c r="AN33" s="62">
        <f t="shared" si="13"/>
        <v>1</v>
      </c>
      <c r="AO33" s="62">
        <f t="shared" si="13"/>
        <v>1</v>
      </c>
      <c r="AP33" s="62">
        <f t="shared" si="13"/>
        <v>1</v>
      </c>
      <c r="AQ33" s="62">
        <f t="shared" si="13"/>
        <v>1</v>
      </c>
      <c r="AR33" s="63">
        <f t="shared" si="13"/>
        <v>1</v>
      </c>
      <c r="AS33" s="61">
        <v>1</v>
      </c>
      <c r="AT33" s="62">
        <f t="shared" si="14"/>
        <v>1</v>
      </c>
      <c r="AU33" s="62">
        <f t="shared" si="14"/>
        <v>1</v>
      </c>
      <c r="AV33" s="62">
        <f t="shared" si="14"/>
        <v>1</v>
      </c>
      <c r="AW33" s="62">
        <f t="shared" si="14"/>
        <v>1</v>
      </c>
      <c r="AX33" s="62">
        <f t="shared" si="14"/>
        <v>1</v>
      </c>
      <c r="AY33" s="62">
        <f t="shared" si="14"/>
        <v>1</v>
      </c>
      <c r="AZ33" s="63">
        <f t="shared" si="14"/>
        <v>1</v>
      </c>
      <c r="BA33" s="37">
        <f t="shared" si="6"/>
        <v>48</v>
      </c>
      <c r="BB33" s="9">
        <f t="shared" si="7"/>
        <v>496</v>
      </c>
      <c r="BC33" s="10">
        <f t="shared" si="8"/>
        <v>94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407</v>
      </c>
      <c r="E34" s="61" t="s">
        <v>124</v>
      </c>
      <c r="F34" s="62" t="str">
        <f t="shared" si="15"/>
        <v>a</v>
      </c>
      <c r="G34" s="62" t="str">
        <f t="shared" si="15"/>
        <v>a</v>
      </c>
      <c r="H34" s="62" t="str">
        <f t="shared" si="15"/>
        <v>a</v>
      </c>
      <c r="I34" s="62" t="str">
        <f t="shared" si="15"/>
        <v>a</v>
      </c>
      <c r="J34" s="62" t="str">
        <f t="shared" si="15"/>
        <v>a</v>
      </c>
      <c r="K34" s="62" t="str">
        <f t="shared" si="15"/>
        <v>a</v>
      </c>
      <c r="L34" s="63" t="str">
        <f t="shared" si="15"/>
        <v>a</v>
      </c>
      <c r="M34" s="61">
        <v>1</v>
      </c>
      <c r="N34" s="62">
        <f t="shared" si="10"/>
        <v>1</v>
      </c>
      <c r="O34" s="62">
        <f t="shared" si="10"/>
        <v>1</v>
      </c>
      <c r="P34" s="62">
        <f t="shared" si="10"/>
        <v>1</v>
      </c>
      <c r="Q34" s="62">
        <f t="shared" si="10"/>
        <v>1</v>
      </c>
      <c r="R34" s="62">
        <f t="shared" si="10"/>
        <v>1</v>
      </c>
      <c r="S34" s="62">
        <f t="shared" si="10"/>
        <v>1</v>
      </c>
      <c r="T34" s="63">
        <f t="shared" si="10"/>
        <v>1</v>
      </c>
      <c r="U34" s="61" t="s">
        <v>124</v>
      </c>
      <c r="V34" s="62" t="str">
        <f t="shared" si="11"/>
        <v>a</v>
      </c>
      <c r="W34" s="62" t="str">
        <f t="shared" si="11"/>
        <v>a</v>
      </c>
      <c r="X34" s="62" t="str">
        <f t="shared" si="11"/>
        <v>a</v>
      </c>
      <c r="Y34" s="62" t="str">
        <f t="shared" si="11"/>
        <v>a</v>
      </c>
      <c r="Z34" s="62" t="str">
        <f t="shared" si="11"/>
        <v>a</v>
      </c>
      <c r="AA34" s="62" t="str">
        <f t="shared" si="11"/>
        <v>a</v>
      </c>
      <c r="AB34" s="63" t="str">
        <f t="shared" si="11"/>
        <v>a</v>
      </c>
      <c r="AC34" s="61">
        <v>1</v>
      </c>
      <c r="AD34" s="62">
        <f t="shared" si="12"/>
        <v>1</v>
      </c>
      <c r="AE34" s="62">
        <f t="shared" si="12"/>
        <v>1</v>
      </c>
      <c r="AF34" s="62">
        <f t="shared" si="12"/>
        <v>1</v>
      </c>
      <c r="AG34" s="62">
        <f t="shared" si="12"/>
        <v>1</v>
      </c>
      <c r="AH34" s="62">
        <f t="shared" si="12"/>
        <v>1</v>
      </c>
      <c r="AI34" s="62">
        <f t="shared" si="12"/>
        <v>1</v>
      </c>
      <c r="AJ34" s="63">
        <f t="shared" si="12"/>
        <v>1</v>
      </c>
      <c r="AK34" s="61">
        <v>1</v>
      </c>
      <c r="AL34" s="62">
        <f t="shared" si="13"/>
        <v>1</v>
      </c>
      <c r="AM34" s="62">
        <f t="shared" si="13"/>
        <v>1</v>
      </c>
      <c r="AN34" s="62">
        <f t="shared" si="13"/>
        <v>1</v>
      </c>
      <c r="AO34" s="62">
        <f t="shared" si="13"/>
        <v>1</v>
      </c>
      <c r="AP34" s="62">
        <f t="shared" si="13"/>
        <v>1</v>
      </c>
      <c r="AQ34" s="62">
        <f t="shared" si="13"/>
        <v>1</v>
      </c>
      <c r="AR34" s="63">
        <f t="shared" si="13"/>
        <v>1</v>
      </c>
      <c r="AS34" s="61">
        <v>1</v>
      </c>
      <c r="AT34" s="62">
        <f t="shared" si="14"/>
        <v>1</v>
      </c>
      <c r="AU34" s="62">
        <f t="shared" si="14"/>
        <v>1</v>
      </c>
      <c r="AV34" s="62">
        <f t="shared" si="14"/>
        <v>1</v>
      </c>
      <c r="AW34" s="62">
        <f t="shared" si="14"/>
        <v>1</v>
      </c>
      <c r="AX34" s="62">
        <f t="shared" si="14"/>
        <v>1</v>
      </c>
      <c r="AY34" s="62">
        <f t="shared" si="14"/>
        <v>1</v>
      </c>
      <c r="AZ34" s="63">
        <f t="shared" si="14"/>
        <v>1</v>
      </c>
      <c r="BA34" s="37">
        <f t="shared" si="6"/>
        <v>32</v>
      </c>
      <c r="BB34" s="9">
        <f t="shared" si="7"/>
        <v>439</v>
      </c>
      <c r="BC34" s="10">
        <f t="shared" si="8"/>
        <v>83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478</v>
      </c>
      <c r="E35" s="61">
        <v>1</v>
      </c>
      <c r="F35" s="62">
        <f t="shared" si="15"/>
        <v>1</v>
      </c>
      <c r="G35" s="62">
        <f t="shared" si="15"/>
        <v>1</v>
      </c>
      <c r="H35" s="62">
        <f t="shared" si="15"/>
        <v>1</v>
      </c>
      <c r="I35" s="62">
        <f t="shared" si="15"/>
        <v>1</v>
      </c>
      <c r="J35" s="62">
        <f t="shared" si="15"/>
        <v>1</v>
      </c>
      <c r="K35" s="62">
        <f t="shared" si="15"/>
        <v>1</v>
      </c>
      <c r="L35" s="63">
        <f t="shared" si="15"/>
        <v>1</v>
      </c>
      <c r="M35" s="61" t="s">
        <v>124</v>
      </c>
      <c r="N35" s="62" t="str">
        <f t="shared" si="10"/>
        <v>a</v>
      </c>
      <c r="O35" s="62" t="str">
        <f t="shared" si="10"/>
        <v>a</v>
      </c>
      <c r="P35" s="62" t="str">
        <f t="shared" si="10"/>
        <v>a</v>
      </c>
      <c r="Q35" s="62" t="str">
        <f t="shared" si="10"/>
        <v>a</v>
      </c>
      <c r="R35" s="62" t="str">
        <f t="shared" si="10"/>
        <v>a</v>
      </c>
      <c r="S35" s="62" t="str">
        <f t="shared" si="10"/>
        <v>a</v>
      </c>
      <c r="T35" s="63" t="str">
        <f t="shared" si="10"/>
        <v>a</v>
      </c>
      <c r="U35" s="61">
        <v>1</v>
      </c>
      <c r="V35" s="62">
        <f t="shared" si="11"/>
        <v>1</v>
      </c>
      <c r="W35" s="62">
        <f t="shared" si="11"/>
        <v>1</v>
      </c>
      <c r="X35" s="62">
        <f t="shared" si="11"/>
        <v>1</v>
      </c>
      <c r="Y35" s="62">
        <f t="shared" si="11"/>
        <v>1</v>
      </c>
      <c r="Z35" s="62">
        <f t="shared" si="11"/>
        <v>1</v>
      </c>
      <c r="AA35" s="62">
        <f t="shared" si="11"/>
        <v>1</v>
      </c>
      <c r="AB35" s="63">
        <f t="shared" si="11"/>
        <v>1</v>
      </c>
      <c r="AC35" s="61">
        <v>1</v>
      </c>
      <c r="AD35" s="62">
        <f t="shared" si="12"/>
        <v>1</v>
      </c>
      <c r="AE35" s="62">
        <f t="shared" si="12"/>
        <v>1</v>
      </c>
      <c r="AF35" s="62">
        <f t="shared" si="12"/>
        <v>1</v>
      </c>
      <c r="AG35" s="62">
        <f t="shared" si="12"/>
        <v>1</v>
      </c>
      <c r="AH35" s="62">
        <f t="shared" si="12"/>
        <v>1</v>
      </c>
      <c r="AI35" s="62">
        <f t="shared" si="12"/>
        <v>1</v>
      </c>
      <c r="AJ35" s="63">
        <f t="shared" si="12"/>
        <v>1</v>
      </c>
      <c r="AK35" s="61">
        <v>1</v>
      </c>
      <c r="AL35" s="62">
        <f t="shared" si="13"/>
        <v>1</v>
      </c>
      <c r="AM35" s="62">
        <f t="shared" si="13"/>
        <v>1</v>
      </c>
      <c r="AN35" s="62">
        <f t="shared" si="13"/>
        <v>1</v>
      </c>
      <c r="AO35" s="62">
        <f t="shared" si="13"/>
        <v>1</v>
      </c>
      <c r="AP35" s="62">
        <f t="shared" si="13"/>
        <v>1</v>
      </c>
      <c r="AQ35" s="62">
        <f t="shared" si="13"/>
        <v>1</v>
      </c>
      <c r="AR35" s="63">
        <f t="shared" si="13"/>
        <v>1</v>
      </c>
      <c r="AS35" s="61">
        <v>1</v>
      </c>
      <c r="AT35" s="62">
        <f t="shared" si="14"/>
        <v>1</v>
      </c>
      <c r="AU35" s="62">
        <f t="shared" si="14"/>
        <v>1</v>
      </c>
      <c r="AV35" s="62">
        <f t="shared" si="14"/>
        <v>1</v>
      </c>
      <c r="AW35" s="62">
        <f t="shared" si="14"/>
        <v>1</v>
      </c>
      <c r="AX35" s="62">
        <f t="shared" si="14"/>
        <v>1</v>
      </c>
      <c r="AY35" s="62">
        <f t="shared" si="14"/>
        <v>1</v>
      </c>
      <c r="AZ35" s="63">
        <f t="shared" si="14"/>
        <v>1</v>
      </c>
      <c r="BA35" s="37">
        <f t="shared" si="6"/>
        <v>40</v>
      </c>
      <c r="BB35" s="9">
        <f t="shared" si="7"/>
        <v>518</v>
      </c>
      <c r="BC35" s="10">
        <f t="shared" si="8"/>
        <v>98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417</v>
      </c>
      <c r="E36" s="61">
        <v>1</v>
      </c>
      <c r="F36" s="62">
        <f t="shared" si="15"/>
        <v>1</v>
      </c>
      <c r="G36" s="62">
        <f t="shared" si="15"/>
        <v>1</v>
      </c>
      <c r="H36" s="62">
        <f t="shared" si="15"/>
        <v>1</v>
      </c>
      <c r="I36" s="62">
        <f t="shared" si="15"/>
        <v>1</v>
      </c>
      <c r="J36" s="62">
        <f t="shared" si="15"/>
        <v>1</v>
      </c>
      <c r="K36" s="62">
        <f t="shared" si="15"/>
        <v>1</v>
      </c>
      <c r="L36" s="63">
        <f t="shared" si="15"/>
        <v>1</v>
      </c>
      <c r="M36" s="61">
        <v>1</v>
      </c>
      <c r="N36" s="62">
        <f t="shared" si="10"/>
        <v>1</v>
      </c>
      <c r="O36" s="62">
        <f t="shared" si="10"/>
        <v>1</v>
      </c>
      <c r="P36" s="62">
        <f t="shared" si="10"/>
        <v>1</v>
      </c>
      <c r="Q36" s="62">
        <f t="shared" si="10"/>
        <v>1</v>
      </c>
      <c r="R36" s="62">
        <f t="shared" si="10"/>
        <v>1</v>
      </c>
      <c r="S36" s="62">
        <f t="shared" si="10"/>
        <v>1</v>
      </c>
      <c r="T36" s="63">
        <f t="shared" si="10"/>
        <v>1</v>
      </c>
      <c r="U36" s="61" t="s">
        <v>124</v>
      </c>
      <c r="V36" s="62" t="str">
        <f t="shared" si="11"/>
        <v>a</v>
      </c>
      <c r="W36" s="62" t="str">
        <f t="shared" si="11"/>
        <v>a</v>
      </c>
      <c r="X36" s="62" t="str">
        <f t="shared" si="11"/>
        <v>a</v>
      </c>
      <c r="Y36" s="62" t="str">
        <f t="shared" si="11"/>
        <v>a</v>
      </c>
      <c r="Z36" s="62" t="str">
        <f t="shared" si="11"/>
        <v>a</v>
      </c>
      <c r="AA36" s="62" t="str">
        <f t="shared" si="11"/>
        <v>a</v>
      </c>
      <c r="AB36" s="63" t="str">
        <f t="shared" si="11"/>
        <v>a</v>
      </c>
      <c r="AC36" s="61">
        <v>1</v>
      </c>
      <c r="AD36" s="62">
        <f t="shared" si="12"/>
        <v>1</v>
      </c>
      <c r="AE36" s="62">
        <f t="shared" si="12"/>
        <v>1</v>
      </c>
      <c r="AF36" s="62">
        <f t="shared" si="12"/>
        <v>1</v>
      </c>
      <c r="AG36" s="62">
        <f t="shared" si="12"/>
        <v>1</v>
      </c>
      <c r="AH36" s="62">
        <f t="shared" si="12"/>
        <v>1</v>
      </c>
      <c r="AI36" s="62">
        <f t="shared" si="12"/>
        <v>1</v>
      </c>
      <c r="AJ36" s="63">
        <f t="shared" si="12"/>
        <v>1</v>
      </c>
      <c r="AK36" s="61">
        <v>1</v>
      </c>
      <c r="AL36" s="62">
        <f t="shared" si="13"/>
        <v>1</v>
      </c>
      <c r="AM36" s="62">
        <f t="shared" si="13"/>
        <v>1</v>
      </c>
      <c r="AN36" s="62">
        <f t="shared" si="13"/>
        <v>1</v>
      </c>
      <c r="AO36" s="62">
        <f t="shared" si="13"/>
        <v>1</v>
      </c>
      <c r="AP36" s="62">
        <f t="shared" si="13"/>
        <v>1</v>
      </c>
      <c r="AQ36" s="62">
        <f t="shared" si="13"/>
        <v>1</v>
      </c>
      <c r="AR36" s="63">
        <f t="shared" si="13"/>
        <v>1</v>
      </c>
      <c r="AS36" s="61">
        <v>1</v>
      </c>
      <c r="AT36" s="62">
        <f t="shared" si="14"/>
        <v>1</v>
      </c>
      <c r="AU36" s="62">
        <f t="shared" si="14"/>
        <v>1</v>
      </c>
      <c r="AV36" s="62">
        <f t="shared" si="14"/>
        <v>1</v>
      </c>
      <c r="AW36" s="62">
        <f t="shared" si="14"/>
        <v>1</v>
      </c>
      <c r="AX36" s="62">
        <f t="shared" si="14"/>
        <v>1</v>
      </c>
      <c r="AY36" s="62">
        <f t="shared" si="14"/>
        <v>1</v>
      </c>
      <c r="AZ36" s="63">
        <f t="shared" si="14"/>
        <v>1</v>
      </c>
      <c r="BA36" s="37">
        <f t="shared" si="6"/>
        <v>40</v>
      </c>
      <c r="BB36" s="9">
        <f t="shared" si="7"/>
        <v>457</v>
      </c>
      <c r="BC36" s="10">
        <f t="shared" si="8"/>
        <v>87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478</v>
      </c>
      <c r="E37" s="61">
        <v>1</v>
      </c>
      <c r="F37" s="62">
        <f t="shared" si="15"/>
        <v>1</v>
      </c>
      <c r="G37" s="62">
        <f t="shared" si="15"/>
        <v>1</v>
      </c>
      <c r="H37" s="62">
        <f t="shared" si="15"/>
        <v>1</v>
      </c>
      <c r="I37" s="62">
        <f t="shared" si="15"/>
        <v>1</v>
      </c>
      <c r="J37" s="62">
        <f t="shared" si="15"/>
        <v>1</v>
      </c>
      <c r="K37" s="62">
        <f t="shared" si="15"/>
        <v>1</v>
      </c>
      <c r="L37" s="63">
        <f t="shared" si="15"/>
        <v>1</v>
      </c>
      <c r="M37" s="61" t="s">
        <v>124</v>
      </c>
      <c r="N37" s="62" t="str">
        <f t="shared" si="10"/>
        <v>a</v>
      </c>
      <c r="O37" s="62" t="str">
        <f t="shared" si="10"/>
        <v>a</v>
      </c>
      <c r="P37" s="62" t="str">
        <f t="shared" si="10"/>
        <v>a</v>
      </c>
      <c r="Q37" s="62" t="str">
        <f t="shared" si="10"/>
        <v>a</v>
      </c>
      <c r="R37" s="62" t="str">
        <f t="shared" si="10"/>
        <v>a</v>
      </c>
      <c r="S37" s="62" t="str">
        <f t="shared" si="10"/>
        <v>a</v>
      </c>
      <c r="T37" s="63" t="str">
        <f t="shared" si="10"/>
        <v>a</v>
      </c>
      <c r="U37" s="61">
        <v>1</v>
      </c>
      <c r="V37" s="62">
        <f t="shared" si="11"/>
        <v>1</v>
      </c>
      <c r="W37" s="62">
        <f t="shared" si="11"/>
        <v>1</v>
      </c>
      <c r="X37" s="62">
        <f t="shared" si="11"/>
        <v>1</v>
      </c>
      <c r="Y37" s="62">
        <f t="shared" si="11"/>
        <v>1</v>
      </c>
      <c r="Z37" s="62">
        <f t="shared" si="11"/>
        <v>1</v>
      </c>
      <c r="AA37" s="62">
        <f t="shared" si="11"/>
        <v>1</v>
      </c>
      <c r="AB37" s="63">
        <f t="shared" si="11"/>
        <v>1</v>
      </c>
      <c r="AC37" s="61">
        <v>1</v>
      </c>
      <c r="AD37" s="62">
        <f t="shared" si="12"/>
        <v>1</v>
      </c>
      <c r="AE37" s="62">
        <f t="shared" si="12"/>
        <v>1</v>
      </c>
      <c r="AF37" s="62">
        <f t="shared" si="12"/>
        <v>1</v>
      </c>
      <c r="AG37" s="62">
        <f t="shared" si="12"/>
        <v>1</v>
      </c>
      <c r="AH37" s="62">
        <f t="shared" si="12"/>
        <v>1</v>
      </c>
      <c r="AI37" s="62">
        <f t="shared" si="12"/>
        <v>1</v>
      </c>
      <c r="AJ37" s="63">
        <f t="shared" si="12"/>
        <v>1</v>
      </c>
      <c r="AK37" s="61">
        <v>1</v>
      </c>
      <c r="AL37" s="62">
        <f t="shared" si="13"/>
        <v>1</v>
      </c>
      <c r="AM37" s="62">
        <f t="shared" si="13"/>
        <v>1</v>
      </c>
      <c r="AN37" s="62">
        <f t="shared" si="13"/>
        <v>1</v>
      </c>
      <c r="AO37" s="62">
        <f t="shared" si="13"/>
        <v>1</v>
      </c>
      <c r="AP37" s="62">
        <f t="shared" si="13"/>
        <v>1</v>
      </c>
      <c r="AQ37" s="62">
        <f t="shared" si="13"/>
        <v>1</v>
      </c>
      <c r="AR37" s="63">
        <f t="shared" si="13"/>
        <v>1</v>
      </c>
      <c r="AS37" s="61">
        <v>1</v>
      </c>
      <c r="AT37" s="62">
        <f t="shared" si="14"/>
        <v>1</v>
      </c>
      <c r="AU37" s="62">
        <f t="shared" si="14"/>
        <v>1</v>
      </c>
      <c r="AV37" s="62">
        <f t="shared" si="14"/>
        <v>1</v>
      </c>
      <c r="AW37" s="62">
        <f t="shared" si="14"/>
        <v>1</v>
      </c>
      <c r="AX37" s="62">
        <f t="shared" si="14"/>
        <v>1</v>
      </c>
      <c r="AY37" s="62">
        <f t="shared" si="14"/>
        <v>1</v>
      </c>
      <c r="AZ37" s="63">
        <f t="shared" si="14"/>
        <v>1</v>
      </c>
      <c r="BA37" s="38">
        <f t="shared" si="6"/>
        <v>40</v>
      </c>
      <c r="BB37" s="9">
        <f t="shared" si="7"/>
        <v>518</v>
      </c>
      <c r="BC37" s="10">
        <f t="shared" si="8"/>
        <v>98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398</v>
      </c>
      <c r="E38" s="61">
        <v>1</v>
      </c>
      <c r="F38" s="62">
        <f t="shared" si="15"/>
        <v>1</v>
      </c>
      <c r="G38" s="62">
        <f t="shared" si="15"/>
        <v>1</v>
      </c>
      <c r="H38" s="62">
        <f t="shared" si="15"/>
        <v>1</v>
      </c>
      <c r="I38" s="62">
        <f t="shared" si="15"/>
        <v>1</v>
      </c>
      <c r="J38" s="62">
        <f t="shared" si="15"/>
        <v>1</v>
      </c>
      <c r="K38" s="62">
        <f t="shared" si="15"/>
        <v>1</v>
      </c>
      <c r="L38" s="63">
        <f t="shared" si="15"/>
        <v>1</v>
      </c>
      <c r="M38" s="61" t="s">
        <v>124</v>
      </c>
      <c r="N38" s="62" t="str">
        <f t="shared" si="10"/>
        <v>a</v>
      </c>
      <c r="O38" s="62" t="str">
        <f t="shared" si="10"/>
        <v>a</v>
      </c>
      <c r="P38" s="62" t="str">
        <f t="shared" si="10"/>
        <v>a</v>
      </c>
      <c r="Q38" s="62" t="str">
        <f t="shared" si="10"/>
        <v>a</v>
      </c>
      <c r="R38" s="62" t="str">
        <f t="shared" si="10"/>
        <v>a</v>
      </c>
      <c r="S38" s="62" t="str">
        <f t="shared" si="10"/>
        <v>a</v>
      </c>
      <c r="T38" s="63" t="str">
        <f t="shared" si="10"/>
        <v>a</v>
      </c>
      <c r="U38" s="61" t="s">
        <v>124</v>
      </c>
      <c r="V38" s="62" t="str">
        <f t="shared" si="11"/>
        <v>a</v>
      </c>
      <c r="W38" s="62" t="str">
        <f t="shared" si="11"/>
        <v>a</v>
      </c>
      <c r="X38" s="62" t="str">
        <f t="shared" si="11"/>
        <v>a</v>
      </c>
      <c r="Y38" s="62" t="str">
        <f t="shared" si="11"/>
        <v>a</v>
      </c>
      <c r="Z38" s="62" t="str">
        <f t="shared" si="11"/>
        <v>a</v>
      </c>
      <c r="AA38" s="62" t="str">
        <f t="shared" si="11"/>
        <v>a</v>
      </c>
      <c r="AB38" s="63" t="str">
        <f t="shared" si="11"/>
        <v>a</v>
      </c>
      <c r="AC38" s="61">
        <v>1</v>
      </c>
      <c r="AD38" s="62">
        <f t="shared" si="12"/>
        <v>1</v>
      </c>
      <c r="AE38" s="62">
        <f t="shared" si="12"/>
        <v>1</v>
      </c>
      <c r="AF38" s="62">
        <f t="shared" si="12"/>
        <v>1</v>
      </c>
      <c r="AG38" s="62">
        <f t="shared" si="12"/>
        <v>1</v>
      </c>
      <c r="AH38" s="62">
        <f t="shared" si="12"/>
        <v>1</v>
      </c>
      <c r="AI38" s="62">
        <f t="shared" si="12"/>
        <v>1</v>
      </c>
      <c r="AJ38" s="63">
        <f t="shared" si="12"/>
        <v>1</v>
      </c>
      <c r="AK38" s="61">
        <v>1</v>
      </c>
      <c r="AL38" s="62">
        <f t="shared" si="13"/>
        <v>1</v>
      </c>
      <c r="AM38" s="62">
        <f t="shared" si="13"/>
        <v>1</v>
      </c>
      <c r="AN38" s="62">
        <f t="shared" si="13"/>
        <v>1</v>
      </c>
      <c r="AO38" s="62">
        <f t="shared" si="13"/>
        <v>1</v>
      </c>
      <c r="AP38" s="62">
        <f t="shared" si="13"/>
        <v>1</v>
      </c>
      <c r="AQ38" s="62">
        <f t="shared" si="13"/>
        <v>1</v>
      </c>
      <c r="AR38" s="63">
        <f t="shared" si="13"/>
        <v>1</v>
      </c>
      <c r="AS38" s="61">
        <v>1</v>
      </c>
      <c r="AT38" s="62">
        <f t="shared" si="14"/>
        <v>1</v>
      </c>
      <c r="AU38" s="62">
        <f t="shared" si="14"/>
        <v>1</v>
      </c>
      <c r="AV38" s="62">
        <f t="shared" si="14"/>
        <v>1</v>
      </c>
      <c r="AW38" s="62">
        <f t="shared" si="14"/>
        <v>1</v>
      </c>
      <c r="AX38" s="62">
        <f t="shared" si="14"/>
        <v>1</v>
      </c>
      <c r="AY38" s="62">
        <f t="shared" si="14"/>
        <v>1</v>
      </c>
      <c r="AZ38" s="63">
        <f t="shared" si="14"/>
        <v>1</v>
      </c>
      <c r="BA38" s="36">
        <f>SUM(E38:AZ38)</f>
        <v>32</v>
      </c>
      <c r="BB38" s="9">
        <f t="shared" si="7"/>
        <v>430</v>
      </c>
      <c r="BC38" s="10">
        <f t="shared" si="8"/>
        <v>82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406</v>
      </c>
      <c r="E39" s="61">
        <v>1</v>
      </c>
      <c r="F39" s="62">
        <f t="shared" si="15"/>
        <v>1</v>
      </c>
      <c r="G39" s="62">
        <f t="shared" si="15"/>
        <v>1</v>
      </c>
      <c r="H39" s="62">
        <f t="shared" si="15"/>
        <v>1</v>
      </c>
      <c r="I39" s="62">
        <f t="shared" si="15"/>
        <v>1</v>
      </c>
      <c r="J39" s="62">
        <f t="shared" si="15"/>
        <v>1</v>
      </c>
      <c r="K39" s="62">
        <f t="shared" si="15"/>
        <v>1</v>
      </c>
      <c r="L39" s="63">
        <f t="shared" si="15"/>
        <v>1</v>
      </c>
      <c r="M39" s="61">
        <v>1</v>
      </c>
      <c r="N39" s="62">
        <f t="shared" si="10"/>
        <v>1</v>
      </c>
      <c r="O39" s="62">
        <f t="shared" si="10"/>
        <v>1</v>
      </c>
      <c r="P39" s="62">
        <f t="shared" si="10"/>
        <v>1</v>
      </c>
      <c r="Q39" s="62">
        <f t="shared" si="10"/>
        <v>1</v>
      </c>
      <c r="R39" s="62">
        <f t="shared" si="10"/>
        <v>1</v>
      </c>
      <c r="S39" s="62">
        <f t="shared" si="10"/>
        <v>1</v>
      </c>
      <c r="T39" s="63">
        <f t="shared" si="10"/>
        <v>1</v>
      </c>
      <c r="U39" s="61">
        <v>1</v>
      </c>
      <c r="V39" s="62">
        <f t="shared" si="11"/>
        <v>1</v>
      </c>
      <c r="W39" s="62">
        <f t="shared" si="11"/>
        <v>1</v>
      </c>
      <c r="X39" s="62">
        <f t="shared" si="11"/>
        <v>1</v>
      </c>
      <c r="Y39" s="62">
        <f t="shared" si="11"/>
        <v>1</v>
      </c>
      <c r="Z39" s="62">
        <f t="shared" si="11"/>
        <v>1</v>
      </c>
      <c r="AA39" s="62">
        <f t="shared" si="11"/>
        <v>1</v>
      </c>
      <c r="AB39" s="63">
        <f t="shared" si="11"/>
        <v>1</v>
      </c>
      <c r="AC39" s="61">
        <v>1</v>
      </c>
      <c r="AD39" s="62">
        <f t="shared" si="12"/>
        <v>1</v>
      </c>
      <c r="AE39" s="62">
        <f t="shared" si="12"/>
        <v>1</v>
      </c>
      <c r="AF39" s="62">
        <f t="shared" si="12"/>
        <v>1</v>
      </c>
      <c r="AG39" s="62">
        <f t="shared" si="12"/>
        <v>1</v>
      </c>
      <c r="AH39" s="62">
        <f t="shared" si="12"/>
        <v>1</v>
      </c>
      <c r="AI39" s="62">
        <f t="shared" si="12"/>
        <v>1</v>
      </c>
      <c r="AJ39" s="63">
        <f t="shared" si="12"/>
        <v>1</v>
      </c>
      <c r="AK39" s="61">
        <v>1</v>
      </c>
      <c r="AL39" s="62">
        <f t="shared" si="13"/>
        <v>1</v>
      </c>
      <c r="AM39" s="62">
        <f t="shared" si="13"/>
        <v>1</v>
      </c>
      <c r="AN39" s="62">
        <f t="shared" si="13"/>
        <v>1</v>
      </c>
      <c r="AO39" s="62">
        <f t="shared" si="13"/>
        <v>1</v>
      </c>
      <c r="AP39" s="62">
        <f t="shared" si="13"/>
        <v>1</v>
      </c>
      <c r="AQ39" s="62">
        <f t="shared" si="13"/>
        <v>1</v>
      </c>
      <c r="AR39" s="63">
        <f t="shared" si="13"/>
        <v>1</v>
      </c>
      <c r="AS39" s="61">
        <v>1</v>
      </c>
      <c r="AT39" s="62">
        <f t="shared" si="14"/>
        <v>1</v>
      </c>
      <c r="AU39" s="62">
        <f t="shared" si="14"/>
        <v>1</v>
      </c>
      <c r="AV39" s="62">
        <f t="shared" si="14"/>
        <v>1</v>
      </c>
      <c r="AW39" s="62">
        <f t="shared" si="14"/>
        <v>1</v>
      </c>
      <c r="AX39" s="62">
        <f t="shared" si="14"/>
        <v>1</v>
      </c>
      <c r="AY39" s="62">
        <f t="shared" si="14"/>
        <v>1</v>
      </c>
      <c r="AZ39" s="63">
        <f t="shared" si="14"/>
        <v>1</v>
      </c>
      <c r="BA39" s="37">
        <f t="shared" ref="BA39:BA73" si="16">SUM(E39:AZ39)</f>
        <v>48</v>
      </c>
      <c r="BB39" s="9">
        <f t="shared" si="7"/>
        <v>454</v>
      </c>
      <c r="BC39" s="10">
        <f t="shared" si="8"/>
        <v>86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384</v>
      </c>
      <c r="E40" s="61" t="s">
        <v>124</v>
      </c>
      <c r="F40" s="62" t="str">
        <f t="shared" si="15"/>
        <v>a</v>
      </c>
      <c r="G40" s="62" t="str">
        <f t="shared" si="15"/>
        <v>a</v>
      </c>
      <c r="H40" s="62" t="str">
        <f t="shared" si="15"/>
        <v>a</v>
      </c>
      <c r="I40" s="62" t="str">
        <f t="shared" si="15"/>
        <v>a</v>
      </c>
      <c r="J40" s="62" t="str">
        <f t="shared" si="15"/>
        <v>a</v>
      </c>
      <c r="K40" s="62" t="str">
        <f t="shared" si="15"/>
        <v>a</v>
      </c>
      <c r="L40" s="63" t="str">
        <f t="shared" si="15"/>
        <v>a</v>
      </c>
      <c r="M40" s="61" t="s">
        <v>124</v>
      </c>
      <c r="N40" s="62" t="str">
        <f t="shared" si="10"/>
        <v>a</v>
      </c>
      <c r="O40" s="62" t="str">
        <f t="shared" si="10"/>
        <v>a</v>
      </c>
      <c r="P40" s="62" t="str">
        <f t="shared" si="10"/>
        <v>a</v>
      </c>
      <c r="Q40" s="62" t="str">
        <f t="shared" si="10"/>
        <v>a</v>
      </c>
      <c r="R40" s="62" t="str">
        <f t="shared" si="10"/>
        <v>a</v>
      </c>
      <c r="S40" s="62" t="str">
        <f t="shared" si="10"/>
        <v>a</v>
      </c>
      <c r="T40" s="63" t="str">
        <f t="shared" si="10"/>
        <v>a</v>
      </c>
      <c r="U40" s="61">
        <v>1</v>
      </c>
      <c r="V40" s="62">
        <f t="shared" si="11"/>
        <v>1</v>
      </c>
      <c r="W40" s="62">
        <f t="shared" si="11"/>
        <v>1</v>
      </c>
      <c r="X40" s="62">
        <f t="shared" si="11"/>
        <v>1</v>
      </c>
      <c r="Y40" s="62">
        <f t="shared" si="11"/>
        <v>1</v>
      </c>
      <c r="Z40" s="62">
        <f t="shared" si="11"/>
        <v>1</v>
      </c>
      <c r="AA40" s="62">
        <f t="shared" si="11"/>
        <v>1</v>
      </c>
      <c r="AB40" s="63">
        <f t="shared" si="11"/>
        <v>1</v>
      </c>
      <c r="AC40" s="61">
        <v>1</v>
      </c>
      <c r="AD40" s="62">
        <f t="shared" si="12"/>
        <v>1</v>
      </c>
      <c r="AE40" s="62">
        <f t="shared" si="12"/>
        <v>1</v>
      </c>
      <c r="AF40" s="62">
        <f t="shared" si="12"/>
        <v>1</v>
      </c>
      <c r="AG40" s="62">
        <f t="shared" si="12"/>
        <v>1</v>
      </c>
      <c r="AH40" s="62">
        <f t="shared" si="12"/>
        <v>1</v>
      </c>
      <c r="AI40" s="62">
        <f t="shared" si="12"/>
        <v>1</v>
      </c>
      <c r="AJ40" s="63">
        <f t="shared" si="12"/>
        <v>1</v>
      </c>
      <c r="AK40" s="61">
        <v>1</v>
      </c>
      <c r="AL40" s="62">
        <f t="shared" si="13"/>
        <v>1</v>
      </c>
      <c r="AM40" s="62">
        <f t="shared" si="13"/>
        <v>1</v>
      </c>
      <c r="AN40" s="62">
        <f t="shared" si="13"/>
        <v>1</v>
      </c>
      <c r="AO40" s="62">
        <f t="shared" si="13"/>
        <v>1</v>
      </c>
      <c r="AP40" s="62">
        <f t="shared" si="13"/>
        <v>1</v>
      </c>
      <c r="AQ40" s="62">
        <f t="shared" si="13"/>
        <v>1</v>
      </c>
      <c r="AR40" s="63">
        <f t="shared" si="13"/>
        <v>1</v>
      </c>
      <c r="AS40" s="61">
        <v>1</v>
      </c>
      <c r="AT40" s="62">
        <f t="shared" si="14"/>
        <v>1</v>
      </c>
      <c r="AU40" s="62">
        <f t="shared" si="14"/>
        <v>1</v>
      </c>
      <c r="AV40" s="62">
        <f t="shared" si="14"/>
        <v>1</v>
      </c>
      <c r="AW40" s="62">
        <f t="shared" si="14"/>
        <v>1</v>
      </c>
      <c r="AX40" s="62">
        <f t="shared" si="14"/>
        <v>1</v>
      </c>
      <c r="AY40" s="62">
        <f t="shared" si="14"/>
        <v>1</v>
      </c>
      <c r="AZ40" s="63">
        <f t="shared" si="14"/>
        <v>1</v>
      </c>
      <c r="BA40" s="37">
        <f t="shared" si="16"/>
        <v>32</v>
      </c>
      <c r="BB40" s="9">
        <f t="shared" si="7"/>
        <v>416</v>
      </c>
      <c r="BC40" s="10">
        <f t="shared" si="8"/>
        <v>79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418</v>
      </c>
      <c r="E41" s="61" t="s">
        <v>124</v>
      </c>
      <c r="F41" s="62" t="str">
        <f t="shared" si="15"/>
        <v>a</v>
      </c>
      <c r="G41" s="62" t="str">
        <f t="shared" si="15"/>
        <v>a</v>
      </c>
      <c r="H41" s="62" t="str">
        <f t="shared" si="15"/>
        <v>a</v>
      </c>
      <c r="I41" s="62" t="str">
        <f t="shared" si="15"/>
        <v>a</v>
      </c>
      <c r="J41" s="62" t="str">
        <f t="shared" si="15"/>
        <v>a</v>
      </c>
      <c r="K41" s="62" t="str">
        <f t="shared" si="15"/>
        <v>a</v>
      </c>
      <c r="L41" s="63" t="str">
        <f t="shared" si="15"/>
        <v>a</v>
      </c>
      <c r="M41" s="61" t="s">
        <v>124</v>
      </c>
      <c r="N41" s="62" t="str">
        <f t="shared" si="10"/>
        <v>a</v>
      </c>
      <c r="O41" s="62" t="str">
        <f t="shared" si="10"/>
        <v>a</v>
      </c>
      <c r="P41" s="62" t="str">
        <f t="shared" si="10"/>
        <v>a</v>
      </c>
      <c r="Q41" s="62" t="str">
        <f t="shared" si="10"/>
        <v>a</v>
      </c>
      <c r="R41" s="62" t="str">
        <f t="shared" si="10"/>
        <v>a</v>
      </c>
      <c r="S41" s="62" t="str">
        <f t="shared" si="10"/>
        <v>a</v>
      </c>
      <c r="T41" s="63" t="str">
        <f t="shared" si="10"/>
        <v>a</v>
      </c>
      <c r="U41" s="61">
        <v>1</v>
      </c>
      <c r="V41" s="62">
        <f t="shared" si="11"/>
        <v>1</v>
      </c>
      <c r="W41" s="62">
        <f t="shared" si="11"/>
        <v>1</v>
      </c>
      <c r="X41" s="62">
        <f t="shared" si="11"/>
        <v>1</v>
      </c>
      <c r="Y41" s="62">
        <f t="shared" si="11"/>
        <v>1</v>
      </c>
      <c r="Z41" s="62">
        <f t="shared" si="11"/>
        <v>1</v>
      </c>
      <c r="AA41" s="62">
        <f t="shared" si="11"/>
        <v>1</v>
      </c>
      <c r="AB41" s="63">
        <f t="shared" si="11"/>
        <v>1</v>
      </c>
      <c r="AC41" s="61">
        <v>1</v>
      </c>
      <c r="AD41" s="62">
        <f t="shared" si="12"/>
        <v>1</v>
      </c>
      <c r="AE41" s="62">
        <f t="shared" si="12"/>
        <v>1</v>
      </c>
      <c r="AF41" s="62">
        <f t="shared" si="12"/>
        <v>1</v>
      </c>
      <c r="AG41" s="62">
        <f t="shared" si="12"/>
        <v>1</v>
      </c>
      <c r="AH41" s="62">
        <f t="shared" si="12"/>
        <v>1</v>
      </c>
      <c r="AI41" s="62">
        <f t="shared" si="12"/>
        <v>1</v>
      </c>
      <c r="AJ41" s="63">
        <f t="shared" si="12"/>
        <v>1</v>
      </c>
      <c r="AK41" s="61">
        <v>1</v>
      </c>
      <c r="AL41" s="62">
        <f t="shared" si="13"/>
        <v>1</v>
      </c>
      <c r="AM41" s="62">
        <f t="shared" si="13"/>
        <v>1</v>
      </c>
      <c r="AN41" s="62">
        <f t="shared" si="13"/>
        <v>1</v>
      </c>
      <c r="AO41" s="62">
        <f t="shared" si="13"/>
        <v>1</v>
      </c>
      <c r="AP41" s="62">
        <f t="shared" si="13"/>
        <v>1</v>
      </c>
      <c r="AQ41" s="62">
        <f t="shared" si="13"/>
        <v>1</v>
      </c>
      <c r="AR41" s="63">
        <f t="shared" si="13"/>
        <v>1</v>
      </c>
      <c r="AS41" s="61">
        <v>1</v>
      </c>
      <c r="AT41" s="62">
        <f t="shared" si="14"/>
        <v>1</v>
      </c>
      <c r="AU41" s="62">
        <f t="shared" si="14"/>
        <v>1</v>
      </c>
      <c r="AV41" s="62">
        <f t="shared" si="14"/>
        <v>1</v>
      </c>
      <c r="AW41" s="62">
        <f t="shared" si="14"/>
        <v>1</v>
      </c>
      <c r="AX41" s="62">
        <f t="shared" si="14"/>
        <v>1</v>
      </c>
      <c r="AY41" s="62">
        <f t="shared" si="14"/>
        <v>1</v>
      </c>
      <c r="AZ41" s="63">
        <f t="shared" si="14"/>
        <v>1</v>
      </c>
      <c r="BA41" s="37">
        <f t="shared" si="16"/>
        <v>32</v>
      </c>
      <c r="BB41" s="9">
        <f t="shared" si="7"/>
        <v>450</v>
      </c>
      <c r="BC41" s="10">
        <f t="shared" si="8"/>
        <v>86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429</v>
      </c>
      <c r="E42" s="61">
        <v>1</v>
      </c>
      <c r="F42" s="62">
        <f t="shared" si="15"/>
        <v>1</v>
      </c>
      <c r="G42" s="62">
        <f t="shared" si="15"/>
        <v>1</v>
      </c>
      <c r="H42" s="62">
        <f t="shared" si="15"/>
        <v>1</v>
      </c>
      <c r="I42" s="62">
        <f t="shared" si="15"/>
        <v>1</v>
      </c>
      <c r="J42" s="62">
        <f t="shared" si="15"/>
        <v>1</v>
      </c>
      <c r="K42" s="62">
        <f t="shared" si="15"/>
        <v>1</v>
      </c>
      <c r="L42" s="63">
        <f t="shared" si="15"/>
        <v>1</v>
      </c>
      <c r="M42" s="61">
        <v>1</v>
      </c>
      <c r="N42" s="62">
        <f t="shared" ref="N42:T57" si="17">M42</f>
        <v>1</v>
      </c>
      <c r="O42" s="62">
        <f t="shared" si="17"/>
        <v>1</v>
      </c>
      <c r="P42" s="62">
        <f t="shared" si="17"/>
        <v>1</v>
      </c>
      <c r="Q42" s="62">
        <f t="shared" si="17"/>
        <v>1</v>
      </c>
      <c r="R42" s="62">
        <f t="shared" si="17"/>
        <v>1</v>
      </c>
      <c r="S42" s="62">
        <f t="shared" si="17"/>
        <v>1</v>
      </c>
      <c r="T42" s="63">
        <f t="shared" si="17"/>
        <v>1</v>
      </c>
      <c r="U42" s="61">
        <v>1</v>
      </c>
      <c r="V42" s="62">
        <f t="shared" ref="V42:AB57" si="18">U42</f>
        <v>1</v>
      </c>
      <c r="W42" s="62">
        <f t="shared" si="18"/>
        <v>1</v>
      </c>
      <c r="X42" s="62">
        <f t="shared" si="18"/>
        <v>1</v>
      </c>
      <c r="Y42" s="62">
        <f t="shared" si="18"/>
        <v>1</v>
      </c>
      <c r="Z42" s="62">
        <f t="shared" si="18"/>
        <v>1</v>
      </c>
      <c r="AA42" s="62">
        <f t="shared" si="18"/>
        <v>1</v>
      </c>
      <c r="AB42" s="63">
        <f t="shared" si="18"/>
        <v>1</v>
      </c>
      <c r="AC42" s="61">
        <v>1</v>
      </c>
      <c r="AD42" s="62">
        <f t="shared" ref="AD42:AJ57" si="19">AC42</f>
        <v>1</v>
      </c>
      <c r="AE42" s="62">
        <f t="shared" si="19"/>
        <v>1</v>
      </c>
      <c r="AF42" s="62">
        <f t="shared" si="19"/>
        <v>1</v>
      </c>
      <c r="AG42" s="62">
        <f t="shared" si="19"/>
        <v>1</v>
      </c>
      <c r="AH42" s="62">
        <f t="shared" si="19"/>
        <v>1</v>
      </c>
      <c r="AI42" s="62">
        <f t="shared" si="19"/>
        <v>1</v>
      </c>
      <c r="AJ42" s="63">
        <f t="shared" si="19"/>
        <v>1</v>
      </c>
      <c r="AK42" s="61">
        <v>1</v>
      </c>
      <c r="AL42" s="62">
        <f t="shared" ref="AL42:AR57" si="20">AK42</f>
        <v>1</v>
      </c>
      <c r="AM42" s="62">
        <f t="shared" si="20"/>
        <v>1</v>
      </c>
      <c r="AN42" s="62">
        <f t="shared" si="20"/>
        <v>1</v>
      </c>
      <c r="AO42" s="62">
        <f t="shared" si="20"/>
        <v>1</v>
      </c>
      <c r="AP42" s="62">
        <f t="shared" si="20"/>
        <v>1</v>
      </c>
      <c r="AQ42" s="62">
        <f t="shared" si="20"/>
        <v>1</v>
      </c>
      <c r="AR42" s="63">
        <f t="shared" si="20"/>
        <v>1</v>
      </c>
      <c r="AS42" s="61">
        <v>1</v>
      </c>
      <c r="AT42" s="62">
        <f t="shared" ref="AT42:AZ57" si="21">AS42</f>
        <v>1</v>
      </c>
      <c r="AU42" s="62">
        <f t="shared" si="21"/>
        <v>1</v>
      </c>
      <c r="AV42" s="62">
        <f t="shared" si="21"/>
        <v>1</v>
      </c>
      <c r="AW42" s="62">
        <f t="shared" si="21"/>
        <v>1</v>
      </c>
      <c r="AX42" s="62">
        <f t="shared" si="21"/>
        <v>1</v>
      </c>
      <c r="AY42" s="62">
        <f t="shared" si="21"/>
        <v>1</v>
      </c>
      <c r="AZ42" s="63">
        <f t="shared" si="21"/>
        <v>1</v>
      </c>
      <c r="BA42" s="37">
        <f t="shared" si="16"/>
        <v>48</v>
      </c>
      <c r="BB42" s="9">
        <f t="shared" si="7"/>
        <v>477</v>
      </c>
      <c r="BC42" s="10">
        <f t="shared" si="8"/>
        <v>91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397</v>
      </c>
      <c r="E43" s="61" t="s">
        <v>124</v>
      </c>
      <c r="F43" s="62" t="str">
        <f t="shared" si="15"/>
        <v>a</v>
      </c>
      <c r="G43" s="62" t="str">
        <f t="shared" si="15"/>
        <v>a</v>
      </c>
      <c r="H43" s="62" t="str">
        <f t="shared" si="15"/>
        <v>a</v>
      </c>
      <c r="I43" s="62" t="str">
        <f t="shared" si="15"/>
        <v>a</v>
      </c>
      <c r="J43" s="62" t="str">
        <f t="shared" si="15"/>
        <v>a</v>
      </c>
      <c r="K43" s="62" t="str">
        <f t="shared" si="15"/>
        <v>a</v>
      </c>
      <c r="L43" s="63" t="str">
        <f t="shared" si="15"/>
        <v>a</v>
      </c>
      <c r="M43" s="61">
        <v>1</v>
      </c>
      <c r="N43" s="62">
        <f t="shared" si="17"/>
        <v>1</v>
      </c>
      <c r="O43" s="62">
        <f t="shared" si="17"/>
        <v>1</v>
      </c>
      <c r="P43" s="62">
        <f t="shared" si="17"/>
        <v>1</v>
      </c>
      <c r="Q43" s="62">
        <f t="shared" si="17"/>
        <v>1</v>
      </c>
      <c r="R43" s="62">
        <f t="shared" si="17"/>
        <v>1</v>
      </c>
      <c r="S43" s="62">
        <f t="shared" si="17"/>
        <v>1</v>
      </c>
      <c r="T43" s="63">
        <f t="shared" si="17"/>
        <v>1</v>
      </c>
      <c r="U43" s="61">
        <v>1</v>
      </c>
      <c r="V43" s="62">
        <f t="shared" si="18"/>
        <v>1</v>
      </c>
      <c r="W43" s="62">
        <f t="shared" si="18"/>
        <v>1</v>
      </c>
      <c r="X43" s="62">
        <f t="shared" si="18"/>
        <v>1</v>
      </c>
      <c r="Y43" s="62">
        <f t="shared" si="18"/>
        <v>1</v>
      </c>
      <c r="Z43" s="62">
        <f t="shared" si="18"/>
        <v>1</v>
      </c>
      <c r="AA43" s="62">
        <f t="shared" si="18"/>
        <v>1</v>
      </c>
      <c r="AB43" s="63">
        <f t="shared" si="18"/>
        <v>1</v>
      </c>
      <c r="AC43" s="61">
        <v>1</v>
      </c>
      <c r="AD43" s="62">
        <f t="shared" si="19"/>
        <v>1</v>
      </c>
      <c r="AE43" s="62">
        <f t="shared" si="19"/>
        <v>1</v>
      </c>
      <c r="AF43" s="62">
        <f t="shared" si="19"/>
        <v>1</v>
      </c>
      <c r="AG43" s="62">
        <f t="shared" si="19"/>
        <v>1</v>
      </c>
      <c r="AH43" s="62">
        <f t="shared" si="19"/>
        <v>1</v>
      </c>
      <c r="AI43" s="62">
        <f t="shared" si="19"/>
        <v>1</v>
      </c>
      <c r="AJ43" s="63">
        <f t="shared" si="19"/>
        <v>1</v>
      </c>
      <c r="AK43" s="61">
        <v>1</v>
      </c>
      <c r="AL43" s="62">
        <f t="shared" si="20"/>
        <v>1</v>
      </c>
      <c r="AM43" s="62">
        <f t="shared" si="20"/>
        <v>1</v>
      </c>
      <c r="AN43" s="62">
        <f t="shared" si="20"/>
        <v>1</v>
      </c>
      <c r="AO43" s="62">
        <f t="shared" si="20"/>
        <v>1</v>
      </c>
      <c r="AP43" s="62">
        <f t="shared" si="20"/>
        <v>1</v>
      </c>
      <c r="AQ43" s="62">
        <f t="shared" si="20"/>
        <v>1</v>
      </c>
      <c r="AR43" s="63">
        <f t="shared" si="20"/>
        <v>1</v>
      </c>
      <c r="AS43" s="61">
        <v>1</v>
      </c>
      <c r="AT43" s="62">
        <f t="shared" si="21"/>
        <v>1</v>
      </c>
      <c r="AU43" s="62">
        <f t="shared" si="21"/>
        <v>1</v>
      </c>
      <c r="AV43" s="62">
        <f t="shared" si="21"/>
        <v>1</v>
      </c>
      <c r="AW43" s="62">
        <f t="shared" si="21"/>
        <v>1</v>
      </c>
      <c r="AX43" s="62">
        <f t="shared" si="21"/>
        <v>1</v>
      </c>
      <c r="AY43" s="62">
        <f t="shared" si="21"/>
        <v>1</v>
      </c>
      <c r="AZ43" s="63">
        <f t="shared" si="21"/>
        <v>1</v>
      </c>
      <c r="BA43" s="37">
        <f t="shared" si="16"/>
        <v>40</v>
      </c>
      <c r="BB43" s="9">
        <f t="shared" si="7"/>
        <v>437</v>
      </c>
      <c r="BC43" s="10">
        <f t="shared" si="8"/>
        <v>83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400</v>
      </c>
      <c r="E44" s="61">
        <v>1</v>
      </c>
      <c r="F44" s="62">
        <f t="shared" ref="F44:L59" si="22">E44</f>
        <v>1</v>
      </c>
      <c r="G44" s="62">
        <f t="shared" si="22"/>
        <v>1</v>
      </c>
      <c r="H44" s="62">
        <f t="shared" si="22"/>
        <v>1</v>
      </c>
      <c r="I44" s="62">
        <f t="shared" si="22"/>
        <v>1</v>
      </c>
      <c r="J44" s="62">
        <f t="shared" si="22"/>
        <v>1</v>
      </c>
      <c r="K44" s="62">
        <f t="shared" si="22"/>
        <v>1</v>
      </c>
      <c r="L44" s="63">
        <f t="shared" si="22"/>
        <v>1</v>
      </c>
      <c r="M44" s="61">
        <v>1</v>
      </c>
      <c r="N44" s="62">
        <f t="shared" si="17"/>
        <v>1</v>
      </c>
      <c r="O44" s="62">
        <f t="shared" si="17"/>
        <v>1</v>
      </c>
      <c r="P44" s="62">
        <f t="shared" si="17"/>
        <v>1</v>
      </c>
      <c r="Q44" s="62">
        <f t="shared" si="17"/>
        <v>1</v>
      </c>
      <c r="R44" s="62">
        <f t="shared" si="17"/>
        <v>1</v>
      </c>
      <c r="S44" s="62">
        <f t="shared" si="17"/>
        <v>1</v>
      </c>
      <c r="T44" s="63">
        <f t="shared" si="17"/>
        <v>1</v>
      </c>
      <c r="U44" s="61">
        <v>1</v>
      </c>
      <c r="V44" s="62">
        <f t="shared" si="18"/>
        <v>1</v>
      </c>
      <c r="W44" s="62">
        <f t="shared" si="18"/>
        <v>1</v>
      </c>
      <c r="X44" s="62">
        <f t="shared" si="18"/>
        <v>1</v>
      </c>
      <c r="Y44" s="62">
        <f t="shared" si="18"/>
        <v>1</v>
      </c>
      <c r="Z44" s="62">
        <f t="shared" si="18"/>
        <v>1</v>
      </c>
      <c r="AA44" s="62">
        <f t="shared" si="18"/>
        <v>1</v>
      </c>
      <c r="AB44" s="63">
        <f t="shared" si="18"/>
        <v>1</v>
      </c>
      <c r="AC44" s="61">
        <v>1</v>
      </c>
      <c r="AD44" s="62">
        <f t="shared" si="19"/>
        <v>1</v>
      </c>
      <c r="AE44" s="62">
        <f t="shared" si="19"/>
        <v>1</v>
      </c>
      <c r="AF44" s="62">
        <f t="shared" si="19"/>
        <v>1</v>
      </c>
      <c r="AG44" s="62">
        <f t="shared" si="19"/>
        <v>1</v>
      </c>
      <c r="AH44" s="62">
        <f t="shared" si="19"/>
        <v>1</v>
      </c>
      <c r="AI44" s="62">
        <f t="shared" si="19"/>
        <v>1</v>
      </c>
      <c r="AJ44" s="63">
        <f t="shared" si="19"/>
        <v>1</v>
      </c>
      <c r="AK44" s="61">
        <v>1</v>
      </c>
      <c r="AL44" s="62">
        <f t="shared" si="20"/>
        <v>1</v>
      </c>
      <c r="AM44" s="62">
        <f t="shared" si="20"/>
        <v>1</v>
      </c>
      <c r="AN44" s="62">
        <f t="shared" si="20"/>
        <v>1</v>
      </c>
      <c r="AO44" s="62">
        <f t="shared" si="20"/>
        <v>1</v>
      </c>
      <c r="AP44" s="62">
        <f t="shared" si="20"/>
        <v>1</v>
      </c>
      <c r="AQ44" s="62">
        <f t="shared" si="20"/>
        <v>1</v>
      </c>
      <c r="AR44" s="63">
        <f t="shared" si="20"/>
        <v>1</v>
      </c>
      <c r="AS44" s="61">
        <v>1</v>
      </c>
      <c r="AT44" s="62">
        <f t="shared" si="21"/>
        <v>1</v>
      </c>
      <c r="AU44" s="62">
        <f t="shared" si="21"/>
        <v>1</v>
      </c>
      <c r="AV44" s="62">
        <f t="shared" si="21"/>
        <v>1</v>
      </c>
      <c r="AW44" s="62">
        <f t="shared" si="21"/>
        <v>1</v>
      </c>
      <c r="AX44" s="62">
        <f t="shared" si="21"/>
        <v>1</v>
      </c>
      <c r="AY44" s="62">
        <f t="shared" si="21"/>
        <v>1</v>
      </c>
      <c r="AZ44" s="63">
        <f t="shared" si="21"/>
        <v>1</v>
      </c>
      <c r="BA44" s="37">
        <f t="shared" si="16"/>
        <v>48</v>
      </c>
      <c r="BB44" s="9">
        <f t="shared" si="7"/>
        <v>448</v>
      </c>
      <c r="BC44" s="10">
        <f t="shared" si="8"/>
        <v>85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430</v>
      </c>
      <c r="E45" s="61">
        <v>1</v>
      </c>
      <c r="F45" s="62">
        <f t="shared" si="22"/>
        <v>1</v>
      </c>
      <c r="G45" s="62">
        <f t="shared" si="22"/>
        <v>1</v>
      </c>
      <c r="H45" s="62">
        <f t="shared" si="22"/>
        <v>1</v>
      </c>
      <c r="I45" s="62">
        <f t="shared" si="22"/>
        <v>1</v>
      </c>
      <c r="J45" s="62">
        <f t="shared" si="22"/>
        <v>1</v>
      </c>
      <c r="K45" s="62">
        <f t="shared" si="22"/>
        <v>1</v>
      </c>
      <c r="L45" s="63">
        <f t="shared" si="22"/>
        <v>1</v>
      </c>
      <c r="M45" s="61">
        <v>1</v>
      </c>
      <c r="N45" s="62">
        <f t="shared" si="17"/>
        <v>1</v>
      </c>
      <c r="O45" s="62">
        <f t="shared" si="17"/>
        <v>1</v>
      </c>
      <c r="P45" s="62">
        <f t="shared" si="17"/>
        <v>1</v>
      </c>
      <c r="Q45" s="62">
        <f t="shared" si="17"/>
        <v>1</v>
      </c>
      <c r="R45" s="62">
        <f t="shared" si="17"/>
        <v>1</v>
      </c>
      <c r="S45" s="62">
        <f t="shared" si="17"/>
        <v>1</v>
      </c>
      <c r="T45" s="63">
        <f t="shared" si="17"/>
        <v>1</v>
      </c>
      <c r="U45" s="61">
        <v>1</v>
      </c>
      <c r="V45" s="62">
        <f t="shared" si="18"/>
        <v>1</v>
      </c>
      <c r="W45" s="62">
        <f t="shared" si="18"/>
        <v>1</v>
      </c>
      <c r="X45" s="62">
        <f t="shared" si="18"/>
        <v>1</v>
      </c>
      <c r="Y45" s="62">
        <f t="shared" si="18"/>
        <v>1</v>
      </c>
      <c r="Z45" s="62">
        <f t="shared" si="18"/>
        <v>1</v>
      </c>
      <c r="AA45" s="62">
        <f t="shared" si="18"/>
        <v>1</v>
      </c>
      <c r="AB45" s="63">
        <f t="shared" si="18"/>
        <v>1</v>
      </c>
      <c r="AC45" s="61">
        <v>1</v>
      </c>
      <c r="AD45" s="62">
        <f t="shared" si="19"/>
        <v>1</v>
      </c>
      <c r="AE45" s="62">
        <f t="shared" si="19"/>
        <v>1</v>
      </c>
      <c r="AF45" s="62">
        <f t="shared" si="19"/>
        <v>1</v>
      </c>
      <c r="AG45" s="62">
        <f t="shared" si="19"/>
        <v>1</v>
      </c>
      <c r="AH45" s="62">
        <f t="shared" si="19"/>
        <v>1</v>
      </c>
      <c r="AI45" s="62">
        <f t="shared" si="19"/>
        <v>1</v>
      </c>
      <c r="AJ45" s="63">
        <f t="shared" si="19"/>
        <v>1</v>
      </c>
      <c r="AK45" s="61">
        <v>1</v>
      </c>
      <c r="AL45" s="62">
        <f t="shared" si="20"/>
        <v>1</v>
      </c>
      <c r="AM45" s="62">
        <f t="shared" si="20"/>
        <v>1</v>
      </c>
      <c r="AN45" s="62">
        <f t="shared" si="20"/>
        <v>1</v>
      </c>
      <c r="AO45" s="62">
        <f t="shared" si="20"/>
        <v>1</v>
      </c>
      <c r="AP45" s="62">
        <f t="shared" si="20"/>
        <v>1</v>
      </c>
      <c r="AQ45" s="62">
        <f t="shared" si="20"/>
        <v>1</v>
      </c>
      <c r="AR45" s="63">
        <f t="shared" si="20"/>
        <v>1</v>
      </c>
      <c r="AS45" s="61">
        <v>1</v>
      </c>
      <c r="AT45" s="62">
        <f t="shared" si="21"/>
        <v>1</v>
      </c>
      <c r="AU45" s="62">
        <f t="shared" si="21"/>
        <v>1</v>
      </c>
      <c r="AV45" s="62">
        <f t="shared" si="21"/>
        <v>1</v>
      </c>
      <c r="AW45" s="62">
        <f t="shared" si="21"/>
        <v>1</v>
      </c>
      <c r="AX45" s="62">
        <f t="shared" si="21"/>
        <v>1</v>
      </c>
      <c r="AY45" s="62">
        <f t="shared" si="21"/>
        <v>1</v>
      </c>
      <c r="AZ45" s="63">
        <f t="shared" si="21"/>
        <v>1</v>
      </c>
      <c r="BA45" s="37">
        <f t="shared" si="16"/>
        <v>48</v>
      </c>
      <c r="BB45" s="9">
        <f t="shared" si="7"/>
        <v>478</v>
      </c>
      <c r="BC45" s="10">
        <f t="shared" si="8"/>
        <v>91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440</v>
      </c>
      <c r="E46" s="61">
        <v>1</v>
      </c>
      <c r="F46" s="62">
        <f t="shared" si="22"/>
        <v>1</v>
      </c>
      <c r="G46" s="62">
        <f t="shared" si="22"/>
        <v>1</v>
      </c>
      <c r="H46" s="62">
        <f t="shared" si="22"/>
        <v>1</v>
      </c>
      <c r="I46" s="62">
        <f t="shared" si="22"/>
        <v>1</v>
      </c>
      <c r="J46" s="62">
        <f t="shared" si="22"/>
        <v>1</v>
      </c>
      <c r="K46" s="62">
        <f t="shared" si="22"/>
        <v>1</v>
      </c>
      <c r="L46" s="63">
        <f t="shared" si="22"/>
        <v>1</v>
      </c>
      <c r="M46" s="61">
        <v>1</v>
      </c>
      <c r="N46" s="62">
        <f t="shared" si="17"/>
        <v>1</v>
      </c>
      <c r="O46" s="62">
        <f t="shared" si="17"/>
        <v>1</v>
      </c>
      <c r="P46" s="62">
        <f t="shared" si="17"/>
        <v>1</v>
      </c>
      <c r="Q46" s="62">
        <f t="shared" si="17"/>
        <v>1</v>
      </c>
      <c r="R46" s="62">
        <f t="shared" si="17"/>
        <v>1</v>
      </c>
      <c r="S46" s="62">
        <f t="shared" si="17"/>
        <v>1</v>
      </c>
      <c r="T46" s="63">
        <f t="shared" si="17"/>
        <v>1</v>
      </c>
      <c r="U46" s="61" t="s">
        <v>124</v>
      </c>
      <c r="V46" s="62" t="str">
        <f t="shared" si="18"/>
        <v>a</v>
      </c>
      <c r="W46" s="62" t="str">
        <f t="shared" si="18"/>
        <v>a</v>
      </c>
      <c r="X46" s="62" t="str">
        <f t="shared" si="18"/>
        <v>a</v>
      </c>
      <c r="Y46" s="62" t="str">
        <f t="shared" si="18"/>
        <v>a</v>
      </c>
      <c r="Z46" s="62" t="str">
        <f t="shared" si="18"/>
        <v>a</v>
      </c>
      <c r="AA46" s="62" t="str">
        <f t="shared" si="18"/>
        <v>a</v>
      </c>
      <c r="AB46" s="63" t="str">
        <f t="shared" si="18"/>
        <v>a</v>
      </c>
      <c r="AC46" s="61">
        <v>1</v>
      </c>
      <c r="AD46" s="62">
        <f t="shared" si="19"/>
        <v>1</v>
      </c>
      <c r="AE46" s="62">
        <f t="shared" si="19"/>
        <v>1</v>
      </c>
      <c r="AF46" s="62">
        <f t="shared" si="19"/>
        <v>1</v>
      </c>
      <c r="AG46" s="62">
        <f t="shared" si="19"/>
        <v>1</v>
      </c>
      <c r="AH46" s="62">
        <f t="shared" si="19"/>
        <v>1</v>
      </c>
      <c r="AI46" s="62">
        <f t="shared" si="19"/>
        <v>1</v>
      </c>
      <c r="AJ46" s="63">
        <f t="shared" si="19"/>
        <v>1</v>
      </c>
      <c r="AK46" s="61">
        <v>1</v>
      </c>
      <c r="AL46" s="62">
        <f t="shared" si="20"/>
        <v>1</v>
      </c>
      <c r="AM46" s="62">
        <f t="shared" si="20"/>
        <v>1</v>
      </c>
      <c r="AN46" s="62">
        <f t="shared" si="20"/>
        <v>1</v>
      </c>
      <c r="AO46" s="62">
        <f t="shared" si="20"/>
        <v>1</v>
      </c>
      <c r="AP46" s="62">
        <f t="shared" si="20"/>
        <v>1</v>
      </c>
      <c r="AQ46" s="62">
        <f t="shared" si="20"/>
        <v>1</v>
      </c>
      <c r="AR46" s="63">
        <f t="shared" si="20"/>
        <v>1</v>
      </c>
      <c r="AS46" s="61">
        <v>1</v>
      </c>
      <c r="AT46" s="62">
        <f t="shared" si="21"/>
        <v>1</v>
      </c>
      <c r="AU46" s="62">
        <f t="shared" si="21"/>
        <v>1</v>
      </c>
      <c r="AV46" s="62">
        <f t="shared" si="21"/>
        <v>1</v>
      </c>
      <c r="AW46" s="62">
        <f t="shared" si="21"/>
        <v>1</v>
      </c>
      <c r="AX46" s="62">
        <f t="shared" si="21"/>
        <v>1</v>
      </c>
      <c r="AY46" s="62">
        <f t="shared" si="21"/>
        <v>1</v>
      </c>
      <c r="AZ46" s="63">
        <f t="shared" si="21"/>
        <v>1</v>
      </c>
      <c r="BA46" s="37">
        <f t="shared" si="16"/>
        <v>40</v>
      </c>
      <c r="BB46" s="9">
        <f t="shared" si="7"/>
        <v>480</v>
      </c>
      <c r="BC46" s="10">
        <f t="shared" si="8"/>
        <v>91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424</v>
      </c>
      <c r="E47" s="61" t="s">
        <v>124</v>
      </c>
      <c r="F47" s="62" t="str">
        <f t="shared" si="22"/>
        <v>a</v>
      </c>
      <c r="G47" s="62" t="str">
        <f t="shared" si="22"/>
        <v>a</v>
      </c>
      <c r="H47" s="62" t="str">
        <f t="shared" si="22"/>
        <v>a</v>
      </c>
      <c r="I47" s="62" t="str">
        <f t="shared" si="22"/>
        <v>a</v>
      </c>
      <c r="J47" s="62" t="str">
        <f t="shared" si="22"/>
        <v>a</v>
      </c>
      <c r="K47" s="62" t="str">
        <f t="shared" si="22"/>
        <v>a</v>
      </c>
      <c r="L47" s="63" t="str">
        <f t="shared" si="22"/>
        <v>a</v>
      </c>
      <c r="M47" s="61">
        <v>1</v>
      </c>
      <c r="N47" s="62">
        <f t="shared" si="17"/>
        <v>1</v>
      </c>
      <c r="O47" s="62">
        <f t="shared" si="17"/>
        <v>1</v>
      </c>
      <c r="P47" s="62">
        <f t="shared" si="17"/>
        <v>1</v>
      </c>
      <c r="Q47" s="62">
        <f t="shared" si="17"/>
        <v>1</v>
      </c>
      <c r="R47" s="62">
        <f t="shared" si="17"/>
        <v>1</v>
      </c>
      <c r="S47" s="62">
        <f t="shared" si="17"/>
        <v>1</v>
      </c>
      <c r="T47" s="63">
        <f t="shared" si="17"/>
        <v>1</v>
      </c>
      <c r="U47" s="61">
        <v>1</v>
      </c>
      <c r="V47" s="62">
        <f t="shared" si="18"/>
        <v>1</v>
      </c>
      <c r="W47" s="62">
        <f t="shared" si="18"/>
        <v>1</v>
      </c>
      <c r="X47" s="62">
        <f t="shared" si="18"/>
        <v>1</v>
      </c>
      <c r="Y47" s="62">
        <f t="shared" si="18"/>
        <v>1</v>
      </c>
      <c r="Z47" s="62">
        <f t="shared" si="18"/>
        <v>1</v>
      </c>
      <c r="AA47" s="62">
        <f t="shared" si="18"/>
        <v>1</v>
      </c>
      <c r="AB47" s="63">
        <f t="shared" si="18"/>
        <v>1</v>
      </c>
      <c r="AC47" s="61">
        <v>1</v>
      </c>
      <c r="AD47" s="62">
        <f t="shared" si="19"/>
        <v>1</v>
      </c>
      <c r="AE47" s="62">
        <f t="shared" si="19"/>
        <v>1</v>
      </c>
      <c r="AF47" s="62">
        <f t="shared" si="19"/>
        <v>1</v>
      </c>
      <c r="AG47" s="62">
        <f t="shared" si="19"/>
        <v>1</v>
      </c>
      <c r="AH47" s="62">
        <f t="shared" si="19"/>
        <v>1</v>
      </c>
      <c r="AI47" s="62">
        <f t="shared" si="19"/>
        <v>1</v>
      </c>
      <c r="AJ47" s="63">
        <f t="shared" si="19"/>
        <v>1</v>
      </c>
      <c r="AK47" s="61">
        <v>1</v>
      </c>
      <c r="AL47" s="62">
        <f t="shared" si="20"/>
        <v>1</v>
      </c>
      <c r="AM47" s="62">
        <f t="shared" si="20"/>
        <v>1</v>
      </c>
      <c r="AN47" s="62">
        <f t="shared" si="20"/>
        <v>1</v>
      </c>
      <c r="AO47" s="62">
        <f t="shared" si="20"/>
        <v>1</v>
      </c>
      <c r="AP47" s="62">
        <f t="shared" si="20"/>
        <v>1</v>
      </c>
      <c r="AQ47" s="62">
        <f t="shared" si="20"/>
        <v>1</v>
      </c>
      <c r="AR47" s="63">
        <f t="shared" si="20"/>
        <v>1</v>
      </c>
      <c r="AS47" s="61">
        <v>1</v>
      </c>
      <c r="AT47" s="62">
        <f t="shared" si="21"/>
        <v>1</v>
      </c>
      <c r="AU47" s="62">
        <f t="shared" si="21"/>
        <v>1</v>
      </c>
      <c r="AV47" s="62">
        <f t="shared" si="21"/>
        <v>1</v>
      </c>
      <c r="AW47" s="62">
        <f t="shared" si="21"/>
        <v>1</v>
      </c>
      <c r="AX47" s="62">
        <f t="shared" si="21"/>
        <v>1</v>
      </c>
      <c r="AY47" s="62">
        <f t="shared" si="21"/>
        <v>1</v>
      </c>
      <c r="AZ47" s="63">
        <f t="shared" si="21"/>
        <v>1</v>
      </c>
      <c r="BA47" s="37">
        <f t="shared" si="16"/>
        <v>40</v>
      </c>
      <c r="BB47" s="9">
        <f t="shared" si="7"/>
        <v>464</v>
      </c>
      <c r="BC47" s="10">
        <f t="shared" si="8"/>
        <v>88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402</v>
      </c>
      <c r="E48" s="61">
        <v>1</v>
      </c>
      <c r="F48" s="62">
        <f t="shared" si="22"/>
        <v>1</v>
      </c>
      <c r="G48" s="62">
        <f t="shared" si="22"/>
        <v>1</v>
      </c>
      <c r="H48" s="62">
        <f t="shared" si="22"/>
        <v>1</v>
      </c>
      <c r="I48" s="62">
        <f t="shared" si="22"/>
        <v>1</v>
      </c>
      <c r="J48" s="62">
        <f t="shared" si="22"/>
        <v>1</v>
      </c>
      <c r="K48" s="62">
        <f t="shared" si="22"/>
        <v>1</v>
      </c>
      <c r="L48" s="63">
        <f t="shared" si="22"/>
        <v>1</v>
      </c>
      <c r="M48" s="61">
        <v>1</v>
      </c>
      <c r="N48" s="62">
        <f t="shared" si="17"/>
        <v>1</v>
      </c>
      <c r="O48" s="62">
        <f t="shared" si="17"/>
        <v>1</v>
      </c>
      <c r="P48" s="62">
        <f t="shared" si="17"/>
        <v>1</v>
      </c>
      <c r="Q48" s="62">
        <f t="shared" si="17"/>
        <v>1</v>
      </c>
      <c r="R48" s="62">
        <f t="shared" si="17"/>
        <v>1</v>
      </c>
      <c r="S48" s="62">
        <f t="shared" si="17"/>
        <v>1</v>
      </c>
      <c r="T48" s="63">
        <f t="shared" si="17"/>
        <v>1</v>
      </c>
      <c r="U48" s="61" t="s">
        <v>124</v>
      </c>
      <c r="V48" s="62" t="str">
        <f t="shared" si="18"/>
        <v>a</v>
      </c>
      <c r="W48" s="62" t="str">
        <f t="shared" si="18"/>
        <v>a</v>
      </c>
      <c r="X48" s="62" t="str">
        <f t="shared" si="18"/>
        <v>a</v>
      </c>
      <c r="Y48" s="62" t="str">
        <f t="shared" si="18"/>
        <v>a</v>
      </c>
      <c r="Z48" s="62" t="str">
        <f t="shared" si="18"/>
        <v>a</v>
      </c>
      <c r="AA48" s="62" t="str">
        <f t="shared" si="18"/>
        <v>a</v>
      </c>
      <c r="AB48" s="63" t="str">
        <f t="shared" si="18"/>
        <v>a</v>
      </c>
      <c r="AC48" s="61">
        <v>1</v>
      </c>
      <c r="AD48" s="62">
        <f t="shared" si="19"/>
        <v>1</v>
      </c>
      <c r="AE48" s="62">
        <f t="shared" si="19"/>
        <v>1</v>
      </c>
      <c r="AF48" s="62">
        <f t="shared" si="19"/>
        <v>1</v>
      </c>
      <c r="AG48" s="62">
        <f t="shared" si="19"/>
        <v>1</v>
      </c>
      <c r="AH48" s="62">
        <f t="shared" si="19"/>
        <v>1</v>
      </c>
      <c r="AI48" s="62">
        <f t="shared" si="19"/>
        <v>1</v>
      </c>
      <c r="AJ48" s="63">
        <f t="shared" si="19"/>
        <v>1</v>
      </c>
      <c r="AK48" s="61">
        <v>1</v>
      </c>
      <c r="AL48" s="62">
        <f t="shared" si="20"/>
        <v>1</v>
      </c>
      <c r="AM48" s="62">
        <f t="shared" si="20"/>
        <v>1</v>
      </c>
      <c r="AN48" s="62">
        <f t="shared" si="20"/>
        <v>1</v>
      </c>
      <c r="AO48" s="62">
        <f t="shared" si="20"/>
        <v>1</v>
      </c>
      <c r="AP48" s="62">
        <f t="shared" si="20"/>
        <v>1</v>
      </c>
      <c r="AQ48" s="62">
        <f t="shared" si="20"/>
        <v>1</v>
      </c>
      <c r="AR48" s="63">
        <f t="shared" si="20"/>
        <v>1</v>
      </c>
      <c r="AS48" s="61">
        <v>1</v>
      </c>
      <c r="AT48" s="62">
        <f t="shared" si="21"/>
        <v>1</v>
      </c>
      <c r="AU48" s="62">
        <f t="shared" si="21"/>
        <v>1</v>
      </c>
      <c r="AV48" s="62">
        <f t="shared" si="21"/>
        <v>1</v>
      </c>
      <c r="AW48" s="62">
        <f t="shared" si="21"/>
        <v>1</v>
      </c>
      <c r="AX48" s="62">
        <f t="shared" si="21"/>
        <v>1</v>
      </c>
      <c r="AY48" s="62">
        <f t="shared" si="21"/>
        <v>1</v>
      </c>
      <c r="AZ48" s="63">
        <f t="shared" si="21"/>
        <v>1</v>
      </c>
      <c r="BA48" s="37">
        <f t="shared" si="16"/>
        <v>40</v>
      </c>
      <c r="BB48" s="9">
        <f t="shared" si="7"/>
        <v>442</v>
      </c>
      <c r="BC48" s="10">
        <f t="shared" si="8"/>
        <v>84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462</v>
      </c>
      <c r="E49" s="61">
        <v>1</v>
      </c>
      <c r="F49" s="62">
        <f t="shared" si="22"/>
        <v>1</v>
      </c>
      <c r="G49" s="62">
        <f t="shared" si="22"/>
        <v>1</v>
      </c>
      <c r="H49" s="62">
        <f t="shared" si="22"/>
        <v>1</v>
      </c>
      <c r="I49" s="62">
        <f t="shared" si="22"/>
        <v>1</v>
      </c>
      <c r="J49" s="62">
        <f t="shared" si="22"/>
        <v>1</v>
      </c>
      <c r="K49" s="62">
        <f t="shared" si="22"/>
        <v>1</v>
      </c>
      <c r="L49" s="63">
        <f t="shared" si="22"/>
        <v>1</v>
      </c>
      <c r="M49" s="61">
        <v>1</v>
      </c>
      <c r="N49" s="62">
        <f t="shared" si="17"/>
        <v>1</v>
      </c>
      <c r="O49" s="62">
        <f t="shared" si="17"/>
        <v>1</v>
      </c>
      <c r="P49" s="62">
        <f t="shared" si="17"/>
        <v>1</v>
      </c>
      <c r="Q49" s="62">
        <f t="shared" si="17"/>
        <v>1</v>
      </c>
      <c r="R49" s="62">
        <f t="shared" si="17"/>
        <v>1</v>
      </c>
      <c r="S49" s="62">
        <f t="shared" si="17"/>
        <v>1</v>
      </c>
      <c r="T49" s="63">
        <f t="shared" si="17"/>
        <v>1</v>
      </c>
      <c r="U49" s="61">
        <v>1</v>
      </c>
      <c r="V49" s="62">
        <f t="shared" si="18"/>
        <v>1</v>
      </c>
      <c r="W49" s="62">
        <f t="shared" si="18"/>
        <v>1</v>
      </c>
      <c r="X49" s="62">
        <f t="shared" si="18"/>
        <v>1</v>
      </c>
      <c r="Y49" s="62">
        <f t="shared" si="18"/>
        <v>1</v>
      </c>
      <c r="Z49" s="62">
        <f t="shared" si="18"/>
        <v>1</v>
      </c>
      <c r="AA49" s="62">
        <f t="shared" si="18"/>
        <v>1</v>
      </c>
      <c r="AB49" s="63">
        <f t="shared" si="18"/>
        <v>1</v>
      </c>
      <c r="AC49" s="61">
        <v>1</v>
      </c>
      <c r="AD49" s="62">
        <f t="shared" si="19"/>
        <v>1</v>
      </c>
      <c r="AE49" s="62">
        <f t="shared" si="19"/>
        <v>1</v>
      </c>
      <c r="AF49" s="62">
        <f t="shared" si="19"/>
        <v>1</v>
      </c>
      <c r="AG49" s="62">
        <f t="shared" si="19"/>
        <v>1</v>
      </c>
      <c r="AH49" s="62">
        <f t="shared" si="19"/>
        <v>1</v>
      </c>
      <c r="AI49" s="62">
        <f t="shared" si="19"/>
        <v>1</v>
      </c>
      <c r="AJ49" s="63">
        <f t="shared" si="19"/>
        <v>1</v>
      </c>
      <c r="AK49" s="61">
        <v>1</v>
      </c>
      <c r="AL49" s="62">
        <f t="shared" si="20"/>
        <v>1</v>
      </c>
      <c r="AM49" s="62">
        <f t="shared" si="20"/>
        <v>1</v>
      </c>
      <c r="AN49" s="62">
        <f t="shared" si="20"/>
        <v>1</v>
      </c>
      <c r="AO49" s="62">
        <f t="shared" si="20"/>
        <v>1</v>
      </c>
      <c r="AP49" s="62">
        <f t="shared" si="20"/>
        <v>1</v>
      </c>
      <c r="AQ49" s="62">
        <f t="shared" si="20"/>
        <v>1</v>
      </c>
      <c r="AR49" s="63">
        <f t="shared" si="20"/>
        <v>1</v>
      </c>
      <c r="AS49" s="61">
        <v>1</v>
      </c>
      <c r="AT49" s="62">
        <f t="shared" si="21"/>
        <v>1</v>
      </c>
      <c r="AU49" s="62">
        <f t="shared" si="21"/>
        <v>1</v>
      </c>
      <c r="AV49" s="62">
        <f t="shared" si="21"/>
        <v>1</v>
      </c>
      <c r="AW49" s="62">
        <f t="shared" si="21"/>
        <v>1</v>
      </c>
      <c r="AX49" s="62">
        <f t="shared" si="21"/>
        <v>1</v>
      </c>
      <c r="AY49" s="62">
        <f t="shared" si="21"/>
        <v>1</v>
      </c>
      <c r="AZ49" s="63">
        <f t="shared" si="21"/>
        <v>1</v>
      </c>
      <c r="BA49" s="37">
        <f t="shared" si="16"/>
        <v>48</v>
      </c>
      <c r="BB49" s="9">
        <f t="shared" si="7"/>
        <v>510</v>
      </c>
      <c r="BC49" s="10">
        <f t="shared" si="8"/>
        <v>97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448</v>
      </c>
      <c r="E50" s="61">
        <v>1</v>
      </c>
      <c r="F50" s="62">
        <f t="shared" si="22"/>
        <v>1</v>
      </c>
      <c r="G50" s="62">
        <f t="shared" si="22"/>
        <v>1</v>
      </c>
      <c r="H50" s="62">
        <f t="shared" si="22"/>
        <v>1</v>
      </c>
      <c r="I50" s="62">
        <f t="shared" si="22"/>
        <v>1</v>
      </c>
      <c r="J50" s="62">
        <f t="shared" si="22"/>
        <v>1</v>
      </c>
      <c r="K50" s="62">
        <f t="shared" si="22"/>
        <v>1</v>
      </c>
      <c r="L50" s="63">
        <f t="shared" si="22"/>
        <v>1</v>
      </c>
      <c r="M50" s="61">
        <v>1</v>
      </c>
      <c r="N50" s="62">
        <f t="shared" si="17"/>
        <v>1</v>
      </c>
      <c r="O50" s="62">
        <f t="shared" si="17"/>
        <v>1</v>
      </c>
      <c r="P50" s="62">
        <f t="shared" si="17"/>
        <v>1</v>
      </c>
      <c r="Q50" s="62">
        <f t="shared" si="17"/>
        <v>1</v>
      </c>
      <c r="R50" s="62">
        <f t="shared" si="17"/>
        <v>1</v>
      </c>
      <c r="S50" s="62">
        <f t="shared" si="17"/>
        <v>1</v>
      </c>
      <c r="T50" s="63">
        <f t="shared" si="17"/>
        <v>1</v>
      </c>
      <c r="U50" s="61" t="s">
        <v>124</v>
      </c>
      <c r="V50" s="62" t="str">
        <f t="shared" si="18"/>
        <v>a</v>
      </c>
      <c r="W50" s="62" t="str">
        <f t="shared" si="18"/>
        <v>a</v>
      </c>
      <c r="X50" s="62" t="str">
        <f t="shared" si="18"/>
        <v>a</v>
      </c>
      <c r="Y50" s="62" t="str">
        <f t="shared" si="18"/>
        <v>a</v>
      </c>
      <c r="Z50" s="62" t="str">
        <f t="shared" si="18"/>
        <v>a</v>
      </c>
      <c r="AA50" s="62" t="str">
        <f t="shared" si="18"/>
        <v>a</v>
      </c>
      <c r="AB50" s="63" t="str">
        <f t="shared" si="18"/>
        <v>a</v>
      </c>
      <c r="AC50" s="61">
        <v>1</v>
      </c>
      <c r="AD50" s="62">
        <f t="shared" si="19"/>
        <v>1</v>
      </c>
      <c r="AE50" s="62">
        <f t="shared" si="19"/>
        <v>1</v>
      </c>
      <c r="AF50" s="62">
        <f t="shared" si="19"/>
        <v>1</v>
      </c>
      <c r="AG50" s="62">
        <f t="shared" si="19"/>
        <v>1</v>
      </c>
      <c r="AH50" s="62">
        <f t="shared" si="19"/>
        <v>1</v>
      </c>
      <c r="AI50" s="62">
        <f t="shared" si="19"/>
        <v>1</v>
      </c>
      <c r="AJ50" s="63">
        <f t="shared" si="19"/>
        <v>1</v>
      </c>
      <c r="AK50" s="61">
        <v>1</v>
      </c>
      <c r="AL50" s="62">
        <f t="shared" si="20"/>
        <v>1</v>
      </c>
      <c r="AM50" s="62">
        <f t="shared" si="20"/>
        <v>1</v>
      </c>
      <c r="AN50" s="62">
        <f t="shared" si="20"/>
        <v>1</v>
      </c>
      <c r="AO50" s="62">
        <f t="shared" si="20"/>
        <v>1</v>
      </c>
      <c r="AP50" s="62">
        <f t="shared" si="20"/>
        <v>1</v>
      </c>
      <c r="AQ50" s="62">
        <f t="shared" si="20"/>
        <v>1</v>
      </c>
      <c r="AR50" s="63">
        <f t="shared" si="20"/>
        <v>1</v>
      </c>
      <c r="AS50" s="61">
        <v>1</v>
      </c>
      <c r="AT50" s="62">
        <f t="shared" si="21"/>
        <v>1</v>
      </c>
      <c r="AU50" s="62">
        <f t="shared" si="21"/>
        <v>1</v>
      </c>
      <c r="AV50" s="62">
        <f t="shared" si="21"/>
        <v>1</v>
      </c>
      <c r="AW50" s="62">
        <f t="shared" si="21"/>
        <v>1</v>
      </c>
      <c r="AX50" s="62">
        <f t="shared" si="21"/>
        <v>1</v>
      </c>
      <c r="AY50" s="62">
        <f t="shared" si="21"/>
        <v>1</v>
      </c>
      <c r="AZ50" s="63">
        <f t="shared" si="21"/>
        <v>1</v>
      </c>
      <c r="BA50" s="37">
        <f t="shared" si="16"/>
        <v>40</v>
      </c>
      <c r="BB50" s="9">
        <f t="shared" si="7"/>
        <v>488</v>
      </c>
      <c r="BC50" s="10">
        <f t="shared" si="8"/>
        <v>93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448</v>
      </c>
      <c r="E51" s="61">
        <v>1</v>
      </c>
      <c r="F51" s="62">
        <f t="shared" si="22"/>
        <v>1</v>
      </c>
      <c r="G51" s="62">
        <f t="shared" si="22"/>
        <v>1</v>
      </c>
      <c r="H51" s="62">
        <f t="shared" si="22"/>
        <v>1</v>
      </c>
      <c r="I51" s="62">
        <f t="shared" si="22"/>
        <v>1</v>
      </c>
      <c r="J51" s="62">
        <f t="shared" si="22"/>
        <v>1</v>
      </c>
      <c r="K51" s="62">
        <f t="shared" si="22"/>
        <v>1</v>
      </c>
      <c r="L51" s="63">
        <f t="shared" si="22"/>
        <v>1</v>
      </c>
      <c r="M51" s="61">
        <v>1</v>
      </c>
      <c r="N51" s="62">
        <f t="shared" si="17"/>
        <v>1</v>
      </c>
      <c r="O51" s="62">
        <f t="shared" si="17"/>
        <v>1</v>
      </c>
      <c r="P51" s="62">
        <f t="shared" si="17"/>
        <v>1</v>
      </c>
      <c r="Q51" s="62">
        <f t="shared" si="17"/>
        <v>1</v>
      </c>
      <c r="R51" s="62">
        <f t="shared" si="17"/>
        <v>1</v>
      </c>
      <c r="S51" s="62">
        <f t="shared" si="17"/>
        <v>1</v>
      </c>
      <c r="T51" s="63">
        <f t="shared" si="17"/>
        <v>1</v>
      </c>
      <c r="U51" s="61">
        <v>1</v>
      </c>
      <c r="V51" s="62">
        <f t="shared" si="18"/>
        <v>1</v>
      </c>
      <c r="W51" s="62">
        <f t="shared" si="18"/>
        <v>1</v>
      </c>
      <c r="X51" s="62">
        <f t="shared" si="18"/>
        <v>1</v>
      </c>
      <c r="Y51" s="62">
        <f t="shared" si="18"/>
        <v>1</v>
      </c>
      <c r="Z51" s="62">
        <f t="shared" si="18"/>
        <v>1</v>
      </c>
      <c r="AA51" s="62">
        <f t="shared" si="18"/>
        <v>1</v>
      </c>
      <c r="AB51" s="63">
        <f t="shared" si="18"/>
        <v>1</v>
      </c>
      <c r="AC51" s="61">
        <v>1</v>
      </c>
      <c r="AD51" s="62">
        <f t="shared" si="19"/>
        <v>1</v>
      </c>
      <c r="AE51" s="62">
        <f t="shared" si="19"/>
        <v>1</v>
      </c>
      <c r="AF51" s="62">
        <f t="shared" si="19"/>
        <v>1</v>
      </c>
      <c r="AG51" s="62">
        <f t="shared" si="19"/>
        <v>1</v>
      </c>
      <c r="AH51" s="62">
        <f t="shared" si="19"/>
        <v>1</v>
      </c>
      <c r="AI51" s="62">
        <f t="shared" si="19"/>
        <v>1</v>
      </c>
      <c r="AJ51" s="63">
        <f t="shared" si="19"/>
        <v>1</v>
      </c>
      <c r="AK51" s="61">
        <v>1</v>
      </c>
      <c r="AL51" s="62">
        <f t="shared" si="20"/>
        <v>1</v>
      </c>
      <c r="AM51" s="62">
        <f t="shared" si="20"/>
        <v>1</v>
      </c>
      <c r="AN51" s="62">
        <f t="shared" si="20"/>
        <v>1</v>
      </c>
      <c r="AO51" s="62">
        <f t="shared" si="20"/>
        <v>1</v>
      </c>
      <c r="AP51" s="62">
        <f t="shared" si="20"/>
        <v>1</v>
      </c>
      <c r="AQ51" s="62">
        <f t="shared" si="20"/>
        <v>1</v>
      </c>
      <c r="AR51" s="63">
        <f t="shared" si="20"/>
        <v>1</v>
      </c>
      <c r="AS51" s="61">
        <v>1</v>
      </c>
      <c r="AT51" s="62">
        <f t="shared" si="21"/>
        <v>1</v>
      </c>
      <c r="AU51" s="62">
        <f t="shared" si="21"/>
        <v>1</v>
      </c>
      <c r="AV51" s="62">
        <f t="shared" si="21"/>
        <v>1</v>
      </c>
      <c r="AW51" s="62">
        <f t="shared" si="21"/>
        <v>1</v>
      </c>
      <c r="AX51" s="62">
        <f t="shared" si="21"/>
        <v>1</v>
      </c>
      <c r="AY51" s="62">
        <f t="shared" si="21"/>
        <v>1</v>
      </c>
      <c r="AZ51" s="63">
        <f t="shared" si="21"/>
        <v>1</v>
      </c>
      <c r="BA51" s="37">
        <f t="shared" si="16"/>
        <v>48</v>
      </c>
      <c r="BB51" s="9">
        <f t="shared" si="7"/>
        <v>496</v>
      </c>
      <c r="BC51" s="10">
        <f t="shared" si="8"/>
        <v>94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444</v>
      </c>
      <c r="E52" s="61">
        <v>1</v>
      </c>
      <c r="F52" s="62">
        <f t="shared" si="22"/>
        <v>1</v>
      </c>
      <c r="G52" s="62">
        <f t="shared" si="22"/>
        <v>1</v>
      </c>
      <c r="H52" s="62">
        <f t="shared" si="22"/>
        <v>1</v>
      </c>
      <c r="I52" s="62">
        <f t="shared" si="22"/>
        <v>1</v>
      </c>
      <c r="J52" s="62">
        <f t="shared" si="22"/>
        <v>1</v>
      </c>
      <c r="K52" s="62">
        <f t="shared" si="22"/>
        <v>1</v>
      </c>
      <c r="L52" s="63">
        <f t="shared" si="22"/>
        <v>1</v>
      </c>
      <c r="M52" s="61" t="s">
        <v>124</v>
      </c>
      <c r="N52" s="62" t="str">
        <f t="shared" si="17"/>
        <v>a</v>
      </c>
      <c r="O52" s="62" t="str">
        <f t="shared" si="17"/>
        <v>a</v>
      </c>
      <c r="P52" s="62" t="str">
        <f t="shared" si="17"/>
        <v>a</v>
      </c>
      <c r="Q52" s="62" t="str">
        <f t="shared" si="17"/>
        <v>a</v>
      </c>
      <c r="R52" s="62" t="str">
        <f t="shared" si="17"/>
        <v>a</v>
      </c>
      <c r="S52" s="62" t="str">
        <f t="shared" si="17"/>
        <v>a</v>
      </c>
      <c r="T52" s="63" t="str">
        <f t="shared" si="17"/>
        <v>a</v>
      </c>
      <c r="U52" s="61">
        <v>1</v>
      </c>
      <c r="V52" s="62">
        <f t="shared" si="18"/>
        <v>1</v>
      </c>
      <c r="W52" s="62">
        <f t="shared" si="18"/>
        <v>1</v>
      </c>
      <c r="X52" s="62">
        <f t="shared" si="18"/>
        <v>1</v>
      </c>
      <c r="Y52" s="62">
        <f t="shared" si="18"/>
        <v>1</v>
      </c>
      <c r="Z52" s="62">
        <f t="shared" si="18"/>
        <v>1</v>
      </c>
      <c r="AA52" s="62">
        <f t="shared" si="18"/>
        <v>1</v>
      </c>
      <c r="AB52" s="63">
        <f t="shared" si="18"/>
        <v>1</v>
      </c>
      <c r="AC52" s="61">
        <v>1</v>
      </c>
      <c r="AD52" s="62">
        <f t="shared" si="19"/>
        <v>1</v>
      </c>
      <c r="AE52" s="62">
        <f t="shared" si="19"/>
        <v>1</v>
      </c>
      <c r="AF52" s="62">
        <f t="shared" si="19"/>
        <v>1</v>
      </c>
      <c r="AG52" s="62">
        <f t="shared" si="19"/>
        <v>1</v>
      </c>
      <c r="AH52" s="62">
        <f t="shared" si="19"/>
        <v>1</v>
      </c>
      <c r="AI52" s="62">
        <f t="shared" si="19"/>
        <v>1</v>
      </c>
      <c r="AJ52" s="63">
        <f t="shared" si="19"/>
        <v>1</v>
      </c>
      <c r="AK52" s="61">
        <v>1</v>
      </c>
      <c r="AL52" s="62">
        <f t="shared" si="20"/>
        <v>1</v>
      </c>
      <c r="AM52" s="62">
        <f t="shared" si="20"/>
        <v>1</v>
      </c>
      <c r="AN52" s="62">
        <f t="shared" si="20"/>
        <v>1</v>
      </c>
      <c r="AO52" s="62">
        <f t="shared" si="20"/>
        <v>1</v>
      </c>
      <c r="AP52" s="62">
        <f t="shared" si="20"/>
        <v>1</v>
      </c>
      <c r="AQ52" s="62">
        <f t="shared" si="20"/>
        <v>1</v>
      </c>
      <c r="AR52" s="63">
        <f t="shared" si="20"/>
        <v>1</v>
      </c>
      <c r="AS52" s="61">
        <v>1</v>
      </c>
      <c r="AT52" s="62">
        <f t="shared" si="21"/>
        <v>1</v>
      </c>
      <c r="AU52" s="62">
        <f t="shared" si="21"/>
        <v>1</v>
      </c>
      <c r="AV52" s="62">
        <f t="shared" si="21"/>
        <v>1</v>
      </c>
      <c r="AW52" s="62">
        <f t="shared" si="21"/>
        <v>1</v>
      </c>
      <c r="AX52" s="62">
        <f t="shared" si="21"/>
        <v>1</v>
      </c>
      <c r="AY52" s="62">
        <f t="shared" si="21"/>
        <v>1</v>
      </c>
      <c r="AZ52" s="63">
        <f t="shared" si="21"/>
        <v>1</v>
      </c>
      <c r="BA52" s="37">
        <f t="shared" si="16"/>
        <v>40</v>
      </c>
      <c r="BB52" s="9">
        <f t="shared" si="7"/>
        <v>484</v>
      </c>
      <c r="BC52" s="10">
        <f t="shared" si="8"/>
        <v>92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430</v>
      </c>
      <c r="E53" s="61">
        <v>1</v>
      </c>
      <c r="F53" s="62">
        <f t="shared" si="22"/>
        <v>1</v>
      </c>
      <c r="G53" s="62">
        <f t="shared" si="22"/>
        <v>1</v>
      </c>
      <c r="H53" s="62">
        <f t="shared" si="22"/>
        <v>1</v>
      </c>
      <c r="I53" s="62">
        <f t="shared" si="22"/>
        <v>1</v>
      </c>
      <c r="J53" s="62">
        <f t="shared" si="22"/>
        <v>1</v>
      </c>
      <c r="K53" s="62">
        <f t="shared" si="22"/>
        <v>1</v>
      </c>
      <c r="L53" s="63">
        <f t="shared" si="22"/>
        <v>1</v>
      </c>
      <c r="M53" s="61">
        <v>1</v>
      </c>
      <c r="N53" s="62">
        <f t="shared" si="17"/>
        <v>1</v>
      </c>
      <c r="O53" s="62">
        <f t="shared" si="17"/>
        <v>1</v>
      </c>
      <c r="P53" s="62">
        <f t="shared" si="17"/>
        <v>1</v>
      </c>
      <c r="Q53" s="62">
        <f t="shared" si="17"/>
        <v>1</v>
      </c>
      <c r="R53" s="62">
        <f t="shared" si="17"/>
        <v>1</v>
      </c>
      <c r="S53" s="62">
        <f t="shared" si="17"/>
        <v>1</v>
      </c>
      <c r="T53" s="63">
        <f t="shared" si="17"/>
        <v>1</v>
      </c>
      <c r="U53" s="61">
        <v>1</v>
      </c>
      <c r="V53" s="62">
        <f t="shared" si="18"/>
        <v>1</v>
      </c>
      <c r="W53" s="62">
        <f t="shared" si="18"/>
        <v>1</v>
      </c>
      <c r="X53" s="62">
        <f t="shared" si="18"/>
        <v>1</v>
      </c>
      <c r="Y53" s="62">
        <f t="shared" si="18"/>
        <v>1</v>
      </c>
      <c r="Z53" s="62">
        <f t="shared" si="18"/>
        <v>1</v>
      </c>
      <c r="AA53" s="62">
        <f t="shared" si="18"/>
        <v>1</v>
      </c>
      <c r="AB53" s="63">
        <f t="shared" si="18"/>
        <v>1</v>
      </c>
      <c r="AC53" s="61">
        <v>1</v>
      </c>
      <c r="AD53" s="62">
        <f t="shared" si="19"/>
        <v>1</v>
      </c>
      <c r="AE53" s="62">
        <f t="shared" si="19"/>
        <v>1</v>
      </c>
      <c r="AF53" s="62">
        <f t="shared" si="19"/>
        <v>1</v>
      </c>
      <c r="AG53" s="62">
        <f t="shared" si="19"/>
        <v>1</v>
      </c>
      <c r="AH53" s="62">
        <f t="shared" si="19"/>
        <v>1</v>
      </c>
      <c r="AI53" s="62">
        <f t="shared" si="19"/>
        <v>1</v>
      </c>
      <c r="AJ53" s="63">
        <f t="shared" si="19"/>
        <v>1</v>
      </c>
      <c r="AK53" s="61">
        <v>1</v>
      </c>
      <c r="AL53" s="62">
        <f t="shared" si="20"/>
        <v>1</v>
      </c>
      <c r="AM53" s="62">
        <f t="shared" si="20"/>
        <v>1</v>
      </c>
      <c r="AN53" s="62">
        <f t="shared" si="20"/>
        <v>1</v>
      </c>
      <c r="AO53" s="62">
        <f t="shared" si="20"/>
        <v>1</v>
      </c>
      <c r="AP53" s="62">
        <f t="shared" si="20"/>
        <v>1</v>
      </c>
      <c r="AQ53" s="62">
        <f t="shared" si="20"/>
        <v>1</v>
      </c>
      <c r="AR53" s="63">
        <f t="shared" si="20"/>
        <v>1</v>
      </c>
      <c r="AS53" s="61">
        <v>1</v>
      </c>
      <c r="AT53" s="62">
        <f t="shared" si="21"/>
        <v>1</v>
      </c>
      <c r="AU53" s="62">
        <f t="shared" si="21"/>
        <v>1</v>
      </c>
      <c r="AV53" s="62">
        <f t="shared" si="21"/>
        <v>1</v>
      </c>
      <c r="AW53" s="62">
        <f t="shared" si="21"/>
        <v>1</v>
      </c>
      <c r="AX53" s="62">
        <f t="shared" si="21"/>
        <v>1</v>
      </c>
      <c r="AY53" s="62">
        <f t="shared" si="21"/>
        <v>1</v>
      </c>
      <c r="AZ53" s="63">
        <f t="shared" si="21"/>
        <v>1</v>
      </c>
      <c r="BA53" s="37">
        <f t="shared" si="16"/>
        <v>48</v>
      </c>
      <c r="BB53" s="9">
        <f t="shared" si="7"/>
        <v>478</v>
      </c>
      <c r="BC53" s="10">
        <f t="shared" si="8"/>
        <v>91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424</v>
      </c>
      <c r="E54" s="61">
        <v>1</v>
      </c>
      <c r="F54" s="62">
        <f t="shared" si="22"/>
        <v>1</v>
      </c>
      <c r="G54" s="62">
        <f t="shared" si="22"/>
        <v>1</v>
      </c>
      <c r="H54" s="62">
        <f t="shared" si="22"/>
        <v>1</v>
      </c>
      <c r="I54" s="62">
        <f t="shared" si="22"/>
        <v>1</v>
      </c>
      <c r="J54" s="62">
        <f t="shared" si="22"/>
        <v>1</v>
      </c>
      <c r="K54" s="62">
        <f t="shared" si="22"/>
        <v>1</v>
      </c>
      <c r="L54" s="63">
        <f t="shared" si="22"/>
        <v>1</v>
      </c>
      <c r="M54" s="61">
        <v>1</v>
      </c>
      <c r="N54" s="62">
        <f t="shared" si="17"/>
        <v>1</v>
      </c>
      <c r="O54" s="62">
        <f t="shared" si="17"/>
        <v>1</v>
      </c>
      <c r="P54" s="62">
        <f t="shared" si="17"/>
        <v>1</v>
      </c>
      <c r="Q54" s="62">
        <f t="shared" si="17"/>
        <v>1</v>
      </c>
      <c r="R54" s="62">
        <f t="shared" si="17"/>
        <v>1</v>
      </c>
      <c r="S54" s="62">
        <f t="shared" si="17"/>
        <v>1</v>
      </c>
      <c r="T54" s="63">
        <f t="shared" si="17"/>
        <v>1</v>
      </c>
      <c r="U54" s="61" t="s">
        <v>124</v>
      </c>
      <c r="V54" s="62" t="str">
        <f t="shared" si="18"/>
        <v>a</v>
      </c>
      <c r="W54" s="62" t="str">
        <f t="shared" si="18"/>
        <v>a</v>
      </c>
      <c r="X54" s="62" t="str">
        <f t="shared" si="18"/>
        <v>a</v>
      </c>
      <c r="Y54" s="62" t="str">
        <f t="shared" si="18"/>
        <v>a</v>
      </c>
      <c r="Z54" s="62" t="str">
        <f t="shared" si="18"/>
        <v>a</v>
      </c>
      <c r="AA54" s="62" t="str">
        <f t="shared" si="18"/>
        <v>a</v>
      </c>
      <c r="AB54" s="63" t="str">
        <f t="shared" si="18"/>
        <v>a</v>
      </c>
      <c r="AC54" s="61">
        <v>1</v>
      </c>
      <c r="AD54" s="62">
        <f t="shared" si="19"/>
        <v>1</v>
      </c>
      <c r="AE54" s="62">
        <f t="shared" si="19"/>
        <v>1</v>
      </c>
      <c r="AF54" s="62">
        <f t="shared" si="19"/>
        <v>1</v>
      </c>
      <c r="AG54" s="62">
        <f t="shared" si="19"/>
        <v>1</v>
      </c>
      <c r="AH54" s="62">
        <f t="shared" si="19"/>
        <v>1</v>
      </c>
      <c r="AI54" s="62">
        <f t="shared" si="19"/>
        <v>1</v>
      </c>
      <c r="AJ54" s="63">
        <f t="shared" si="19"/>
        <v>1</v>
      </c>
      <c r="AK54" s="61">
        <v>1</v>
      </c>
      <c r="AL54" s="62">
        <f t="shared" si="20"/>
        <v>1</v>
      </c>
      <c r="AM54" s="62">
        <f t="shared" si="20"/>
        <v>1</v>
      </c>
      <c r="AN54" s="62">
        <f t="shared" si="20"/>
        <v>1</v>
      </c>
      <c r="AO54" s="62">
        <f t="shared" si="20"/>
        <v>1</v>
      </c>
      <c r="AP54" s="62">
        <f t="shared" si="20"/>
        <v>1</v>
      </c>
      <c r="AQ54" s="62">
        <f t="shared" si="20"/>
        <v>1</v>
      </c>
      <c r="AR54" s="63">
        <f t="shared" si="20"/>
        <v>1</v>
      </c>
      <c r="AS54" s="61">
        <v>1</v>
      </c>
      <c r="AT54" s="62">
        <f t="shared" si="21"/>
        <v>1</v>
      </c>
      <c r="AU54" s="62">
        <f t="shared" si="21"/>
        <v>1</v>
      </c>
      <c r="AV54" s="62">
        <f t="shared" si="21"/>
        <v>1</v>
      </c>
      <c r="AW54" s="62">
        <f t="shared" si="21"/>
        <v>1</v>
      </c>
      <c r="AX54" s="62">
        <f t="shared" si="21"/>
        <v>1</v>
      </c>
      <c r="AY54" s="62">
        <f t="shared" si="21"/>
        <v>1</v>
      </c>
      <c r="AZ54" s="63">
        <f t="shared" si="21"/>
        <v>1</v>
      </c>
      <c r="BA54" s="37">
        <f t="shared" si="16"/>
        <v>40</v>
      </c>
      <c r="BB54" s="9">
        <f t="shared" si="7"/>
        <v>464</v>
      </c>
      <c r="BC54" s="10">
        <f t="shared" si="8"/>
        <v>88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406</v>
      </c>
      <c r="E55" s="61">
        <v>1</v>
      </c>
      <c r="F55" s="62">
        <f t="shared" si="22"/>
        <v>1</v>
      </c>
      <c r="G55" s="62">
        <f t="shared" si="22"/>
        <v>1</v>
      </c>
      <c r="H55" s="62">
        <f t="shared" si="22"/>
        <v>1</v>
      </c>
      <c r="I55" s="62">
        <f t="shared" si="22"/>
        <v>1</v>
      </c>
      <c r="J55" s="62">
        <f t="shared" si="22"/>
        <v>1</v>
      </c>
      <c r="K55" s="62">
        <f t="shared" si="22"/>
        <v>1</v>
      </c>
      <c r="L55" s="63">
        <f t="shared" si="22"/>
        <v>1</v>
      </c>
      <c r="M55" s="61">
        <v>1</v>
      </c>
      <c r="N55" s="62">
        <f t="shared" si="17"/>
        <v>1</v>
      </c>
      <c r="O55" s="62">
        <f t="shared" si="17"/>
        <v>1</v>
      </c>
      <c r="P55" s="62">
        <f t="shared" si="17"/>
        <v>1</v>
      </c>
      <c r="Q55" s="62">
        <f t="shared" si="17"/>
        <v>1</v>
      </c>
      <c r="R55" s="62">
        <f t="shared" si="17"/>
        <v>1</v>
      </c>
      <c r="S55" s="62">
        <f t="shared" si="17"/>
        <v>1</v>
      </c>
      <c r="T55" s="63">
        <f t="shared" si="17"/>
        <v>1</v>
      </c>
      <c r="U55" s="61" t="s">
        <v>124</v>
      </c>
      <c r="V55" s="62" t="str">
        <f t="shared" si="18"/>
        <v>a</v>
      </c>
      <c r="W55" s="62" t="str">
        <f t="shared" si="18"/>
        <v>a</v>
      </c>
      <c r="X55" s="62" t="str">
        <f t="shared" si="18"/>
        <v>a</v>
      </c>
      <c r="Y55" s="62" t="str">
        <f t="shared" si="18"/>
        <v>a</v>
      </c>
      <c r="Z55" s="62" t="str">
        <f t="shared" si="18"/>
        <v>a</v>
      </c>
      <c r="AA55" s="62" t="str">
        <f t="shared" si="18"/>
        <v>a</v>
      </c>
      <c r="AB55" s="63" t="str">
        <f t="shared" si="18"/>
        <v>a</v>
      </c>
      <c r="AC55" s="61">
        <v>1</v>
      </c>
      <c r="AD55" s="62">
        <f t="shared" si="19"/>
        <v>1</v>
      </c>
      <c r="AE55" s="62">
        <f t="shared" si="19"/>
        <v>1</v>
      </c>
      <c r="AF55" s="62">
        <f t="shared" si="19"/>
        <v>1</v>
      </c>
      <c r="AG55" s="62">
        <f t="shared" si="19"/>
        <v>1</v>
      </c>
      <c r="AH55" s="62">
        <f t="shared" si="19"/>
        <v>1</v>
      </c>
      <c r="AI55" s="62">
        <f t="shared" si="19"/>
        <v>1</v>
      </c>
      <c r="AJ55" s="63">
        <f t="shared" si="19"/>
        <v>1</v>
      </c>
      <c r="AK55" s="61">
        <v>1</v>
      </c>
      <c r="AL55" s="62">
        <f t="shared" si="20"/>
        <v>1</v>
      </c>
      <c r="AM55" s="62">
        <f t="shared" si="20"/>
        <v>1</v>
      </c>
      <c r="AN55" s="62">
        <f t="shared" si="20"/>
        <v>1</v>
      </c>
      <c r="AO55" s="62">
        <f t="shared" si="20"/>
        <v>1</v>
      </c>
      <c r="AP55" s="62">
        <f t="shared" si="20"/>
        <v>1</v>
      </c>
      <c r="AQ55" s="62">
        <f t="shared" si="20"/>
        <v>1</v>
      </c>
      <c r="AR55" s="63">
        <f t="shared" si="20"/>
        <v>1</v>
      </c>
      <c r="AS55" s="61">
        <v>1</v>
      </c>
      <c r="AT55" s="62">
        <f t="shared" si="21"/>
        <v>1</v>
      </c>
      <c r="AU55" s="62">
        <f t="shared" si="21"/>
        <v>1</v>
      </c>
      <c r="AV55" s="62">
        <f t="shared" si="21"/>
        <v>1</v>
      </c>
      <c r="AW55" s="62">
        <f t="shared" si="21"/>
        <v>1</v>
      </c>
      <c r="AX55" s="62">
        <f t="shared" si="21"/>
        <v>1</v>
      </c>
      <c r="AY55" s="62">
        <f t="shared" si="21"/>
        <v>1</v>
      </c>
      <c r="AZ55" s="63">
        <f t="shared" si="21"/>
        <v>1</v>
      </c>
      <c r="BA55" s="37">
        <f t="shared" si="16"/>
        <v>40</v>
      </c>
      <c r="BB55" s="9">
        <f t="shared" si="7"/>
        <v>446</v>
      </c>
      <c r="BC55" s="10">
        <f t="shared" si="8"/>
        <v>85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446</v>
      </c>
      <c r="E56" s="61">
        <v>1</v>
      </c>
      <c r="F56" s="62">
        <f t="shared" si="22"/>
        <v>1</v>
      </c>
      <c r="G56" s="62">
        <f t="shared" si="22"/>
        <v>1</v>
      </c>
      <c r="H56" s="62">
        <f t="shared" si="22"/>
        <v>1</v>
      </c>
      <c r="I56" s="62">
        <f t="shared" si="22"/>
        <v>1</v>
      </c>
      <c r="J56" s="62">
        <f t="shared" si="22"/>
        <v>1</v>
      </c>
      <c r="K56" s="62">
        <f t="shared" si="22"/>
        <v>1</v>
      </c>
      <c r="L56" s="63">
        <f t="shared" si="22"/>
        <v>1</v>
      </c>
      <c r="M56" s="61">
        <v>1</v>
      </c>
      <c r="N56" s="62">
        <f t="shared" si="17"/>
        <v>1</v>
      </c>
      <c r="O56" s="62">
        <f t="shared" si="17"/>
        <v>1</v>
      </c>
      <c r="P56" s="62">
        <f t="shared" si="17"/>
        <v>1</v>
      </c>
      <c r="Q56" s="62">
        <f t="shared" si="17"/>
        <v>1</v>
      </c>
      <c r="R56" s="62">
        <f t="shared" si="17"/>
        <v>1</v>
      </c>
      <c r="S56" s="62">
        <f t="shared" si="17"/>
        <v>1</v>
      </c>
      <c r="T56" s="63">
        <f t="shared" si="17"/>
        <v>1</v>
      </c>
      <c r="U56" s="61">
        <v>1</v>
      </c>
      <c r="V56" s="62">
        <f t="shared" si="18"/>
        <v>1</v>
      </c>
      <c r="W56" s="62">
        <f t="shared" si="18"/>
        <v>1</v>
      </c>
      <c r="X56" s="62">
        <f t="shared" si="18"/>
        <v>1</v>
      </c>
      <c r="Y56" s="62">
        <f t="shared" si="18"/>
        <v>1</v>
      </c>
      <c r="Z56" s="62">
        <f t="shared" si="18"/>
        <v>1</v>
      </c>
      <c r="AA56" s="62">
        <f t="shared" si="18"/>
        <v>1</v>
      </c>
      <c r="AB56" s="63">
        <f t="shared" si="18"/>
        <v>1</v>
      </c>
      <c r="AC56" s="61">
        <v>1</v>
      </c>
      <c r="AD56" s="62">
        <f t="shared" si="19"/>
        <v>1</v>
      </c>
      <c r="AE56" s="62">
        <f t="shared" si="19"/>
        <v>1</v>
      </c>
      <c r="AF56" s="62">
        <f t="shared" si="19"/>
        <v>1</v>
      </c>
      <c r="AG56" s="62">
        <f t="shared" si="19"/>
        <v>1</v>
      </c>
      <c r="AH56" s="62">
        <f t="shared" si="19"/>
        <v>1</v>
      </c>
      <c r="AI56" s="62">
        <f t="shared" si="19"/>
        <v>1</v>
      </c>
      <c r="AJ56" s="63">
        <f t="shared" si="19"/>
        <v>1</v>
      </c>
      <c r="AK56" s="61">
        <v>1</v>
      </c>
      <c r="AL56" s="62">
        <f t="shared" si="20"/>
        <v>1</v>
      </c>
      <c r="AM56" s="62">
        <f t="shared" si="20"/>
        <v>1</v>
      </c>
      <c r="AN56" s="62">
        <f t="shared" si="20"/>
        <v>1</v>
      </c>
      <c r="AO56" s="62">
        <f t="shared" si="20"/>
        <v>1</v>
      </c>
      <c r="AP56" s="62">
        <f t="shared" si="20"/>
        <v>1</v>
      </c>
      <c r="AQ56" s="62">
        <f t="shared" si="20"/>
        <v>1</v>
      </c>
      <c r="AR56" s="63">
        <f t="shared" si="20"/>
        <v>1</v>
      </c>
      <c r="AS56" s="61">
        <v>1</v>
      </c>
      <c r="AT56" s="62">
        <f t="shared" si="21"/>
        <v>1</v>
      </c>
      <c r="AU56" s="62">
        <f t="shared" si="21"/>
        <v>1</v>
      </c>
      <c r="AV56" s="62">
        <f t="shared" si="21"/>
        <v>1</v>
      </c>
      <c r="AW56" s="62">
        <f t="shared" si="21"/>
        <v>1</v>
      </c>
      <c r="AX56" s="62">
        <f t="shared" si="21"/>
        <v>1</v>
      </c>
      <c r="AY56" s="62">
        <f t="shared" si="21"/>
        <v>1</v>
      </c>
      <c r="AZ56" s="63">
        <f t="shared" si="21"/>
        <v>1</v>
      </c>
      <c r="BA56" s="37">
        <f t="shared" si="16"/>
        <v>48</v>
      </c>
      <c r="BB56" s="9">
        <f t="shared" si="7"/>
        <v>494</v>
      </c>
      <c r="BC56" s="10">
        <f t="shared" si="8"/>
        <v>94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414</v>
      </c>
      <c r="E57" s="61">
        <v>1</v>
      </c>
      <c r="F57" s="62">
        <f t="shared" si="22"/>
        <v>1</v>
      </c>
      <c r="G57" s="62">
        <f t="shared" si="22"/>
        <v>1</v>
      </c>
      <c r="H57" s="62">
        <f t="shared" si="22"/>
        <v>1</v>
      </c>
      <c r="I57" s="62">
        <f t="shared" si="22"/>
        <v>1</v>
      </c>
      <c r="J57" s="62">
        <f t="shared" si="22"/>
        <v>1</v>
      </c>
      <c r="K57" s="62">
        <f t="shared" si="22"/>
        <v>1</v>
      </c>
      <c r="L57" s="63">
        <f t="shared" si="22"/>
        <v>1</v>
      </c>
      <c r="M57" s="61">
        <v>1</v>
      </c>
      <c r="N57" s="62">
        <f t="shared" si="17"/>
        <v>1</v>
      </c>
      <c r="O57" s="62">
        <f t="shared" si="17"/>
        <v>1</v>
      </c>
      <c r="P57" s="62">
        <f t="shared" si="17"/>
        <v>1</v>
      </c>
      <c r="Q57" s="62">
        <f t="shared" si="17"/>
        <v>1</v>
      </c>
      <c r="R57" s="62">
        <f t="shared" si="17"/>
        <v>1</v>
      </c>
      <c r="S57" s="62">
        <f t="shared" si="17"/>
        <v>1</v>
      </c>
      <c r="T57" s="63">
        <f t="shared" si="17"/>
        <v>1</v>
      </c>
      <c r="U57" s="61">
        <v>1</v>
      </c>
      <c r="V57" s="62">
        <f t="shared" si="18"/>
        <v>1</v>
      </c>
      <c r="W57" s="62">
        <f t="shared" si="18"/>
        <v>1</v>
      </c>
      <c r="X57" s="62">
        <f t="shared" si="18"/>
        <v>1</v>
      </c>
      <c r="Y57" s="62">
        <f t="shared" si="18"/>
        <v>1</v>
      </c>
      <c r="Z57" s="62">
        <f t="shared" si="18"/>
        <v>1</v>
      </c>
      <c r="AA57" s="62">
        <f t="shared" si="18"/>
        <v>1</v>
      </c>
      <c r="AB57" s="63">
        <f t="shared" si="18"/>
        <v>1</v>
      </c>
      <c r="AC57" s="61">
        <v>1</v>
      </c>
      <c r="AD57" s="62">
        <f t="shared" si="19"/>
        <v>1</v>
      </c>
      <c r="AE57" s="62">
        <f t="shared" si="19"/>
        <v>1</v>
      </c>
      <c r="AF57" s="62">
        <f t="shared" si="19"/>
        <v>1</v>
      </c>
      <c r="AG57" s="62">
        <f t="shared" si="19"/>
        <v>1</v>
      </c>
      <c r="AH57" s="62">
        <f t="shared" si="19"/>
        <v>1</v>
      </c>
      <c r="AI57" s="62">
        <f t="shared" si="19"/>
        <v>1</v>
      </c>
      <c r="AJ57" s="63">
        <f t="shared" si="19"/>
        <v>1</v>
      </c>
      <c r="AK57" s="61">
        <v>1</v>
      </c>
      <c r="AL57" s="62">
        <f t="shared" si="20"/>
        <v>1</v>
      </c>
      <c r="AM57" s="62">
        <f t="shared" si="20"/>
        <v>1</v>
      </c>
      <c r="AN57" s="62">
        <f t="shared" si="20"/>
        <v>1</v>
      </c>
      <c r="AO57" s="62">
        <f t="shared" si="20"/>
        <v>1</v>
      </c>
      <c r="AP57" s="62">
        <f t="shared" si="20"/>
        <v>1</v>
      </c>
      <c r="AQ57" s="62">
        <f t="shared" si="20"/>
        <v>1</v>
      </c>
      <c r="AR57" s="63">
        <f t="shared" si="20"/>
        <v>1</v>
      </c>
      <c r="AS57" s="61">
        <v>1</v>
      </c>
      <c r="AT57" s="62">
        <f t="shared" si="21"/>
        <v>1</v>
      </c>
      <c r="AU57" s="62">
        <f t="shared" si="21"/>
        <v>1</v>
      </c>
      <c r="AV57" s="62">
        <f t="shared" si="21"/>
        <v>1</v>
      </c>
      <c r="AW57" s="62">
        <f t="shared" si="21"/>
        <v>1</v>
      </c>
      <c r="AX57" s="62">
        <f t="shared" si="21"/>
        <v>1</v>
      </c>
      <c r="AY57" s="62">
        <f t="shared" si="21"/>
        <v>1</v>
      </c>
      <c r="AZ57" s="63">
        <f t="shared" si="21"/>
        <v>1</v>
      </c>
      <c r="BA57" s="37">
        <f t="shared" si="16"/>
        <v>48</v>
      </c>
      <c r="BB57" s="9">
        <f t="shared" si="7"/>
        <v>462</v>
      </c>
      <c r="BC57" s="10">
        <f t="shared" si="8"/>
        <v>88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462</v>
      </c>
      <c r="E58" s="61">
        <v>1</v>
      </c>
      <c r="F58" s="62">
        <f t="shared" si="22"/>
        <v>1</v>
      </c>
      <c r="G58" s="62">
        <f t="shared" si="22"/>
        <v>1</v>
      </c>
      <c r="H58" s="62">
        <f t="shared" si="22"/>
        <v>1</v>
      </c>
      <c r="I58" s="62">
        <f t="shared" si="22"/>
        <v>1</v>
      </c>
      <c r="J58" s="62">
        <f t="shared" si="22"/>
        <v>1</v>
      </c>
      <c r="K58" s="62">
        <f t="shared" si="22"/>
        <v>1</v>
      </c>
      <c r="L58" s="63">
        <f t="shared" si="22"/>
        <v>1</v>
      </c>
      <c r="M58" s="61">
        <v>1</v>
      </c>
      <c r="N58" s="62">
        <f t="shared" ref="N58:T73" si="23">M58</f>
        <v>1</v>
      </c>
      <c r="O58" s="62">
        <f t="shared" si="23"/>
        <v>1</v>
      </c>
      <c r="P58" s="62">
        <f t="shared" si="23"/>
        <v>1</v>
      </c>
      <c r="Q58" s="62">
        <f t="shared" si="23"/>
        <v>1</v>
      </c>
      <c r="R58" s="62">
        <f t="shared" si="23"/>
        <v>1</v>
      </c>
      <c r="S58" s="62">
        <f t="shared" si="23"/>
        <v>1</v>
      </c>
      <c r="T58" s="63">
        <f t="shared" si="23"/>
        <v>1</v>
      </c>
      <c r="U58" s="61">
        <v>1</v>
      </c>
      <c r="V58" s="62">
        <f t="shared" ref="V58:AB73" si="24">U58</f>
        <v>1</v>
      </c>
      <c r="W58" s="62">
        <f t="shared" si="24"/>
        <v>1</v>
      </c>
      <c r="X58" s="62">
        <f t="shared" si="24"/>
        <v>1</v>
      </c>
      <c r="Y58" s="62">
        <f t="shared" si="24"/>
        <v>1</v>
      </c>
      <c r="Z58" s="62">
        <f t="shared" si="24"/>
        <v>1</v>
      </c>
      <c r="AA58" s="62">
        <f t="shared" si="24"/>
        <v>1</v>
      </c>
      <c r="AB58" s="63">
        <f t="shared" si="24"/>
        <v>1</v>
      </c>
      <c r="AC58" s="61">
        <v>1</v>
      </c>
      <c r="AD58" s="62">
        <f t="shared" ref="AD58:AJ73" si="25">AC58</f>
        <v>1</v>
      </c>
      <c r="AE58" s="62">
        <f t="shared" si="25"/>
        <v>1</v>
      </c>
      <c r="AF58" s="62">
        <f t="shared" si="25"/>
        <v>1</v>
      </c>
      <c r="AG58" s="62">
        <f t="shared" si="25"/>
        <v>1</v>
      </c>
      <c r="AH58" s="62">
        <f t="shared" si="25"/>
        <v>1</v>
      </c>
      <c r="AI58" s="62">
        <f t="shared" si="25"/>
        <v>1</v>
      </c>
      <c r="AJ58" s="63">
        <f t="shared" si="25"/>
        <v>1</v>
      </c>
      <c r="AK58" s="61">
        <v>1</v>
      </c>
      <c r="AL58" s="62">
        <f t="shared" ref="AL58:AR73" si="26">AK58</f>
        <v>1</v>
      </c>
      <c r="AM58" s="62">
        <f t="shared" si="26"/>
        <v>1</v>
      </c>
      <c r="AN58" s="62">
        <f t="shared" si="26"/>
        <v>1</v>
      </c>
      <c r="AO58" s="62">
        <f t="shared" si="26"/>
        <v>1</v>
      </c>
      <c r="AP58" s="62">
        <f t="shared" si="26"/>
        <v>1</v>
      </c>
      <c r="AQ58" s="62">
        <f t="shared" si="26"/>
        <v>1</v>
      </c>
      <c r="AR58" s="63">
        <f t="shared" si="26"/>
        <v>1</v>
      </c>
      <c r="AS58" s="61">
        <v>1</v>
      </c>
      <c r="AT58" s="62">
        <f t="shared" ref="AT58:AZ73" si="27">AS58</f>
        <v>1</v>
      </c>
      <c r="AU58" s="62">
        <f t="shared" si="27"/>
        <v>1</v>
      </c>
      <c r="AV58" s="62">
        <f t="shared" si="27"/>
        <v>1</v>
      </c>
      <c r="AW58" s="62">
        <f t="shared" si="27"/>
        <v>1</v>
      </c>
      <c r="AX58" s="62">
        <f t="shared" si="27"/>
        <v>1</v>
      </c>
      <c r="AY58" s="62">
        <f t="shared" si="27"/>
        <v>1</v>
      </c>
      <c r="AZ58" s="63">
        <f t="shared" si="27"/>
        <v>1</v>
      </c>
      <c r="BA58" s="37">
        <f t="shared" si="16"/>
        <v>48</v>
      </c>
      <c r="BB58" s="9">
        <f t="shared" si="7"/>
        <v>510</v>
      </c>
      <c r="BC58" s="10">
        <f t="shared" si="8"/>
        <v>97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454</v>
      </c>
      <c r="E59" s="61">
        <v>1</v>
      </c>
      <c r="F59" s="62">
        <f t="shared" si="22"/>
        <v>1</v>
      </c>
      <c r="G59" s="62">
        <f t="shared" si="22"/>
        <v>1</v>
      </c>
      <c r="H59" s="62">
        <f t="shared" si="22"/>
        <v>1</v>
      </c>
      <c r="I59" s="62">
        <f t="shared" si="22"/>
        <v>1</v>
      </c>
      <c r="J59" s="62">
        <f t="shared" si="22"/>
        <v>1</v>
      </c>
      <c r="K59" s="62">
        <f t="shared" si="22"/>
        <v>1</v>
      </c>
      <c r="L59" s="63">
        <f t="shared" si="22"/>
        <v>1</v>
      </c>
      <c r="M59" s="61">
        <v>1</v>
      </c>
      <c r="N59" s="62">
        <f t="shared" si="23"/>
        <v>1</v>
      </c>
      <c r="O59" s="62">
        <f t="shared" si="23"/>
        <v>1</v>
      </c>
      <c r="P59" s="62">
        <f t="shared" si="23"/>
        <v>1</v>
      </c>
      <c r="Q59" s="62">
        <f t="shared" si="23"/>
        <v>1</v>
      </c>
      <c r="R59" s="62">
        <f t="shared" si="23"/>
        <v>1</v>
      </c>
      <c r="S59" s="62">
        <f t="shared" si="23"/>
        <v>1</v>
      </c>
      <c r="T59" s="63">
        <f t="shared" si="23"/>
        <v>1</v>
      </c>
      <c r="U59" s="61">
        <v>1</v>
      </c>
      <c r="V59" s="62">
        <f t="shared" si="24"/>
        <v>1</v>
      </c>
      <c r="W59" s="62">
        <f t="shared" si="24"/>
        <v>1</v>
      </c>
      <c r="X59" s="62">
        <f t="shared" si="24"/>
        <v>1</v>
      </c>
      <c r="Y59" s="62">
        <f t="shared" si="24"/>
        <v>1</v>
      </c>
      <c r="Z59" s="62">
        <f t="shared" si="24"/>
        <v>1</v>
      </c>
      <c r="AA59" s="62">
        <f t="shared" si="24"/>
        <v>1</v>
      </c>
      <c r="AB59" s="63">
        <f t="shared" si="24"/>
        <v>1</v>
      </c>
      <c r="AC59" s="61">
        <v>1</v>
      </c>
      <c r="AD59" s="62">
        <f t="shared" si="25"/>
        <v>1</v>
      </c>
      <c r="AE59" s="62">
        <f t="shared" si="25"/>
        <v>1</v>
      </c>
      <c r="AF59" s="62">
        <f t="shared" si="25"/>
        <v>1</v>
      </c>
      <c r="AG59" s="62">
        <f t="shared" si="25"/>
        <v>1</v>
      </c>
      <c r="AH59" s="62">
        <f t="shared" si="25"/>
        <v>1</v>
      </c>
      <c r="AI59" s="62">
        <f t="shared" si="25"/>
        <v>1</v>
      </c>
      <c r="AJ59" s="63">
        <f t="shared" si="25"/>
        <v>1</v>
      </c>
      <c r="AK59" s="61">
        <v>1</v>
      </c>
      <c r="AL59" s="62">
        <f t="shared" si="26"/>
        <v>1</v>
      </c>
      <c r="AM59" s="62">
        <f t="shared" si="26"/>
        <v>1</v>
      </c>
      <c r="AN59" s="62">
        <f t="shared" si="26"/>
        <v>1</v>
      </c>
      <c r="AO59" s="62">
        <f t="shared" si="26"/>
        <v>1</v>
      </c>
      <c r="AP59" s="62">
        <f t="shared" si="26"/>
        <v>1</v>
      </c>
      <c r="AQ59" s="62">
        <f t="shared" si="26"/>
        <v>1</v>
      </c>
      <c r="AR59" s="63">
        <f t="shared" si="26"/>
        <v>1</v>
      </c>
      <c r="AS59" s="61">
        <v>1</v>
      </c>
      <c r="AT59" s="62">
        <f t="shared" si="27"/>
        <v>1</v>
      </c>
      <c r="AU59" s="62">
        <f t="shared" si="27"/>
        <v>1</v>
      </c>
      <c r="AV59" s="62">
        <f t="shared" si="27"/>
        <v>1</v>
      </c>
      <c r="AW59" s="62">
        <f t="shared" si="27"/>
        <v>1</v>
      </c>
      <c r="AX59" s="62">
        <f t="shared" si="27"/>
        <v>1</v>
      </c>
      <c r="AY59" s="62">
        <f t="shared" si="27"/>
        <v>1</v>
      </c>
      <c r="AZ59" s="63">
        <f t="shared" si="27"/>
        <v>1</v>
      </c>
      <c r="BA59" s="37">
        <f t="shared" si="16"/>
        <v>48</v>
      </c>
      <c r="BB59" s="9">
        <f t="shared" si="7"/>
        <v>502</v>
      </c>
      <c r="BC59" s="10">
        <f t="shared" si="8"/>
        <v>95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374</v>
      </c>
      <c r="E60" s="61">
        <v>1</v>
      </c>
      <c r="F60" s="62">
        <f t="shared" ref="F60:L73" si="28">E60</f>
        <v>1</v>
      </c>
      <c r="G60" s="62">
        <f t="shared" si="28"/>
        <v>1</v>
      </c>
      <c r="H60" s="62">
        <f t="shared" si="28"/>
        <v>1</v>
      </c>
      <c r="I60" s="62">
        <f t="shared" si="28"/>
        <v>1</v>
      </c>
      <c r="J60" s="62">
        <f t="shared" si="28"/>
        <v>1</v>
      </c>
      <c r="K60" s="62">
        <f t="shared" si="28"/>
        <v>1</v>
      </c>
      <c r="L60" s="63">
        <f t="shared" si="28"/>
        <v>1</v>
      </c>
      <c r="M60" s="61">
        <v>1</v>
      </c>
      <c r="N60" s="62">
        <f t="shared" si="23"/>
        <v>1</v>
      </c>
      <c r="O60" s="62">
        <f t="shared" si="23"/>
        <v>1</v>
      </c>
      <c r="P60" s="62">
        <f t="shared" si="23"/>
        <v>1</v>
      </c>
      <c r="Q60" s="62">
        <f t="shared" si="23"/>
        <v>1</v>
      </c>
      <c r="R60" s="62">
        <f t="shared" si="23"/>
        <v>1</v>
      </c>
      <c r="S60" s="62">
        <f t="shared" si="23"/>
        <v>1</v>
      </c>
      <c r="T60" s="63">
        <f t="shared" si="23"/>
        <v>1</v>
      </c>
      <c r="U60" s="61">
        <v>1</v>
      </c>
      <c r="V60" s="62">
        <f t="shared" si="24"/>
        <v>1</v>
      </c>
      <c r="W60" s="62">
        <f t="shared" si="24"/>
        <v>1</v>
      </c>
      <c r="X60" s="62">
        <f t="shared" si="24"/>
        <v>1</v>
      </c>
      <c r="Y60" s="62">
        <f t="shared" si="24"/>
        <v>1</v>
      </c>
      <c r="Z60" s="62">
        <f t="shared" si="24"/>
        <v>1</v>
      </c>
      <c r="AA60" s="62">
        <f t="shared" si="24"/>
        <v>1</v>
      </c>
      <c r="AB60" s="63">
        <f t="shared" si="24"/>
        <v>1</v>
      </c>
      <c r="AC60" s="61">
        <v>1</v>
      </c>
      <c r="AD60" s="62">
        <f t="shared" si="25"/>
        <v>1</v>
      </c>
      <c r="AE60" s="62">
        <f t="shared" si="25"/>
        <v>1</v>
      </c>
      <c r="AF60" s="62">
        <f t="shared" si="25"/>
        <v>1</v>
      </c>
      <c r="AG60" s="62">
        <f t="shared" si="25"/>
        <v>1</v>
      </c>
      <c r="AH60" s="62">
        <f t="shared" si="25"/>
        <v>1</v>
      </c>
      <c r="AI60" s="62">
        <f t="shared" si="25"/>
        <v>1</v>
      </c>
      <c r="AJ60" s="63">
        <f t="shared" si="25"/>
        <v>1</v>
      </c>
      <c r="AK60" s="61">
        <v>1</v>
      </c>
      <c r="AL60" s="62">
        <f t="shared" si="26"/>
        <v>1</v>
      </c>
      <c r="AM60" s="62">
        <f t="shared" si="26"/>
        <v>1</v>
      </c>
      <c r="AN60" s="62">
        <f t="shared" si="26"/>
        <v>1</v>
      </c>
      <c r="AO60" s="62">
        <f t="shared" si="26"/>
        <v>1</v>
      </c>
      <c r="AP60" s="62">
        <f t="shared" si="26"/>
        <v>1</v>
      </c>
      <c r="AQ60" s="62">
        <f t="shared" si="26"/>
        <v>1</v>
      </c>
      <c r="AR60" s="63">
        <f t="shared" si="26"/>
        <v>1</v>
      </c>
      <c r="AS60" s="61">
        <v>1</v>
      </c>
      <c r="AT60" s="62">
        <f t="shared" si="27"/>
        <v>1</v>
      </c>
      <c r="AU60" s="62">
        <f t="shared" si="27"/>
        <v>1</v>
      </c>
      <c r="AV60" s="62">
        <f t="shared" si="27"/>
        <v>1</v>
      </c>
      <c r="AW60" s="62">
        <f t="shared" si="27"/>
        <v>1</v>
      </c>
      <c r="AX60" s="62">
        <f t="shared" si="27"/>
        <v>1</v>
      </c>
      <c r="AY60" s="62">
        <f t="shared" si="27"/>
        <v>1</v>
      </c>
      <c r="AZ60" s="63">
        <f t="shared" si="27"/>
        <v>1</v>
      </c>
      <c r="BA60" s="37">
        <f t="shared" si="16"/>
        <v>48</v>
      </c>
      <c r="BB60" s="9">
        <f t="shared" si="7"/>
        <v>422</v>
      </c>
      <c r="BC60" s="10">
        <f t="shared" si="8"/>
        <v>80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446</v>
      </c>
      <c r="E61" s="61">
        <v>1</v>
      </c>
      <c r="F61" s="62">
        <f t="shared" si="28"/>
        <v>1</v>
      </c>
      <c r="G61" s="62">
        <f t="shared" si="28"/>
        <v>1</v>
      </c>
      <c r="H61" s="62">
        <f t="shared" si="28"/>
        <v>1</v>
      </c>
      <c r="I61" s="62">
        <f t="shared" si="28"/>
        <v>1</v>
      </c>
      <c r="J61" s="62">
        <f t="shared" si="28"/>
        <v>1</v>
      </c>
      <c r="K61" s="62">
        <f t="shared" si="28"/>
        <v>1</v>
      </c>
      <c r="L61" s="63">
        <f t="shared" si="28"/>
        <v>1</v>
      </c>
      <c r="M61" s="61">
        <v>1</v>
      </c>
      <c r="N61" s="62">
        <f t="shared" si="23"/>
        <v>1</v>
      </c>
      <c r="O61" s="62">
        <f t="shared" si="23"/>
        <v>1</v>
      </c>
      <c r="P61" s="62">
        <f t="shared" si="23"/>
        <v>1</v>
      </c>
      <c r="Q61" s="62">
        <f t="shared" si="23"/>
        <v>1</v>
      </c>
      <c r="R61" s="62">
        <f t="shared" si="23"/>
        <v>1</v>
      </c>
      <c r="S61" s="62">
        <f t="shared" si="23"/>
        <v>1</v>
      </c>
      <c r="T61" s="63">
        <f t="shared" si="23"/>
        <v>1</v>
      </c>
      <c r="U61" s="61">
        <v>1</v>
      </c>
      <c r="V61" s="62">
        <f t="shared" si="24"/>
        <v>1</v>
      </c>
      <c r="W61" s="62">
        <f t="shared" si="24"/>
        <v>1</v>
      </c>
      <c r="X61" s="62">
        <f t="shared" si="24"/>
        <v>1</v>
      </c>
      <c r="Y61" s="62">
        <f t="shared" si="24"/>
        <v>1</v>
      </c>
      <c r="Z61" s="62">
        <f t="shared" si="24"/>
        <v>1</v>
      </c>
      <c r="AA61" s="62">
        <f t="shared" si="24"/>
        <v>1</v>
      </c>
      <c r="AB61" s="63">
        <f t="shared" si="24"/>
        <v>1</v>
      </c>
      <c r="AC61" s="61">
        <v>1</v>
      </c>
      <c r="AD61" s="62">
        <f t="shared" si="25"/>
        <v>1</v>
      </c>
      <c r="AE61" s="62">
        <f t="shared" si="25"/>
        <v>1</v>
      </c>
      <c r="AF61" s="62">
        <f t="shared" si="25"/>
        <v>1</v>
      </c>
      <c r="AG61" s="62">
        <f t="shared" si="25"/>
        <v>1</v>
      </c>
      <c r="AH61" s="62">
        <f t="shared" si="25"/>
        <v>1</v>
      </c>
      <c r="AI61" s="62">
        <f t="shared" si="25"/>
        <v>1</v>
      </c>
      <c r="AJ61" s="63">
        <f t="shared" si="25"/>
        <v>1</v>
      </c>
      <c r="AK61" s="61">
        <v>1</v>
      </c>
      <c r="AL61" s="62">
        <f t="shared" si="26"/>
        <v>1</v>
      </c>
      <c r="AM61" s="62">
        <f t="shared" si="26"/>
        <v>1</v>
      </c>
      <c r="AN61" s="62">
        <f t="shared" si="26"/>
        <v>1</v>
      </c>
      <c r="AO61" s="62">
        <f t="shared" si="26"/>
        <v>1</v>
      </c>
      <c r="AP61" s="62">
        <f t="shared" si="26"/>
        <v>1</v>
      </c>
      <c r="AQ61" s="62">
        <f t="shared" si="26"/>
        <v>1</v>
      </c>
      <c r="AR61" s="63">
        <f t="shared" si="26"/>
        <v>1</v>
      </c>
      <c r="AS61" s="61">
        <v>1</v>
      </c>
      <c r="AT61" s="62">
        <f t="shared" si="27"/>
        <v>1</v>
      </c>
      <c r="AU61" s="62">
        <f t="shared" si="27"/>
        <v>1</v>
      </c>
      <c r="AV61" s="62">
        <f t="shared" si="27"/>
        <v>1</v>
      </c>
      <c r="AW61" s="62">
        <f t="shared" si="27"/>
        <v>1</v>
      </c>
      <c r="AX61" s="62">
        <f t="shared" si="27"/>
        <v>1</v>
      </c>
      <c r="AY61" s="62">
        <f t="shared" si="27"/>
        <v>1</v>
      </c>
      <c r="AZ61" s="63">
        <f t="shared" si="27"/>
        <v>1</v>
      </c>
      <c r="BA61" s="37">
        <f t="shared" si="16"/>
        <v>48</v>
      </c>
      <c r="BB61" s="9">
        <f t="shared" si="7"/>
        <v>494</v>
      </c>
      <c r="BC61" s="10">
        <f t="shared" si="8"/>
        <v>94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348</v>
      </c>
      <c r="E62" s="61">
        <v>1</v>
      </c>
      <c r="F62" s="62">
        <f t="shared" si="28"/>
        <v>1</v>
      </c>
      <c r="G62" s="62">
        <f t="shared" si="28"/>
        <v>1</v>
      </c>
      <c r="H62" s="62">
        <f t="shared" si="28"/>
        <v>1</v>
      </c>
      <c r="I62" s="62">
        <f t="shared" si="28"/>
        <v>1</v>
      </c>
      <c r="J62" s="62">
        <f t="shared" si="28"/>
        <v>1</v>
      </c>
      <c r="K62" s="62">
        <f t="shared" si="28"/>
        <v>1</v>
      </c>
      <c r="L62" s="63">
        <f t="shared" si="28"/>
        <v>1</v>
      </c>
      <c r="M62" s="61">
        <v>1</v>
      </c>
      <c r="N62" s="62">
        <f t="shared" si="23"/>
        <v>1</v>
      </c>
      <c r="O62" s="62">
        <f t="shared" si="23"/>
        <v>1</v>
      </c>
      <c r="P62" s="62">
        <f t="shared" si="23"/>
        <v>1</v>
      </c>
      <c r="Q62" s="62">
        <f t="shared" si="23"/>
        <v>1</v>
      </c>
      <c r="R62" s="62">
        <f t="shared" si="23"/>
        <v>1</v>
      </c>
      <c r="S62" s="62">
        <f t="shared" si="23"/>
        <v>1</v>
      </c>
      <c r="T62" s="63">
        <f t="shared" si="23"/>
        <v>1</v>
      </c>
      <c r="U62" s="61" t="s">
        <v>124</v>
      </c>
      <c r="V62" s="62" t="str">
        <f t="shared" si="24"/>
        <v>a</v>
      </c>
      <c r="W62" s="62" t="str">
        <f t="shared" si="24"/>
        <v>a</v>
      </c>
      <c r="X62" s="62" t="str">
        <f t="shared" si="24"/>
        <v>a</v>
      </c>
      <c r="Y62" s="62" t="str">
        <f t="shared" si="24"/>
        <v>a</v>
      </c>
      <c r="Z62" s="62" t="str">
        <f t="shared" si="24"/>
        <v>a</v>
      </c>
      <c r="AA62" s="62" t="str">
        <f t="shared" si="24"/>
        <v>a</v>
      </c>
      <c r="AB62" s="63" t="str">
        <f t="shared" si="24"/>
        <v>a</v>
      </c>
      <c r="AC62" s="61">
        <v>1</v>
      </c>
      <c r="AD62" s="62">
        <f t="shared" si="25"/>
        <v>1</v>
      </c>
      <c r="AE62" s="62">
        <f t="shared" si="25"/>
        <v>1</v>
      </c>
      <c r="AF62" s="62">
        <f t="shared" si="25"/>
        <v>1</v>
      </c>
      <c r="AG62" s="62">
        <f t="shared" si="25"/>
        <v>1</v>
      </c>
      <c r="AH62" s="62">
        <f t="shared" si="25"/>
        <v>1</v>
      </c>
      <c r="AI62" s="62">
        <f t="shared" si="25"/>
        <v>1</v>
      </c>
      <c r="AJ62" s="63">
        <f t="shared" si="25"/>
        <v>1</v>
      </c>
      <c r="AK62" s="61">
        <v>1</v>
      </c>
      <c r="AL62" s="62">
        <f t="shared" si="26"/>
        <v>1</v>
      </c>
      <c r="AM62" s="62">
        <f t="shared" si="26"/>
        <v>1</v>
      </c>
      <c r="AN62" s="62">
        <f t="shared" si="26"/>
        <v>1</v>
      </c>
      <c r="AO62" s="62">
        <f t="shared" si="26"/>
        <v>1</v>
      </c>
      <c r="AP62" s="62">
        <f t="shared" si="26"/>
        <v>1</v>
      </c>
      <c r="AQ62" s="62">
        <f t="shared" si="26"/>
        <v>1</v>
      </c>
      <c r="AR62" s="63">
        <f t="shared" si="26"/>
        <v>1</v>
      </c>
      <c r="AS62" s="61">
        <v>1</v>
      </c>
      <c r="AT62" s="62">
        <f t="shared" si="27"/>
        <v>1</v>
      </c>
      <c r="AU62" s="62">
        <f t="shared" si="27"/>
        <v>1</v>
      </c>
      <c r="AV62" s="62">
        <f t="shared" si="27"/>
        <v>1</v>
      </c>
      <c r="AW62" s="62">
        <f t="shared" si="27"/>
        <v>1</v>
      </c>
      <c r="AX62" s="62">
        <f t="shared" si="27"/>
        <v>1</v>
      </c>
      <c r="AY62" s="62">
        <f t="shared" si="27"/>
        <v>1</v>
      </c>
      <c r="AZ62" s="63">
        <f t="shared" si="27"/>
        <v>1</v>
      </c>
      <c r="BA62" s="42">
        <f t="shared" si="16"/>
        <v>40</v>
      </c>
      <c r="BB62" s="9">
        <f t="shared" si="7"/>
        <v>388</v>
      </c>
      <c r="BC62" s="10">
        <f t="shared" si="8"/>
        <v>74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375</v>
      </c>
      <c r="E63" s="61">
        <v>1</v>
      </c>
      <c r="F63" s="62">
        <f t="shared" si="28"/>
        <v>1</v>
      </c>
      <c r="G63" s="62">
        <f t="shared" si="28"/>
        <v>1</v>
      </c>
      <c r="H63" s="62">
        <f t="shared" si="28"/>
        <v>1</v>
      </c>
      <c r="I63" s="62">
        <f t="shared" si="28"/>
        <v>1</v>
      </c>
      <c r="J63" s="62">
        <f t="shared" si="28"/>
        <v>1</v>
      </c>
      <c r="K63" s="62">
        <f t="shared" si="28"/>
        <v>1</v>
      </c>
      <c r="L63" s="63">
        <f t="shared" si="28"/>
        <v>1</v>
      </c>
      <c r="M63" s="61">
        <v>1</v>
      </c>
      <c r="N63" s="62">
        <f t="shared" si="23"/>
        <v>1</v>
      </c>
      <c r="O63" s="62">
        <f t="shared" si="23"/>
        <v>1</v>
      </c>
      <c r="P63" s="62">
        <f t="shared" si="23"/>
        <v>1</v>
      </c>
      <c r="Q63" s="62">
        <f t="shared" si="23"/>
        <v>1</v>
      </c>
      <c r="R63" s="62">
        <f t="shared" si="23"/>
        <v>1</v>
      </c>
      <c r="S63" s="62">
        <f t="shared" si="23"/>
        <v>1</v>
      </c>
      <c r="T63" s="63">
        <f t="shared" si="23"/>
        <v>1</v>
      </c>
      <c r="U63" s="61">
        <v>1</v>
      </c>
      <c r="V63" s="62">
        <f t="shared" si="24"/>
        <v>1</v>
      </c>
      <c r="W63" s="62">
        <f t="shared" si="24"/>
        <v>1</v>
      </c>
      <c r="X63" s="62">
        <f t="shared" si="24"/>
        <v>1</v>
      </c>
      <c r="Y63" s="62">
        <f t="shared" si="24"/>
        <v>1</v>
      </c>
      <c r="Z63" s="62">
        <f t="shared" si="24"/>
        <v>1</v>
      </c>
      <c r="AA63" s="62">
        <f t="shared" si="24"/>
        <v>1</v>
      </c>
      <c r="AB63" s="63">
        <f t="shared" si="24"/>
        <v>1</v>
      </c>
      <c r="AC63" s="61">
        <v>1</v>
      </c>
      <c r="AD63" s="62">
        <f t="shared" si="25"/>
        <v>1</v>
      </c>
      <c r="AE63" s="62">
        <f t="shared" si="25"/>
        <v>1</v>
      </c>
      <c r="AF63" s="62">
        <f t="shared" si="25"/>
        <v>1</v>
      </c>
      <c r="AG63" s="62">
        <f t="shared" si="25"/>
        <v>1</v>
      </c>
      <c r="AH63" s="62">
        <f t="shared" si="25"/>
        <v>1</v>
      </c>
      <c r="AI63" s="62">
        <f t="shared" si="25"/>
        <v>1</v>
      </c>
      <c r="AJ63" s="63">
        <f t="shared" si="25"/>
        <v>1</v>
      </c>
      <c r="AK63" s="61">
        <v>1</v>
      </c>
      <c r="AL63" s="62">
        <f t="shared" si="26"/>
        <v>1</v>
      </c>
      <c r="AM63" s="62">
        <f t="shared" si="26"/>
        <v>1</v>
      </c>
      <c r="AN63" s="62">
        <f t="shared" si="26"/>
        <v>1</v>
      </c>
      <c r="AO63" s="62">
        <f t="shared" si="26"/>
        <v>1</v>
      </c>
      <c r="AP63" s="62">
        <f t="shared" si="26"/>
        <v>1</v>
      </c>
      <c r="AQ63" s="62">
        <f t="shared" si="26"/>
        <v>1</v>
      </c>
      <c r="AR63" s="63">
        <f t="shared" si="26"/>
        <v>1</v>
      </c>
      <c r="AS63" s="61">
        <v>1</v>
      </c>
      <c r="AT63" s="62">
        <f t="shared" si="27"/>
        <v>1</v>
      </c>
      <c r="AU63" s="62">
        <f t="shared" si="27"/>
        <v>1</v>
      </c>
      <c r="AV63" s="62">
        <f t="shared" si="27"/>
        <v>1</v>
      </c>
      <c r="AW63" s="62">
        <f t="shared" si="27"/>
        <v>1</v>
      </c>
      <c r="AX63" s="62">
        <f t="shared" si="27"/>
        <v>1</v>
      </c>
      <c r="AY63" s="62">
        <f t="shared" si="27"/>
        <v>1</v>
      </c>
      <c r="AZ63" s="63">
        <f t="shared" si="27"/>
        <v>1</v>
      </c>
      <c r="BA63" s="42">
        <f t="shared" si="16"/>
        <v>48</v>
      </c>
      <c r="BB63" s="9">
        <f t="shared" si="7"/>
        <v>423</v>
      </c>
      <c r="BC63" s="10">
        <f t="shared" si="8"/>
        <v>80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424</v>
      </c>
      <c r="E64" s="61">
        <v>1</v>
      </c>
      <c r="F64" s="62">
        <f t="shared" si="28"/>
        <v>1</v>
      </c>
      <c r="G64" s="62">
        <f t="shared" si="28"/>
        <v>1</v>
      </c>
      <c r="H64" s="62">
        <f t="shared" si="28"/>
        <v>1</v>
      </c>
      <c r="I64" s="62">
        <f t="shared" si="28"/>
        <v>1</v>
      </c>
      <c r="J64" s="62">
        <f t="shared" si="28"/>
        <v>1</v>
      </c>
      <c r="K64" s="62">
        <f t="shared" si="28"/>
        <v>1</v>
      </c>
      <c r="L64" s="63">
        <f t="shared" si="28"/>
        <v>1</v>
      </c>
      <c r="M64" s="61" t="s">
        <v>124</v>
      </c>
      <c r="N64" s="62" t="str">
        <f t="shared" si="23"/>
        <v>a</v>
      </c>
      <c r="O64" s="62" t="str">
        <f t="shared" si="23"/>
        <v>a</v>
      </c>
      <c r="P64" s="62" t="str">
        <f t="shared" si="23"/>
        <v>a</v>
      </c>
      <c r="Q64" s="62" t="str">
        <f t="shared" si="23"/>
        <v>a</v>
      </c>
      <c r="R64" s="62" t="str">
        <f t="shared" si="23"/>
        <v>a</v>
      </c>
      <c r="S64" s="62" t="str">
        <f t="shared" si="23"/>
        <v>a</v>
      </c>
      <c r="T64" s="63" t="str">
        <f t="shared" si="23"/>
        <v>a</v>
      </c>
      <c r="U64" s="61">
        <v>1</v>
      </c>
      <c r="V64" s="62">
        <f t="shared" si="24"/>
        <v>1</v>
      </c>
      <c r="W64" s="62">
        <f t="shared" si="24"/>
        <v>1</v>
      </c>
      <c r="X64" s="62">
        <f t="shared" si="24"/>
        <v>1</v>
      </c>
      <c r="Y64" s="62">
        <f t="shared" si="24"/>
        <v>1</v>
      </c>
      <c r="Z64" s="62">
        <f t="shared" si="24"/>
        <v>1</v>
      </c>
      <c r="AA64" s="62">
        <f t="shared" si="24"/>
        <v>1</v>
      </c>
      <c r="AB64" s="63">
        <f t="shared" si="24"/>
        <v>1</v>
      </c>
      <c r="AC64" s="61">
        <v>1</v>
      </c>
      <c r="AD64" s="62">
        <f t="shared" si="25"/>
        <v>1</v>
      </c>
      <c r="AE64" s="62">
        <f t="shared" si="25"/>
        <v>1</v>
      </c>
      <c r="AF64" s="62">
        <f t="shared" si="25"/>
        <v>1</v>
      </c>
      <c r="AG64" s="62">
        <f t="shared" si="25"/>
        <v>1</v>
      </c>
      <c r="AH64" s="62">
        <f t="shared" si="25"/>
        <v>1</v>
      </c>
      <c r="AI64" s="62">
        <f t="shared" si="25"/>
        <v>1</v>
      </c>
      <c r="AJ64" s="63">
        <f t="shared" si="25"/>
        <v>1</v>
      </c>
      <c r="AK64" s="61">
        <v>1</v>
      </c>
      <c r="AL64" s="62">
        <f t="shared" si="26"/>
        <v>1</v>
      </c>
      <c r="AM64" s="62">
        <f t="shared" si="26"/>
        <v>1</v>
      </c>
      <c r="AN64" s="62">
        <f t="shared" si="26"/>
        <v>1</v>
      </c>
      <c r="AO64" s="62">
        <f t="shared" si="26"/>
        <v>1</v>
      </c>
      <c r="AP64" s="62">
        <f t="shared" si="26"/>
        <v>1</v>
      </c>
      <c r="AQ64" s="62">
        <f t="shared" si="26"/>
        <v>1</v>
      </c>
      <c r="AR64" s="63">
        <f t="shared" si="26"/>
        <v>1</v>
      </c>
      <c r="AS64" s="61">
        <v>1</v>
      </c>
      <c r="AT64" s="62">
        <f t="shared" si="27"/>
        <v>1</v>
      </c>
      <c r="AU64" s="62">
        <f t="shared" si="27"/>
        <v>1</v>
      </c>
      <c r="AV64" s="62">
        <f t="shared" si="27"/>
        <v>1</v>
      </c>
      <c r="AW64" s="62">
        <f t="shared" si="27"/>
        <v>1</v>
      </c>
      <c r="AX64" s="62">
        <f t="shared" si="27"/>
        <v>1</v>
      </c>
      <c r="AY64" s="62">
        <f t="shared" si="27"/>
        <v>1</v>
      </c>
      <c r="AZ64" s="63">
        <f t="shared" si="27"/>
        <v>1</v>
      </c>
      <c r="BA64" s="42">
        <f t="shared" si="16"/>
        <v>40</v>
      </c>
      <c r="BB64" s="9">
        <f t="shared" si="7"/>
        <v>464</v>
      </c>
      <c r="BC64" s="10">
        <f t="shared" si="8"/>
        <v>88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404</v>
      </c>
      <c r="E65" s="61" t="s">
        <v>124</v>
      </c>
      <c r="F65" s="62" t="str">
        <f t="shared" si="28"/>
        <v>a</v>
      </c>
      <c r="G65" s="62" t="str">
        <f t="shared" si="28"/>
        <v>a</v>
      </c>
      <c r="H65" s="62" t="str">
        <f t="shared" si="28"/>
        <v>a</v>
      </c>
      <c r="I65" s="62" t="str">
        <f t="shared" si="28"/>
        <v>a</v>
      </c>
      <c r="J65" s="62" t="str">
        <f t="shared" si="28"/>
        <v>a</v>
      </c>
      <c r="K65" s="62" t="str">
        <f t="shared" si="28"/>
        <v>a</v>
      </c>
      <c r="L65" s="63" t="str">
        <f t="shared" si="28"/>
        <v>a</v>
      </c>
      <c r="M65" s="61">
        <v>1</v>
      </c>
      <c r="N65" s="62">
        <f t="shared" si="23"/>
        <v>1</v>
      </c>
      <c r="O65" s="62">
        <f t="shared" si="23"/>
        <v>1</v>
      </c>
      <c r="P65" s="62">
        <f t="shared" si="23"/>
        <v>1</v>
      </c>
      <c r="Q65" s="62">
        <f t="shared" si="23"/>
        <v>1</v>
      </c>
      <c r="R65" s="62">
        <f t="shared" si="23"/>
        <v>1</v>
      </c>
      <c r="S65" s="62">
        <f t="shared" si="23"/>
        <v>1</v>
      </c>
      <c r="T65" s="63">
        <f t="shared" si="23"/>
        <v>1</v>
      </c>
      <c r="U65" s="61">
        <v>1</v>
      </c>
      <c r="V65" s="62">
        <f t="shared" si="24"/>
        <v>1</v>
      </c>
      <c r="W65" s="62">
        <f t="shared" si="24"/>
        <v>1</v>
      </c>
      <c r="X65" s="62">
        <f t="shared" si="24"/>
        <v>1</v>
      </c>
      <c r="Y65" s="62">
        <f t="shared" si="24"/>
        <v>1</v>
      </c>
      <c r="Z65" s="62">
        <f t="shared" si="24"/>
        <v>1</v>
      </c>
      <c r="AA65" s="62">
        <f t="shared" si="24"/>
        <v>1</v>
      </c>
      <c r="AB65" s="63">
        <f t="shared" si="24"/>
        <v>1</v>
      </c>
      <c r="AC65" s="61">
        <v>1</v>
      </c>
      <c r="AD65" s="62">
        <f t="shared" si="25"/>
        <v>1</v>
      </c>
      <c r="AE65" s="62">
        <f t="shared" si="25"/>
        <v>1</v>
      </c>
      <c r="AF65" s="62">
        <f t="shared" si="25"/>
        <v>1</v>
      </c>
      <c r="AG65" s="62">
        <f t="shared" si="25"/>
        <v>1</v>
      </c>
      <c r="AH65" s="62">
        <f t="shared" si="25"/>
        <v>1</v>
      </c>
      <c r="AI65" s="62">
        <f t="shared" si="25"/>
        <v>1</v>
      </c>
      <c r="AJ65" s="63">
        <f t="shared" si="25"/>
        <v>1</v>
      </c>
      <c r="AK65" s="61">
        <v>1</v>
      </c>
      <c r="AL65" s="62">
        <f t="shared" si="26"/>
        <v>1</v>
      </c>
      <c r="AM65" s="62">
        <f t="shared" si="26"/>
        <v>1</v>
      </c>
      <c r="AN65" s="62">
        <f t="shared" si="26"/>
        <v>1</v>
      </c>
      <c r="AO65" s="62">
        <f t="shared" si="26"/>
        <v>1</v>
      </c>
      <c r="AP65" s="62">
        <f t="shared" si="26"/>
        <v>1</v>
      </c>
      <c r="AQ65" s="62">
        <f t="shared" si="26"/>
        <v>1</v>
      </c>
      <c r="AR65" s="63">
        <f t="shared" si="26"/>
        <v>1</v>
      </c>
      <c r="AS65" s="61">
        <v>1</v>
      </c>
      <c r="AT65" s="62">
        <f t="shared" si="27"/>
        <v>1</v>
      </c>
      <c r="AU65" s="62">
        <f t="shared" si="27"/>
        <v>1</v>
      </c>
      <c r="AV65" s="62">
        <f t="shared" si="27"/>
        <v>1</v>
      </c>
      <c r="AW65" s="62">
        <f t="shared" si="27"/>
        <v>1</v>
      </c>
      <c r="AX65" s="62">
        <f t="shared" si="27"/>
        <v>1</v>
      </c>
      <c r="AY65" s="62">
        <f t="shared" si="27"/>
        <v>1</v>
      </c>
      <c r="AZ65" s="63">
        <f t="shared" si="27"/>
        <v>1</v>
      </c>
      <c r="BA65" s="37">
        <f t="shared" si="16"/>
        <v>40</v>
      </c>
      <c r="BB65" s="9">
        <f t="shared" si="7"/>
        <v>444</v>
      </c>
      <c r="BC65" s="10">
        <f t="shared" si="8"/>
        <v>84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454</v>
      </c>
      <c r="E66" s="61">
        <v>1</v>
      </c>
      <c r="F66" s="62">
        <f t="shared" si="28"/>
        <v>1</v>
      </c>
      <c r="G66" s="62">
        <f t="shared" si="28"/>
        <v>1</v>
      </c>
      <c r="H66" s="62">
        <f t="shared" si="28"/>
        <v>1</v>
      </c>
      <c r="I66" s="62">
        <f t="shared" si="28"/>
        <v>1</v>
      </c>
      <c r="J66" s="62">
        <f t="shared" si="28"/>
        <v>1</v>
      </c>
      <c r="K66" s="62">
        <f t="shared" si="28"/>
        <v>1</v>
      </c>
      <c r="L66" s="63">
        <f t="shared" si="28"/>
        <v>1</v>
      </c>
      <c r="M66" s="61">
        <v>1</v>
      </c>
      <c r="N66" s="62">
        <f t="shared" si="23"/>
        <v>1</v>
      </c>
      <c r="O66" s="62">
        <f t="shared" si="23"/>
        <v>1</v>
      </c>
      <c r="P66" s="62">
        <f t="shared" si="23"/>
        <v>1</v>
      </c>
      <c r="Q66" s="62">
        <f t="shared" si="23"/>
        <v>1</v>
      </c>
      <c r="R66" s="62">
        <f t="shared" si="23"/>
        <v>1</v>
      </c>
      <c r="S66" s="62">
        <f t="shared" si="23"/>
        <v>1</v>
      </c>
      <c r="T66" s="63">
        <f t="shared" si="23"/>
        <v>1</v>
      </c>
      <c r="U66" s="61">
        <v>1</v>
      </c>
      <c r="V66" s="62">
        <f t="shared" si="24"/>
        <v>1</v>
      </c>
      <c r="W66" s="62">
        <f t="shared" si="24"/>
        <v>1</v>
      </c>
      <c r="X66" s="62">
        <f t="shared" si="24"/>
        <v>1</v>
      </c>
      <c r="Y66" s="62">
        <f t="shared" si="24"/>
        <v>1</v>
      </c>
      <c r="Z66" s="62">
        <f t="shared" si="24"/>
        <v>1</v>
      </c>
      <c r="AA66" s="62">
        <f t="shared" si="24"/>
        <v>1</v>
      </c>
      <c r="AB66" s="63">
        <f t="shared" si="24"/>
        <v>1</v>
      </c>
      <c r="AC66" s="61">
        <v>1</v>
      </c>
      <c r="AD66" s="62">
        <f t="shared" si="25"/>
        <v>1</v>
      </c>
      <c r="AE66" s="62">
        <f t="shared" si="25"/>
        <v>1</v>
      </c>
      <c r="AF66" s="62">
        <f t="shared" si="25"/>
        <v>1</v>
      </c>
      <c r="AG66" s="62">
        <f t="shared" si="25"/>
        <v>1</v>
      </c>
      <c r="AH66" s="62">
        <f t="shared" si="25"/>
        <v>1</v>
      </c>
      <c r="AI66" s="62">
        <f t="shared" si="25"/>
        <v>1</v>
      </c>
      <c r="AJ66" s="63">
        <f t="shared" si="25"/>
        <v>1</v>
      </c>
      <c r="AK66" s="61">
        <v>1</v>
      </c>
      <c r="AL66" s="62">
        <f t="shared" si="26"/>
        <v>1</v>
      </c>
      <c r="AM66" s="62">
        <f t="shared" si="26"/>
        <v>1</v>
      </c>
      <c r="AN66" s="62">
        <f t="shared" si="26"/>
        <v>1</v>
      </c>
      <c r="AO66" s="62">
        <f t="shared" si="26"/>
        <v>1</v>
      </c>
      <c r="AP66" s="62">
        <f t="shared" si="26"/>
        <v>1</v>
      </c>
      <c r="AQ66" s="62">
        <f t="shared" si="26"/>
        <v>1</v>
      </c>
      <c r="AR66" s="63">
        <f t="shared" si="26"/>
        <v>1</v>
      </c>
      <c r="AS66" s="61">
        <v>1</v>
      </c>
      <c r="AT66" s="62">
        <f t="shared" si="27"/>
        <v>1</v>
      </c>
      <c r="AU66" s="62">
        <f t="shared" si="27"/>
        <v>1</v>
      </c>
      <c r="AV66" s="62">
        <f t="shared" si="27"/>
        <v>1</v>
      </c>
      <c r="AW66" s="62">
        <f t="shared" si="27"/>
        <v>1</v>
      </c>
      <c r="AX66" s="62">
        <f t="shared" si="27"/>
        <v>1</v>
      </c>
      <c r="AY66" s="62">
        <f t="shared" si="27"/>
        <v>1</v>
      </c>
      <c r="AZ66" s="63">
        <f t="shared" si="27"/>
        <v>1</v>
      </c>
      <c r="BA66" s="37">
        <f t="shared" si="16"/>
        <v>48</v>
      </c>
      <c r="BB66" s="9">
        <f t="shared" si="7"/>
        <v>502</v>
      </c>
      <c r="BC66" s="10">
        <f t="shared" si="8"/>
        <v>95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406</v>
      </c>
      <c r="E67" s="61">
        <v>1</v>
      </c>
      <c r="F67" s="62">
        <f t="shared" si="28"/>
        <v>1</v>
      </c>
      <c r="G67" s="62">
        <f t="shared" si="28"/>
        <v>1</v>
      </c>
      <c r="H67" s="62">
        <f t="shared" si="28"/>
        <v>1</v>
      </c>
      <c r="I67" s="62">
        <f t="shared" si="28"/>
        <v>1</v>
      </c>
      <c r="J67" s="62">
        <f t="shared" si="28"/>
        <v>1</v>
      </c>
      <c r="K67" s="62">
        <f t="shared" si="28"/>
        <v>1</v>
      </c>
      <c r="L67" s="63">
        <f t="shared" si="28"/>
        <v>1</v>
      </c>
      <c r="M67" s="61">
        <v>1</v>
      </c>
      <c r="N67" s="62">
        <f t="shared" si="23"/>
        <v>1</v>
      </c>
      <c r="O67" s="62">
        <f t="shared" si="23"/>
        <v>1</v>
      </c>
      <c r="P67" s="62">
        <f t="shared" si="23"/>
        <v>1</v>
      </c>
      <c r="Q67" s="62">
        <f t="shared" si="23"/>
        <v>1</v>
      </c>
      <c r="R67" s="62">
        <f t="shared" si="23"/>
        <v>1</v>
      </c>
      <c r="S67" s="62">
        <f t="shared" si="23"/>
        <v>1</v>
      </c>
      <c r="T67" s="63">
        <f t="shared" si="23"/>
        <v>1</v>
      </c>
      <c r="U67" s="61" t="s">
        <v>124</v>
      </c>
      <c r="V67" s="62" t="str">
        <f t="shared" si="24"/>
        <v>a</v>
      </c>
      <c r="W67" s="62" t="str">
        <f t="shared" si="24"/>
        <v>a</v>
      </c>
      <c r="X67" s="62" t="str">
        <f t="shared" si="24"/>
        <v>a</v>
      </c>
      <c r="Y67" s="62" t="str">
        <f t="shared" si="24"/>
        <v>a</v>
      </c>
      <c r="Z67" s="62" t="str">
        <f t="shared" si="24"/>
        <v>a</v>
      </c>
      <c r="AA67" s="62" t="str">
        <f t="shared" si="24"/>
        <v>a</v>
      </c>
      <c r="AB67" s="63" t="str">
        <f t="shared" si="24"/>
        <v>a</v>
      </c>
      <c r="AC67" s="61">
        <v>1</v>
      </c>
      <c r="AD67" s="62">
        <f t="shared" si="25"/>
        <v>1</v>
      </c>
      <c r="AE67" s="62">
        <f t="shared" si="25"/>
        <v>1</v>
      </c>
      <c r="AF67" s="62">
        <f t="shared" si="25"/>
        <v>1</v>
      </c>
      <c r="AG67" s="62">
        <f t="shared" si="25"/>
        <v>1</v>
      </c>
      <c r="AH67" s="62">
        <f t="shared" si="25"/>
        <v>1</v>
      </c>
      <c r="AI67" s="62">
        <f t="shared" si="25"/>
        <v>1</v>
      </c>
      <c r="AJ67" s="63">
        <f t="shared" si="25"/>
        <v>1</v>
      </c>
      <c r="AK67" s="61">
        <v>1</v>
      </c>
      <c r="AL67" s="62">
        <f t="shared" si="26"/>
        <v>1</v>
      </c>
      <c r="AM67" s="62">
        <f t="shared" si="26"/>
        <v>1</v>
      </c>
      <c r="AN67" s="62">
        <f t="shared" si="26"/>
        <v>1</v>
      </c>
      <c r="AO67" s="62">
        <f t="shared" si="26"/>
        <v>1</v>
      </c>
      <c r="AP67" s="62">
        <f t="shared" si="26"/>
        <v>1</v>
      </c>
      <c r="AQ67" s="62">
        <f t="shared" si="26"/>
        <v>1</v>
      </c>
      <c r="AR67" s="63">
        <f t="shared" si="26"/>
        <v>1</v>
      </c>
      <c r="AS67" s="61">
        <v>1</v>
      </c>
      <c r="AT67" s="62">
        <f t="shared" si="27"/>
        <v>1</v>
      </c>
      <c r="AU67" s="62">
        <f t="shared" si="27"/>
        <v>1</v>
      </c>
      <c r="AV67" s="62">
        <f t="shared" si="27"/>
        <v>1</v>
      </c>
      <c r="AW67" s="62">
        <f t="shared" si="27"/>
        <v>1</v>
      </c>
      <c r="AX67" s="62">
        <f t="shared" si="27"/>
        <v>1</v>
      </c>
      <c r="AY67" s="62">
        <f t="shared" si="27"/>
        <v>1</v>
      </c>
      <c r="AZ67" s="63">
        <f t="shared" si="27"/>
        <v>1</v>
      </c>
      <c r="BA67" s="42">
        <f t="shared" si="16"/>
        <v>40</v>
      </c>
      <c r="BB67" s="9">
        <f t="shared" si="7"/>
        <v>446</v>
      </c>
      <c r="BC67" s="10">
        <f t="shared" si="8"/>
        <v>85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410</v>
      </c>
      <c r="E68" s="61">
        <v>1</v>
      </c>
      <c r="F68" s="62">
        <f t="shared" si="28"/>
        <v>1</v>
      </c>
      <c r="G68" s="62">
        <f t="shared" si="28"/>
        <v>1</v>
      </c>
      <c r="H68" s="62">
        <f t="shared" si="28"/>
        <v>1</v>
      </c>
      <c r="I68" s="62">
        <f t="shared" si="28"/>
        <v>1</v>
      </c>
      <c r="J68" s="62">
        <f t="shared" si="28"/>
        <v>1</v>
      </c>
      <c r="K68" s="62">
        <f t="shared" si="28"/>
        <v>1</v>
      </c>
      <c r="L68" s="63">
        <f t="shared" si="28"/>
        <v>1</v>
      </c>
      <c r="M68" s="61">
        <v>1</v>
      </c>
      <c r="N68" s="62">
        <f t="shared" si="23"/>
        <v>1</v>
      </c>
      <c r="O68" s="62">
        <f t="shared" si="23"/>
        <v>1</v>
      </c>
      <c r="P68" s="62">
        <f t="shared" si="23"/>
        <v>1</v>
      </c>
      <c r="Q68" s="62">
        <f t="shared" si="23"/>
        <v>1</v>
      </c>
      <c r="R68" s="62">
        <f t="shared" si="23"/>
        <v>1</v>
      </c>
      <c r="S68" s="62">
        <f t="shared" si="23"/>
        <v>1</v>
      </c>
      <c r="T68" s="63">
        <f t="shared" si="23"/>
        <v>1</v>
      </c>
      <c r="U68" s="61">
        <v>1</v>
      </c>
      <c r="V68" s="62">
        <f t="shared" si="24"/>
        <v>1</v>
      </c>
      <c r="W68" s="62">
        <f t="shared" si="24"/>
        <v>1</v>
      </c>
      <c r="X68" s="62">
        <f t="shared" si="24"/>
        <v>1</v>
      </c>
      <c r="Y68" s="62">
        <f t="shared" si="24"/>
        <v>1</v>
      </c>
      <c r="Z68" s="62">
        <f t="shared" si="24"/>
        <v>1</v>
      </c>
      <c r="AA68" s="62">
        <f t="shared" si="24"/>
        <v>1</v>
      </c>
      <c r="AB68" s="63">
        <f t="shared" si="24"/>
        <v>1</v>
      </c>
      <c r="AC68" s="61">
        <v>1</v>
      </c>
      <c r="AD68" s="62">
        <f t="shared" si="25"/>
        <v>1</v>
      </c>
      <c r="AE68" s="62">
        <f t="shared" si="25"/>
        <v>1</v>
      </c>
      <c r="AF68" s="62">
        <f t="shared" si="25"/>
        <v>1</v>
      </c>
      <c r="AG68" s="62">
        <f t="shared" si="25"/>
        <v>1</v>
      </c>
      <c r="AH68" s="62">
        <f t="shared" si="25"/>
        <v>1</v>
      </c>
      <c r="AI68" s="62">
        <f t="shared" si="25"/>
        <v>1</v>
      </c>
      <c r="AJ68" s="63">
        <f t="shared" si="25"/>
        <v>1</v>
      </c>
      <c r="AK68" s="61">
        <v>1</v>
      </c>
      <c r="AL68" s="62">
        <f t="shared" si="26"/>
        <v>1</v>
      </c>
      <c r="AM68" s="62">
        <f t="shared" si="26"/>
        <v>1</v>
      </c>
      <c r="AN68" s="62">
        <f t="shared" si="26"/>
        <v>1</v>
      </c>
      <c r="AO68" s="62">
        <f t="shared" si="26"/>
        <v>1</v>
      </c>
      <c r="AP68" s="62">
        <f t="shared" si="26"/>
        <v>1</v>
      </c>
      <c r="AQ68" s="62">
        <f t="shared" si="26"/>
        <v>1</v>
      </c>
      <c r="AR68" s="63">
        <f t="shared" si="26"/>
        <v>1</v>
      </c>
      <c r="AS68" s="61">
        <v>1</v>
      </c>
      <c r="AT68" s="62">
        <f t="shared" si="27"/>
        <v>1</v>
      </c>
      <c r="AU68" s="62">
        <f t="shared" si="27"/>
        <v>1</v>
      </c>
      <c r="AV68" s="62">
        <f t="shared" si="27"/>
        <v>1</v>
      </c>
      <c r="AW68" s="62">
        <f t="shared" si="27"/>
        <v>1</v>
      </c>
      <c r="AX68" s="62">
        <f t="shared" si="27"/>
        <v>1</v>
      </c>
      <c r="AY68" s="62">
        <f t="shared" si="27"/>
        <v>1</v>
      </c>
      <c r="AZ68" s="63">
        <f t="shared" si="27"/>
        <v>1</v>
      </c>
      <c r="BA68" s="37">
        <f t="shared" si="16"/>
        <v>48</v>
      </c>
      <c r="BB68" s="9">
        <f t="shared" si="7"/>
        <v>458</v>
      </c>
      <c r="BC68" s="10">
        <f t="shared" si="8"/>
        <v>87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459</v>
      </c>
      <c r="E69" s="61">
        <v>1</v>
      </c>
      <c r="F69" s="62">
        <f t="shared" si="28"/>
        <v>1</v>
      </c>
      <c r="G69" s="62">
        <f t="shared" si="28"/>
        <v>1</v>
      </c>
      <c r="H69" s="62">
        <f t="shared" si="28"/>
        <v>1</v>
      </c>
      <c r="I69" s="62">
        <f t="shared" si="28"/>
        <v>1</v>
      </c>
      <c r="J69" s="62">
        <f t="shared" si="28"/>
        <v>1</v>
      </c>
      <c r="K69" s="62">
        <f t="shared" si="28"/>
        <v>1</v>
      </c>
      <c r="L69" s="63">
        <f t="shared" si="28"/>
        <v>1</v>
      </c>
      <c r="M69" s="61">
        <v>1</v>
      </c>
      <c r="N69" s="62">
        <f t="shared" si="23"/>
        <v>1</v>
      </c>
      <c r="O69" s="62">
        <f t="shared" si="23"/>
        <v>1</v>
      </c>
      <c r="P69" s="62">
        <f t="shared" si="23"/>
        <v>1</v>
      </c>
      <c r="Q69" s="62">
        <f t="shared" si="23"/>
        <v>1</v>
      </c>
      <c r="R69" s="62">
        <f t="shared" si="23"/>
        <v>1</v>
      </c>
      <c r="S69" s="62">
        <f t="shared" si="23"/>
        <v>1</v>
      </c>
      <c r="T69" s="63">
        <f t="shared" si="23"/>
        <v>1</v>
      </c>
      <c r="U69" s="61">
        <v>1</v>
      </c>
      <c r="V69" s="62">
        <f t="shared" si="24"/>
        <v>1</v>
      </c>
      <c r="W69" s="62">
        <f t="shared" si="24"/>
        <v>1</v>
      </c>
      <c r="X69" s="62">
        <f t="shared" si="24"/>
        <v>1</v>
      </c>
      <c r="Y69" s="62">
        <f t="shared" si="24"/>
        <v>1</v>
      </c>
      <c r="Z69" s="62">
        <f t="shared" si="24"/>
        <v>1</v>
      </c>
      <c r="AA69" s="62">
        <f t="shared" si="24"/>
        <v>1</v>
      </c>
      <c r="AB69" s="63">
        <f t="shared" si="24"/>
        <v>1</v>
      </c>
      <c r="AC69" s="61">
        <v>1</v>
      </c>
      <c r="AD69" s="62">
        <f t="shared" si="25"/>
        <v>1</v>
      </c>
      <c r="AE69" s="62">
        <f t="shared" si="25"/>
        <v>1</v>
      </c>
      <c r="AF69" s="62">
        <f t="shared" si="25"/>
        <v>1</v>
      </c>
      <c r="AG69" s="62">
        <f t="shared" si="25"/>
        <v>1</v>
      </c>
      <c r="AH69" s="62">
        <f t="shared" si="25"/>
        <v>1</v>
      </c>
      <c r="AI69" s="62">
        <f t="shared" si="25"/>
        <v>1</v>
      </c>
      <c r="AJ69" s="63">
        <f t="shared" si="25"/>
        <v>1</v>
      </c>
      <c r="AK69" s="61">
        <v>1</v>
      </c>
      <c r="AL69" s="62">
        <f t="shared" si="26"/>
        <v>1</v>
      </c>
      <c r="AM69" s="62">
        <f t="shared" si="26"/>
        <v>1</v>
      </c>
      <c r="AN69" s="62">
        <f t="shared" si="26"/>
        <v>1</v>
      </c>
      <c r="AO69" s="62">
        <f t="shared" si="26"/>
        <v>1</v>
      </c>
      <c r="AP69" s="62">
        <f t="shared" si="26"/>
        <v>1</v>
      </c>
      <c r="AQ69" s="62">
        <f t="shared" si="26"/>
        <v>1</v>
      </c>
      <c r="AR69" s="63">
        <f t="shared" si="26"/>
        <v>1</v>
      </c>
      <c r="AS69" s="61">
        <v>1</v>
      </c>
      <c r="AT69" s="62">
        <f t="shared" si="27"/>
        <v>1</v>
      </c>
      <c r="AU69" s="62">
        <f t="shared" si="27"/>
        <v>1</v>
      </c>
      <c r="AV69" s="62">
        <f t="shared" si="27"/>
        <v>1</v>
      </c>
      <c r="AW69" s="62">
        <f t="shared" si="27"/>
        <v>1</v>
      </c>
      <c r="AX69" s="62">
        <f t="shared" si="27"/>
        <v>1</v>
      </c>
      <c r="AY69" s="62">
        <f t="shared" si="27"/>
        <v>1</v>
      </c>
      <c r="AZ69" s="63">
        <f t="shared" si="27"/>
        <v>1</v>
      </c>
      <c r="BA69" s="37">
        <f t="shared" si="16"/>
        <v>48</v>
      </c>
      <c r="BB69" s="9">
        <f t="shared" si="7"/>
        <v>507</v>
      </c>
      <c r="BC69" s="10">
        <f t="shared" si="8"/>
        <v>96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378</v>
      </c>
      <c r="E70" s="61">
        <v>1</v>
      </c>
      <c r="F70" s="62">
        <f t="shared" si="28"/>
        <v>1</v>
      </c>
      <c r="G70" s="62">
        <f t="shared" si="28"/>
        <v>1</v>
      </c>
      <c r="H70" s="62">
        <f t="shared" si="28"/>
        <v>1</v>
      </c>
      <c r="I70" s="62">
        <f t="shared" si="28"/>
        <v>1</v>
      </c>
      <c r="J70" s="62">
        <f t="shared" si="28"/>
        <v>1</v>
      </c>
      <c r="K70" s="62">
        <f t="shared" si="28"/>
        <v>1</v>
      </c>
      <c r="L70" s="63">
        <f t="shared" si="28"/>
        <v>1</v>
      </c>
      <c r="M70" s="61">
        <v>1</v>
      </c>
      <c r="N70" s="62">
        <f t="shared" si="23"/>
        <v>1</v>
      </c>
      <c r="O70" s="62">
        <f t="shared" si="23"/>
        <v>1</v>
      </c>
      <c r="P70" s="62">
        <f t="shared" si="23"/>
        <v>1</v>
      </c>
      <c r="Q70" s="62">
        <f t="shared" si="23"/>
        <v>1</v>
      </c>
      <c r="R70" s="62">
        <f t="shared" si="23"/>
        <v>1</v>
      </c>
      <c r="S70" s="62">
        <f t="shared" si="23"/>
        <v>1</v>
      </c>
      <c r="T70" s="63">
        <f t="shared" si="23"/>
        <v>1</v>
      </c>
      <c r="U70" s="61" t="s">
        <v>124</v>
      </c>
      <c r="V70" s="62" t="str">
        <f t="shared" si="24"/>
        <v>a</v>
      </c>
      <c r="W70" s="62" t="str">
        <f t="shared" si="24"/>
        <v>a</v>
      </c>
      <c r="X70" s="62" t="str">
        <f t="shared" si="24"/>
        <v>a</v>
      </c>
      <c r="Y70" s="62" t="str">
        <f t="shared" si="24"/>
        <v>a</v>
      </c>
      <c r="Z70" s="62" t="str">
        <f t="shared" si="24"/>
        <v>a</v>
      </c>
      <c r="AA70" s="62" t="str">
        <f t="shared" si="24"/>
        <v>a</v>
      </c>
      <c r="AB70" s="63" t="str">
        <f t="shared" si="24"/>
        <v>a</v>
      </c>
      <c r="AC70" s="61">
        <v>1</v>
      </c>
      <c r="AD70" s="62">
        <f t="shared" si="25"/>
        <v>1</v>
      </c>
      <c r="AE70" s="62">
        <f t="shared" si="25"/>
        <v>1</v>
      </c>
      <c r="AF70" s="62">
        <f t="shared" si="25"/>
        <v>1</v>
      </c>
      <c r="AG70" s="62">
        <f t="shared" si="25"/>
        <v>1</v>
      </c>
      <c r="AH70" s="62">
        <f t="shared" si="25"/>
        <v>1</v>
      </c>
      <c r="AI70" s="62">
        <f t="shared" si="25"/>
        <v>1</v>
      </c>
      <c r="AJ70" s="63">
        <f t="shared" si="25"/>
        <v>1</v>
      </c>
      <c r="AK70" s="61">
        <v>1</v>
      </c>
      <c r="AL70" s="62">
        <f t="shared" si="26"/>
        <v>1</v>
      </c>
      <c r="AM70" s="62">
        <f t="shared" si="26"/>
        <v>1</v>
      </c>
      <c r="AN70" s="62">
        <f t="shared" si="26"/>
        <v>1</v>
      </c>
      <c r="AO70" s="62">
        <f t="shared" si="26"/>
        <v>1</v>
      </c>
      <c r="AP70" s="62">
        <f t="shared" si="26"/>
        <v>1</v>
      </c>
      <c r="AQ70" s="62">
        <f t="shared" si="26"/>
        <v>1</v>
      </c>
      <c r="AR70" s="63">
        <f t="shared" si="26"/>
        <v>1</v>
      </c>
      <c r="AS70" s="61">
        <v>1</v>
      </c>
      <c r="AT70" s="62">
        <f t="shared" si="27"/>
        <v>1</v>
      </c>
      <c r="AU70" s="62">
        <f t="shared" si="27"/>
        <v>1</v>
      </c>
      <c r="AV70" s="62">
        <f t="shared" si="27"/>
        <v>1</v>
      </c>
      <c r="AW70" s="62">
        <f t="shared" si="27"/>
        <v>1</v>
      </c>
      <c r="AX70" s="62">
        <f t="shared" si="27"/>
        <v>1</v>
      </c>
      <c r="AY70" s="62">
        <f t="shared" si="27"/>
        <v>1</v>
      </c>
      <c r="AZ70" s="63">
        <f t="shared" si="27"/>
        <v>1</v>
      </c>
      <c r="BA70" s="37">
        <f t="shared" si="16"/>
        <v>40</v>
      </c>
      <c r="BB70" s="9">
        <f t="shared" si="7"/>
        <v>418</v>
      </c>
      <c r="BC70" s="10">
        <f t="shared" si="8"/>
        <v>79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422</v>
      </c>
      <c r="E71" s="61" t="s">
        <v>124</v>
      </c>
      <c r="F71" s="62" t="str">
        <f t="shared" si="28"/>
        <v>a</v>
      </c>
      <c r="G71" s="62" t="str">
        <f t="shared" si="28"/>
        <v>a</v>
      </c>
      <c r="H71" s="62" t="str">
        <f t="shared" si="28"/>
        <v>a</v>
      </c>
      <c r="I71" s="62" t="str">
        <f t="shared" si="28"/>
        <v>a</v>
      </c>
      <c r="J71" s="62" t="str">
        <f t="shared" si="28"/>
        <v>a</v>
      </c>
      <c r="K71" s="62" t="str">
        <f t="shared" si="28"/>
        <v>a</v>
      </c>
      <c r="L71" s="63" t="str">
        <f t="shared" si="28"/>
        <v>a</v>
      </c>
      <c r="M71" s="61">
        <v>1</v>
      </c>
      <c r="N71" s="62">
        <f t="shared" si="23"/>
        <v>1</v>
      </c>
      <c r="O71" s="62">
        <f t="shared" si="23"/>
        <v>1</v>
      </c>
      <c r="P71" s="62">
        <f t="shared" si="23"/>
        <v>1</v>
      </c>
      <c r="Q71" s="62">
        <f t="shared" si="23"/>
        <v>1</v>
      </c>
      <c r="R71" s="62">
        <f t="shared" si="23"/>
        <v>1</v>
      </c>
      <c r="S71" s="62">
        <f t="shared" si="23"/>
        <v>1</v>
      </c>
      <c r="T71" s="63">
        <f t="shared" si="23"/>
        <v>1</v>
      </c>
      <c r="U71" s="61">
        <v>1</v>
      </c>
      <c r="V71" s="62">
        <f t="shared" si="24"/>
        <v>1</v>
      </c>
      <c r="W71" s="62">
        <f t="shared" si="24"/>
        <v>1</v>
      </c>
      <c r="X71" s="62">
        <f t="shared" si="24"/>
        <v>1</v>
      </c>
      <c r="Y71" s="62">
        <f t="shared" si="24"/>
        <v>1</v>
      </c>
      <c r="Z71" s="62">
        <f t="shared" si="24"/>
        <v>1</v>
      </c>
      <c r="AA71" s="62">
        <f t="shared" si="24"/>
        <v>1</v>
      </c>
      <c r="AB71" s="63">
        <f t="shared" si="24"/>
        <v>1</v>
      </c>
      <c r="AC71" s="61">
        <v>1</v>
      </c>
      <c r="AD71" s="62">
        <f t="shared" si="25"/>
        <v>1</v>
      </c>
      <c r="AE71" s="62">
        <f t="shared" si="25"/>
        <v>1</v>
      </c>
      <c r="AF71" s="62">
        <f t="shared" si="25"/>
        <v>1</v>
      </c>
      <c r="AG71" s="62">
        <f t="shared" si="25"/>
        <v>1</v>
      </c>
      <c r="AH71" s="62">
        <f t="shared" si="25"/>
        <v>1</v>
      </c>
      <c r="AI71" s="62">
        <f t="shared" si="25"/>
        <v>1</v>
      </c>
      <c r="AJ71" s="63">
        <f t="shared" si="25"/>
        <v>1</v>
      </c>
      <c r="AK71" s="61">
        <v>1</v>
      </c>
      <c r="AL71" s="62">
        <f t="shared" si="26"/>
        <v>1</v>
      </c>
      <c r="AM71" s="62">
        <f t="shared" si="26"/>
        <v>1</v>
      </c>
      <c r="AN71" s="62">
        <f t="shared" si="26"/>
        <v>1</v>
      </c>
      <c r="AO71" s="62">
        <f t="shared" si="26"/>
        <v>1</v>
      </c>
      <c r="AP71" s="62">
        <f t="shared" si="26"/>
        <v>1</v>
      </c>
      <c r="AQ71" s="62">
        <f t="shared" si="26"/>
        <v>1</v>
      </c>
      <c r="AR71" s="63">
        <f t="shared" si="26"/>
        <v>1</v>
      </c>
      <c r="AS71" s="61">
        <v>1</v>
      </c>
      <c r="AT71" s="62">
        <f t="shared" si="27"/>
        <v>1</v>
      </c>
      <c r="AU71" s="62">
        <f t="shared" si="27"/>
        <v>1</v>
      </c>
      <c r="AV71" s="62">
        <f t="shared" si="27"/>
        <v>1</v>
      </c>
      <c r="AW71" s="62">
        <f t="shared" si="27"/>
        <v>1</v>
      </c>
      <c r="AX71" s="62">
        <f t="shared" si="27"/>
        <v>1</v>
      </c>
      <c r="AY71" s="62">
        <f t="shared" si="27"/>
        <v>1</v>
      </c>
      <c r="AZ71" s="63">
        <f t="shared" si="27"/>
        <v>1</v>
      </c>
      <c r="BA71" s="42">
        <f t="shared" si="16"/>
        <v>40</v>
      </c>
      <c r="BB71" s="9">
        <f t="shared" si="7"/>
        <v>462</v>
      </c>
      <c r="BC71" s="10">
        <f t="shared" si="8"/>
        <v>88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383</v>
      </c>
      <c r="E72" s="61" t="s">
        <v>124</v>
      </c>
      <c r="F72" s="62" t="str">
        <f t="shared" si="28"/>
        <v>a</v>
      </c>
      <c r="G72" s="62" t="str">
        <f t="shared" si="28"/>
        <v>a</v>
      </c>
      <c r="H72" s="62" t="str">
        <f t="shared" si="28"/>
        <v>a</v>
      </c>
      <c r="I72" s="62" t="str">
        <f t="shared" si="28"/>
        <v>a</v>
      </c>
      <c r="J72" s="62" t="str">
        <f t="shared" si="28"/>
        <v>a</v>
      </c>
      <c r="K72" s="62" t="str">
        <f t="shared" si="28"/>
        <v>a</v>
      </c>
      <c r="L72" s="63" t="str">
        <f t="shared" si="28"/>
        <v>a</v>
      </c>
      <c r="M72" s="61">
        <v>1</v>
      </c>
      <c r="N72" s="62">
        <f t="shared" si="23"/>
        <v>1</v>
      </c>
      <c r="O72" s="62">
        <f t="shared" si="23"/>
        <v>1</v>
      </c>
      <c r="P72" s="62">
        <f t="shared" si="23"/>
        <v>1</v>
      </c>
      <c r="Q72" s="62">
        <f t="shared" si="23"/>
        <v>1</v>
      </c>
      <c r="R72" s="62">
        <f t="shared" si="23"/>
        <v>1</v>
      </c>
      <c r="S72" s="62">
        <f t="shared" si="23"/>
        <v>1</v>
      </c>
      <c r="T72" s="63">
        <f t="shared" si="23"/>
        <v>1</v>
      </c>
      <c r="U72" s="61">
        <v>1</v>
      </c>
      <c r="V72" s="62">
        <f t="shared" si="24"/>
        <v>1</v>
      </c>
      <c r="W72" s="62">
        <f t="shared" si="24"/>
        <v>1</v>
      </c>
      <c r="X72" s="62">
        <f t="shared" si="24"/>
        <v>1</v>
      </c>
      <c r="Y72" s="62">
        <f t="shared" si="24"/>
        <v>1</v>
      </c>
      <c r="Z72" s="62">
        <f t="shared" si="24"/>
        <v>1</v>
      </c>
      <c r="AA72" s="62">
        <f t="shared" si="24"/>
        <v>1</v>
      </c>
      <c r="AB72" s="63">
        <f t="shared" si="24"/>
        <v>1</v>
      </c>
      <c r="AC72" s="61">
        <v>1</v>
      </c>
      <c r="AD72" s="62">
        <f t="shared" si="25"/>
        <v>1</v>
      </c>
      <c r="AE72" s="62">
        <f t="shared" si="25"/>
        <v>1</v>
      </c>
      <c r="AF72" s="62">
        <f t="shared" si="25"/>
        <v>1</v>
      </c>
      <c r="AG72" s="62">
        <f t="shared" si="25"/>
        <v>1</v>
      </c>
      <c r="AH72" s="62">
        <f t="shared" si="25"/>
        <v>1</v>
      </c>
      <c r="AI72" s="62">
        <f t="shared" si="25"/>
        <v>1</v>
      </c>
      <c r="AJ72" s="63">
        <f t="shared" si="25"/>
        <v>1</v>
      </c>
      <c r="AK72" s="61">
        <v>1</v>
      </c>
      <c r="AL72" s="62">
        <f t="shared" si="26"/>
        <v>1</v>
      </c>
      <c r="AM72" s="62">
        <f t="shared" si="26"/>
        <v>1</v>
      </c>
      <c r="AN72" s="62">
        <f t="shared" si="26"/>
        <v>1</v>
      </c>
      <c r="AO72" s="62">
        <f t="shared" si="26"/>
        <v>1</v>
      </c>
      <c r="AP72" s="62">
        <f t="shared" si="26"/>
        <v>1</v>
      </c>
      <c r="AQ72" s="62">
        <f t="shared" si="26"/>
        <v>1</v>
      </c>
      <c r="AR72" s="63">
        <f t="shared" si="26"/>
        <v>1</v>
      </c>
      <c r="AS72" s="61">
        <v>1</v>
      </c>
      <c r="AT72" s="62">
        <f t="shared" si="27"/>
        <v>1</v>
      </c>
      <c r="AU72" s="62">
        <f t="shared" si="27"/>
        <v>1</v>
      </c>
      <c r="AV72" s="62">
        <f t="shared" si="27"/>
        <v>1</v>
      </c>
      <c r="AW72" s="62">
        <f t="shared" si="27"/>
        <v>1</v>
      </c>
      <c r="AX72" s="62">
        <f t="shared" si="27"/>
        <v>1</v>
      </c>
      <c r="AY72" s="62">
        <f t="shared" si="27"/>
        <v>1</v>
      </c>
      <c r="AZ72" s="63">
        <f t="shared" si="27"/>
        <v>1</v>
      </c>
      <c r="BA72" s="37">
        <f t="shared" si="16"/>
        <v>40</v>
      </c>
      <c r="BB72" s="9">
        <f t="shared" si="7"/>
        <v>423</v>
      </c>
      <c r="BC72" s="10">
        <f t="shared" si="8"/>
        <v>80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450</v>
      </c>
      <c r="E73" s="61">
        <v>1</v>
      </c>
      <c r="F73" s="62">
        <f t="shared" si="28"/>
        <v>1</v>
      </c>
      <c r="G73" s="62">
        <f t="shared" si="28"/>
        <v>1</v>
      </c>
      <c r="H73" s="62">
        <f t="shared" si="28"/>
        <v>1</v>
      </c>
      <c r="I73" s="62">
        <f t="shared" si="28"/>
        <v>1</v>
      </c>
      <c r="J73" s="62">
        <f t="shared" si="28"/>
        <v>1</v>
      </c>
      <c r="K73" s="62">
        <f t="shared" si="28"/>
        <v>1</v>
      </c>
      <c r="L73" s="63">
        <f t="shared" si="28"/>
        <v>1</v>
      </c>
      <c r="M73" s="61">
        <v>1</v>
      </c>
      <c r="N73" s="62">
        <f t="shared" si="23"/>
        <v>1</v>
      </c>
      <c r="O73" s="62">
        <f t="shared" si="23"/>
        <v>1</v>
      </c>
      <c r="P73" s="62">
        <f t="shared" si="23"/>
        <v>1</v>
      </c>
      <c r="Q73" s="62">
        <f t="shared" si="23"/>
        <v>1</v>
      </c>
      <c r="R73" s="62">
        <f t="shared" si="23"/>
        <v>1</v>
      </c>
      <c r="S73" s="62">
        <f t="shared" si="23"/>
        <v>1</v>
      </c>
      <c r="T73" s="63">
        <f t="shared" si="23"/>
        <v>1</v>
      </c>
      <c r="U73" s="61">
        <v>1</v>
      </c>
      <c r="V73" s="62">
        <f t="shared" si="24"/>
        <v>1</v>
      </c>
      <c r="W73" s="62">
        <f t="shared" si="24"/>
        <v>1</v>
      </c>
      <c r="X73" s="62">
        <f t="shared" si="24"/>
        <v>1</v>
      </c>
      <c r="Y73" s="62">
        <f t="shared" si="24"/>
        <v>1</v>
      </c>
      <c r="Z73" s="62">
        <f t="shared" si="24"/>
        <v>1</v>
      </c>
      <c r="AA73" s="62">
        <f t="shared" si="24"/>
        <v>1</v>
      </c>
      <c r="AB73" s="63">
        <f t="shared" si="24"/>
        <v>1</v>
      </c>
      <c r="AC73" s="61">
        <v>1</v>
      </c>
      <c r="AD73" s="62">
        <f t="shared" si="25"/>
        <v>1</v>
      </c>
      <c r="AE73" s="62">
        <f t="shared" si="25"/>
        <v>1</v>
      </c>
      <c r="AF73" s="62">
        <f t="shared" si="25"/>
        <v>1</v>
      </c>
      <c r="AG73" s="62">
        <f t="shared" si="25"/>
        <v>1</v>
      </c>
      <c r="AH73" s="62">
        <f t="shared" si="25"/>
        <v>1</v>
      </c>
      <c r="AI73" s="62">
        <f t="shared" si="25"/>
        <v>1</v>
      </c>
      <c r="AJ73" s="63">
        <f t="shared" si="25"/>
        <v>1</v>
      </c>
      <c r="AK73" s="61">
        <v>1</v>
      </c>
      <c r="AL73" s="62">
        <f t="shared" si="26"/>
        <v>1</v>
      </c>
      <c r="AM73" s="62">
        <f t="shared" si="26"/>
        <v>1</v>
      </c>
      <c r="AN73" s="62">
        <f t="shared" si="26"/>
        <v>1</v>
      </c>
      <c r="AO73" s="62">
        <f t="shared" si="26"/>
        <v>1</v>
      </c>
      <c r="AP73" s="62">
        <f t="shared" si="26"/>
        <v>1</v>
      </c>
      <c r="AQ73" s="62">
        <f t="shared" si="26"/>
        <v>1</v>
      </c>
      <c r="AR73" s="63">
        <f t="shared" si="26"/>
        <v>1</v>
      </c>
      <c r="AS73" s="61">
        <v>1</v>
      </c>
      <c r="AT73" s="62">
        <f t="shared" si="27"/>
        <v>1</v>
      </c>
      <c r="AU73" s="62">
        <f t="shared" si="27"/>
        <v>1</v>
      </c>
      <c r="AV73" s="62">
        <f t="shared" si="27"/>
        <v>1</v>
      </c>
      <c r="AW73" s="62">
        <f t="shared" si="27"/>
        <v>1</v>
      </c>
      <c r="AX73" s="62">
        <f t="shared" si="27"/>
        <v>1</v>
      </c>
      <c r="AY73" s="62">
        <f t="shared" si="27"/>
        <v>1</v>
      </c>
      <c r="AZ73" s="63">
        <f t="shared" si="27"/>
        <v>1</v>
      </c>
      <c r="BA73" s="37">
        <f t="shared" si="16"/>
        <v>48</v>
      </c>
      <c r="BB73" s="9">
        <f t="shared" si="7"/>
        <v>498</v>
      </c>
      <c r="BC73" s="10">
        <f t="shared" si="8"/>
        <v>95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12</v>
      </c>
      <c r="F74" s="50">
        <f t="shared" ref="F74:AZ74" si="29">COUNTIF(F10:F73,"a")</f>
        <v>12</v>
      </c>
      <c r="G74" s="50">
        <f t="shared" si="29"/>
        <v>12</v>
      </c>
      <c r="H74" s="50">
        <f t="shared" si="29"/>
        <v>12</v>
      </c>
      <c r="I74" s="50">
        <f t="shared" si="29"/>
        <v>12</v>
      </c>
      <c r="J74" s="50">
        <f t="shared" si="29"/>
        <v>12</v>
      </c>
      <c r="K74" s="50">
        <f t="shared" si="29"/>
        <v>12</v>
      </c>
      <c r="L74" s="50">
        <f t="shared" si="29"/>
        <v>12</v>
      </c>
      <c r="M74" s="50">
        <f t="shared" si="29"/>
        <v>10</v>
      </c>
      <c r="N74" s="50">
        <f t="shared" si="29"/>
        <v>10</v>
      </c>
      <c r="O74" s="50">
        <f t="shared" si="29"/>
        <v>10</v>
      </c>
      <c r="P74" s="50">
        <f t="shared" si="29"/>
        <v>10</v>
      </c>
      <c r="Q74" s="50">
        <f t="shared" si="29"/>
        <v>10</v>
      </c>
      <c r="R74" s="50">
        <f t="shared" si="29"/>
        <v>10</v>
      </c>
      <c r="S74" s="50">
        <f t="shared" si="29"/>
        <v>10</v>
      </c>
      <c r="T74" s="50">
        <f t="shared" si="29"/>
        <v>10</v>
      </c>
      <c r="U74" s="50">
        <f t="shared" si="29"/>
        <v>19</v>
      </c>
      <c r="V74" s="50">
        <f t="shared" si="29"/>
        <v>19</v>
      </c>
      <c r="W74" s="50">
        <f t="shared" si="29"/>
        <v>19</v>
      </c>
      <c r="X74" s="50">
        <f t="shared" si="29"/>
        <v>19</v>
      </c>
      <c r="Y74" s="50">
        <f t="shared" si="29"/>
        <v>19</v>
      </c>
      <c r="Z74" s="50">
        <f t="shared" si="29"/>
        <v>19</v>
      </c>
      <c r="AA74" s="50">
        <f t="shared" si="29"/>
        <v>19</v>
      </c>
      <c r="AB74" s="50">
        <f t="shared" si="29"/>
        <v>19</v>
      </c>
      <c r="AC74" s="50">
        <f t="shared" si="29"/>
        <v>1</v>
      </c>
      <c r="AD74" s="50">
        <f t="shared" si="29"/>
        <v>1</v>
      </c>
      <c r="AE74" s="50">
        <f t="shared" si="29"/>
        <v>1</v>
      </c>
      <c r="AF74" s="50">
        <f t="shared" si="29"/>
        <v>1</v>
      </c>
      <c r="AG74" s="50">
        <f t="shared" si="29"/>
        <v>1</v>
      </c>
      <c r="AH74" s="50">
        <f t="shared" si="29"/>
        <v>1</v>
      </c>
      <c r="AI74" s="50">
        <f t="shared" si="29"/>
        <v>1</v>
      </c>
      <c r="AJ74" s="50">
        <f t="shared" si="29"/>
        <v>1</v>
      </c>
      <c r="AK74" s="50">
        <f t="shared" si="29"/>
        <v>1</v>
      </c>
      <c r="AL74" s="50">
        <f t="shared" si="29"/>
        <v>1</v>
      </c>
      <c r="AM74" s="50">
        <f t="shared" si="29"/>
        <v>1</v>
      </c>
      <c r="AN74" s="50">
        <f t="shared" si="29"/>
        <v>1</v>
      </c>
      <c r="AO74" s="50">
        <f t="shared" si="29"/>
        <v>1</v>
      </c>
      <c r="AP74" s="50">
        <f t="shared" si="29"/>
        <v>1</v>
      </c>
      <c r="AQ74" s="50">
        <f t="shared" si="29"/>
        <v>1</v>
      </c>
      <c r="AR74" s="50">
        <f t="shared" si="29"/>
        <v>1</v>
      </c>
      <c r="AS74" s="50">
        <f t="shared" si="29"/>
        <v>1</v>
      </c>
      <c r="AT74" s="50">
        <f t="shared" si="29"/>
        <v>1</v>
      </c>
      <c r="AU74" s="50">
        <f t="shared" si="29"/>
        <v>1</v>
      </c>
      <c r="AV74" s="50">
        <f t="shared" si="29"/>
        <v>1</v>
      </c>
      <c r="AW74" s="50">
        <f t="shared" si="29"/>
        <v>1</v>
      </c>
      <c r="AX74" s="50">
        <f t="shared" si="29"/>
        <v>1</v>
      </c>
      <c r="AY74" s="50">
        <f t="shared" si="29"/>
        <v>1</v>
      </c>
      <c r="AZ74" s="50">
        <f t="shared" si="29"/>
        <v>1</v>
      </c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02" t="str">
        <f>E9</f>
        <v>SG</v>
      </c>
      <c r="F75" s="102" t="str">
        <f t="shared" ref="F75:AS75" si="30">F9</f>
        <v>PA</v>
      </c>
      <c r="G75" s="102" t="str">
        <f t="shared" si="30"/>
        <v>BB</v>
      </c>
      <c r="H75" s="102" t="str">
        <f t="shared" si="30"/>
        <v>VP</v>
      </c>
      <c r="I75" s="102" t="str">
        <f t="shared" si="30"/>
        <v>NS / PA</v>
      </c>
      <c r="J75" s="204" t="s">
        <v>98</v>
      </c>
      <c r="K75" s="205"/>
      <c r="L75" s="205"/>
      <c r="M75" s="206"/>
      <c r="N75" s="102" t="str">
        <f t="shared" si="30"/>
        <v>NPK</v>
      </c>
      <c r="O75" s="102" t="str">
        <f t="shared" si="30"/>
        <v>PA</v>
      </c>
      <c r="P75" s="102" t="str">
        <f t="shared" si="30"/>
        <v>VP</v>
      </c>
      <c r="Q75" s="102" t="str">
        <f t="shared" si="30"/>
        <v>NS</v>
      </c>
      <c r="R75" s="160" t="s">
        <v>107</v>
      </c>
      <c r="S75" s="130"/>
      <c r="T75" s="161"/>
      <c r="U75" s="129" t="s">
        <v>108</v>
      </c>
      <c r="V75" s="130"/>
      <c r="W75" s="130"/>
      <c r="X75" s="131"/>
      <c r="Y75" s="102" t="str">
        <f t="shared" si="30"/>
        <v>PA</v>
      </c>
      <c r="Z75" s="102" t="str">
        <f t="shared" si="30"/>
        <v>SG</v>
      </c>
      <c r="AA75" s="102" t="str">
        <f t="shared" si="30"/>
        <v>VP</v>
      </c>
      <c r="AB75" s="102" t="str">
        <f t="shared" si="30"/>
        <v>NS</v>
      </c>
      <c r="AC75" s="144" t="s">
        <v>85</v>
      </c>
      <c r="AD75" s="145"/>
      <c r="AE75" s="145"/>
      <c r="AF75" s="145"/>
      <c r="AG75" s="145"/>
      <c r="AH75" s="145"/>
      <c r="AI75" s="145"/>
      <c r="AJ75" s="146"/>
      <c r="AK75" s="144" t="str">
        <f t="shared" si="30"/>
        <v>SG</v>
      </c>
      <c r="AL75" s="145"/>
      <c r="AM75" s="145"/>
      <c r="AN75" s="145"/>
      <c r="AO75" s="145"/>
      <c r="AP75" s="145"/>
      <c r="AQ75" s="145"/>
      <c r="AR75" s="146"/>
      <c r="AS75" s="144" t="str">
        <f t="shared" si="30"/>
        <v>NS</v>
      </c>
      <c r="AT75" s="145"/>
      <c r="AU75" s="145"/>
      <c r="AV75" s="145"/>
      <c r="AW75" s="145"/>
      <c r="AX75" s="145"/>
      <c r="AY75" s="145"/>
      <c r="AZ75" s="156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8">
    <mergeCell ref="A74:D74"/>
    <mergeCell ref="A76:D76"/>
    <mergeCell ref="A79:I79"/>
    <mergeCell ref="AK9:AN9"/>
    <mergeCell ref="AS8:AV8"/>
    <mergeCell ref="AS9:AV9"/>
    <mergeCell ref="A80:H80"/>
    <mergeCell ref="AR80:BC80"/>
    <mergeCell ref="J75:M75"/>
    <mergeCell ref="R75:T75"/>
    <mergeCell ref="U75:X75"/>
    <mergeCell ref="AC75:AJ75"/>
    <mergeCell ref="AS75:AZ75"/>
    <mergeCell ref="AK75:AR75"/>
    <mergeCell ref="BA8:BA9"/>
    <mergeCell ref="BB8:BB9"/>
    <mergeCell ref="I9:L9"/>
    <mergeCell ref="R9:T9"/>
    <mergeCell ref="U9:X9"/>
    <mergeCell ref="AO9:AR9"/>
    <mergeCell ref="AC8:AF8"/>
    <mergeCell ref="AG8:AJ8"/>
    <mergeCell ref="AC9:AF9"/>
    <mergeCell ref="AG9:AJ9"/>
    <mergeCell ref="AW8:AZ8"/>
    <mergeCell ref="AW9:AZ9"/>
    <mergeCell ref="AS6:AZ6"/>
    <mergeCell ref="A7:A9"/>
    <mergeCell ref="B7:B9"/>
    <mergeCell ref="C7:C8"/>
    <mergeCell ref="D7:D8"/>
    <mergeCell ref="I8:L8"/>
    <mergeCell ref="R8:T8"/>
    <mergeCell ref="U8:X8"/>
    <mergeCell ref="AO8:AR8"/>
    <mergeCell ref="AK8:AN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11" priority="1" operator="lessThan">
      <formula>75</formula>
    </cfRule>
  </conditionalFormatting>
  <conditionalFormatting sqref="BC10:BC73">
    <cfRule type="cellIs" dxfId="10" priority="3" operator="lessThan">
      <formula>75</formula>
    </cfRule>
  </conditionalFormatting>
  <conditionalFormatting sqref="BC80">
    <cfRule type="cellIs" dxfId="9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verticalDpi="0" r:id="rId1"/>
  <rowBreaks count="1" manualBreakCount="1">
    <brk id="42" max="5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2BAF-5C29-4F0B-BB8C-BCF64B46EE0B}">
  <dimension ref="A1:BC80"/>
  <sheetViews>
    <sheetView view="pageBreakPreview" zoomScale="70" zoomScaleNormal="70" zoomScaleSheetLayoutView="70" workbookViewId="0">
      <selection activeCell="BB5" sqref="BB5:BB7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265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266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259</v>
      </c>
      <c r="F5" s="177"/>
      <c r="G5" s="177"/>
      <c r="H5" s="177"/>
      <c r="I5" s="177"/>
      <c r="J5" s="177"/>
      <c r="K5" s="177"/>
      <c r="L5" s="177"/>
      <c r="M5" s="177" t="s">
        <v>260</v>
      </c>
      <c r="N5" s="177"/>
      <c r="O5" s="177"/>
      <c r="P5" s="177"/>
      <c r="Q5" s="177"/>
      <c r="R5" s="177"/>
      <c r="S5" s="177"/>
      <c r="T5" s="177"/>
      <c r="U5" s="177" t="s">
        <v>261</v>
      </c>
      <c r="V5" s="177"/>
      <c r="W5" s="177"/>
      <c r="X5" s="177"/>
      <c r="Y5" s="177"/>
      <c r="Z5" s="177"/>
      <c r="AA5" s="177"/>
      <c r="AB5" s="177"/>
      <c r="AC5" s="177" t="s">
        <v>262</v>
      </c>
      <c r="AD5" s="177"/>
      <c r="AE5" s="177"/>
      <c r="AF5" s="177"/>
      <c r="AG5" s="177"/>
      <c r="AH5" s="177"/>
      <c r="AI5" s="177"/>
      <c r="AJ5" s="177"/>
      <c r="AK5" s="177" t="s">
        <v>263</v>
      </c>
      <c r="AL5" s="177"/>
      <c r="AM5" s="177"/>
      <c r="AN5" s="177"/>
      <c r="AO5" s="177"/>
      <c r="AP5" s="177"/>
      <c r="AQ5" s="177"/>
      <c r="AR5" s="177"/>
      <c r="AS5" s="177" t="s">
        <v>267</v>
      </c>
      <c r="AT5" s="177"/>
      <c r="AU5" s="177"/>
      <c r="AV5" s="177"/>
      <c r="AW5" s="177"/>
      <c r="AX5" s="177"/>
      <c r="AY5" s="177"/>
      <c r="AZ5" s="178"/>
      <c r="BA5" s="179">
        <v>31</v>
      </c>
      <c r="BB5" s="179">
        <f>D7+BA5</f>
        <v>557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80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172">
        <v>526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81"/>
      <c r="BB7" s="181"/>
      <c r="BC7" s="182"/>
    </row>
    <row r="8" spans="1:55" ht="30" customHeight="1" thickBot="1" x14ac:dyDescent="0.4">
      <c r="A8" s="165"/>
      <c r="B8" s="168"/>
      <c r="C8" s="171"/>
      <c r="D8" s="173"/>
      <c r="E8" s="129" t="s">
        <v>92</v>
      </c>
      <c r="F8" s="130"/>
      <c r="G8" s="130"/>
      <c r="H8" s="131"/>
      <c r="I8" s="160" t="s">
        <v>256</v>
      </c>
      <c r="J8" s="130"/>
      <c r="K8" s="130"/>
      <c r="L8" s="161"/>
      <c r="M8" s="58"/>
      <c r="N8" s="59"/>
      <c r="O8" s="59"/>
      <c r="P8" s="59"/>
      <c r="Q8" s="59"/>
      <c r="R8" s="174"/>
      <c r="S8" s="175"/>
      <c r="T8" s="176"/>
      <c r="U8" s="129" t="s">
        <v>94</v>
      </c>
      <c r="V8" s="130"/>
      <c r="W8" s="130"/>
      <c r="X8" s="131"/>
      <c r="Y8" s="160" t="s">
        <v>256</v>
      </c>
      <c r="Z8" s="130"/>
      <c r="AA8" s="130"/>
      <c r="AB8" s="161"/>
      <c r="AC8" s="58" t="s">
        <v>96</v>
      </c>
      <c r="AD8" s="59" t="s">
        <v>94</v>
      </c>
      <c r="AE8" s="59" t="s">
        <v>91</v>
      </c>
      <c r="AF8" s="59" t="s">
        <v>92</v>
      </c>
      <c r="AG8" s="59" t="s">
        <v>99</v>
      </c>
      <c r="AH8" s="59" t="s">
        <v>99</v>
      </c>
      <c r="AI8" s="59" t="s">
        <v>101</v>
      </c>
      <c r="AJ8" s="60" t="s">
        <v>94</v>
      </c>
      <c r="AK8" s="59" t="s">
        <v>91</v>
      </c>
      <c r="AL8" s="59" t="s">
        <v>91</v>
      </c>
      <c r="AM8" s="59" t="s">
        <v>94</v>
      </c>
      <c r="AN8" s="59" t="s">
        <v>94</v>
      </c>
      <c r="AO8" s="58" t="s">
        <v>101</v>
      </c>
      <c r="AP8" s="59" t="s">
        <v>91</v>
      </c>
      <c r="AQ8" s="59" t="s">
        <v>92</v>
      </c>
      <c r="AR8" s="127"/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129" t="s">
        <v>93</v>
      </c>
      <c r="F9" s="130"/>
      <c r="G9" s="130"/>
      <c r="H9" s="131"/>
      <c r="I9" s="160" t="s">
        <v>92</v>
      </c>
      <c r="J9" s="130"/>
      <c r="K9" s="130"/>
      <c r="L9" s="161"/>
      <c r="M9" s="57"/>
      <c r="N9" s="56"/>
      <c r="O9" s="56"/>
      <c r="P9" s="56"/>
      <c r="Q9" s="56"/>
      <c r="R9" s="160"/>
      <c r="S9" s="130"/>
      <c r="T9" s="161"/>
      <c r="U9" s="129" t="s">
        <v>95</v>
      </c>
      <c r="V9" s="130"/>
      <c r="W9" s="130"/>
      <c r="X9" s="131"/>
      <c r="Y9" s="129" t="s">
        <v>94</v>
      </c>
      <c r="Z9" s="130"/>
      <c r="AA9" s="130"/>
      <c r="AB9" s="131"/>
      <c r="AC9" s="57" t="s">
        <v>85</v>
      </c>
      <c r="AD9" s="56" t="s">
        <v>95</v>
      </c>
      <c r="AE9" s="56" t="s">
        <v>83</v>
      </c>
      <c r="AF9" s="56" t="s">
        <v>93</v>
      </c>
      <c r="AG9" s="56" t="s">
        <v>83</v>
      </c>
      <c r="AH9" s="56" t="s">
        <v>104</v>
      </c>
      <c r="AI9" s="56" t="s">
        <v>92</v>
      </c>
      <c r="AJ9" s="79" t="s">
        <v>95</v>
      </c>
      <c r="AK9" s="56" t="s">
        <v>83</v>
      </c>
      <c r="AL9" s="56" t="s">
        <v>83</v>
      </c>
      <c r="AM9" s="56" t="s">
        <v>95</v>
      </c>
      <c r="AN9" s="56" t="s">
        <v>95</v>
      </c>
      <c r="AO9" s="57" t="s">
        <v>92</v>
      </c>
      <c r="AP9" s="56" t="s">
        <v>83</v>
      </c>
      <c r="AQ9" s="56" t="s">
        <v>93</v>
      </c>
      <c r="AR9" s="128"/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494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132" t="s">
        <v>264</v>
      </c>
      <c r="N10" s="133"/>
      <c r="O10" s="133"/>
      <c r="P10" s="133"/>
      <c r="Q10" s="133"/>
      <c r="R10" s="133"/>
      <c r="S10" s="133"/>
      <c r="T10" s="134"/>
      <c r="U10" s="61">
        <v>1</v>
      </c>
      <c r="V10" s="62">
        <f t="shared" ref="V10:AB25" si="1">U10</f>
        <v>1</v>
      </c>
      <c r="W10" s="62">
        <f t="shared" si="1"/>
        <v>1</v>
      </c>
      <c r="X10" s="62">
        <f t="shared" si="1"/>
        <v>1</v>
      </c>
      <c r="Y10" s="62">
        <f t="shared" si="1"/>
        <v>1</v>
      </c>
      <c r="Z10" s="62">
        <f t="shared" si="1"/>
        <v>1</v>
      </c>
      <c r="AA10" s="62">
        <f t="shared" si="1"/>
        <v>1</v>
      </c>
      <c r="AB10" s="63">
        <f t="shared" si="1"/>
        <v>1</v>
      </c>
      <c r="AC10" s="61" t="s">
        <v>124</v>
      </c>
      <c r="AD10" s="62" t="str">
        <f t="shared" ref="AD10:AJ25" si="2">AC10</f>
        <v>a</v>
      </c>
      <c r="AE10" s="62" t="str">
        <f t="shared" si="2"/>
        <v>a</v>
      </c>
      <c r="AF10" s="62" t="str">
        <f t="shared" si="2"/>
        <v>a</v>
      </c>
      <c r="AG10" s="62" t="str">
        <f t="shared" si="2"/>
        <v>a</v>
      </c>
      <c r="AH10" s="62" t="str">
        <f t="shared" si="2"/>
        <v>a</v>
      </c>
      <c r="AI10" s="62" t="str">
        <f t="shared" si="2"/>
        <v>a</v>
      </c>
      <c r="AJ10" s="63" t="str">
        <f t="shared" si="2"/>
        <v>a</v>
      </c>
      <c r="AK10" s="61">
        <v>1</v>
      </c>
      <c r="AL10" s="62">
        <f t="shared" ref="AL10:AQ25" si="3">AK10</f>
        <v>1</v>
      </c>
      <c r="AM10" s="62">
        <f t="shared" si="3"/>
        <v>1</v>
      </c>
      <c r="AN10" s="62">
        <f t="shared" si="3"/>
        <v>1</v>
      </c>
      <c r="AO10" s="62">
        <f t="shared" si="3"/>
        <v>1</v>
      </c>
      <c r="AP10" s="62">
        <f t="shared" si="3"/>
        <v>1</v>
      </c>
      <c r="AQ10" s="62">
        <f t="shared" si="3"/>
        <v>1</v>
      </c>
      <c r="AR10" s="63"/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4">SUM(E10:AZ10)</f>
        <v>23</v>
      </c>
      <c r="BB10" s="9">
        <f>BA10+D10+C10</f>
        <v>517</v>
      </c>
      <c r="BC10" s="10">
        <f>ROUND((BB10/BB$5)*100,0)</f>
        <v>93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464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135"/>
      <c r="N11" s="136"/>
      <c r="O11" s="136"/>
      <c r="P11" s="136"/>
      <c r="Q11" s="136"/>
      <c r="R11" s="136"/>
      <c r="S11" s="136"/>
      <c r="T11" s="137"/>
      <c r="U11" s="61">
        <v>1</v>
      </c>
      <c r="V11" s="62">
        <f t="shared" si="1"/>
        <v>1</v>
      </c>
      <c r="W11" s="62">
        <f t="shared" si="1"/>
        <v>1</v>
      </c>
      <c r="X11" s="62">
        <f t="shared" si="1"/>
        <v>1</v>
      </c>
      <c r="Y11" s="62">
        <f t="shared" si="1"/>
        <v>1</v>
      </c>
      <c r="Z11" s="62">
        <f t="shared" si="1"/>
        <v>1</v>
      </c>
      <c r="AA11" s="62">
        <f t="shared" si="1"/>
        <v>1</v>
      </c>
      <c r="AB11" s="63">
        <f t="shared" si="1"/>
        <v>1</v>
      </c>
      <c r="AC11" s="61">
        <v>1</v>
      </c>
      <c r="AD11" s="62">
        <f t="shared" si="2"/>
        <v>1</v>
      </c>
      <c r="AE11" s="62">
        <f t="shared" si="2"/>
        <v>1</v>
      </c>
      <c r="AF11" s="62">
        <f t="shared" si="2"/>
        <v>1</v>
      </c>
      <c r="AG11" s="62">
        <f t="shared" si="2"/>
        <v>1</v>
      </c>
      <c r="AH11" s="62">
        <f t="shared" si="2"/>
        <v>1</v>
      </c>
      <c r="AI11" s="62">
        <f t="shared" si="2"/>
        <v>1</v>
      </c>
      <c r="AJ11" s="63">
        <f t="shared" si="2"/>
        <v>1</v>
      </c>
      <c r="AK11" s="61">
        <v>1</v>
      </c>
      <c r="AL11" s="62">
        <f t="shared" si="3"/>
        <v>1</v>
      </c>
      <c r="AM11" s="62">
        <f t="shared" si="3"/>
        <v>1</v>
      </c>
      <c r="AN11" s="62">
        <f t="shared" si="3"/>
        <v>1</v>
      </c>
      <c r="AO11" s="62">
        <f t="shared" si="3"/>
        <v>1</v>
      </c>
      <c r="AP11" s="62">
        <f t="shared" si="3"/>
        <v>1</v>
      </c>
      <c r="AQ11" s="62">
        <f t="shared" si="3"/>
        <v>1</v>
      </c>
      <c r="AR11" s="63"/>
      <c r="AS11" s="135"/>
      <c r="AT11" s="136"/>
      <c r="AU11" s="136"/>
      <c r="AV11" s="136"/>
      <c r="AW11" s="136"/>
      <c r="AX11" s="136"/>
      <c r="AY11" s="136"/>
      <c r="AZ11" s="137"/>
      <c r="BA11" s="37">
        <f t="shared" si="4"/>
        <v>31</v>
      </c>
      <c r="BB11" s="9">
        <f t="shared" ref="BB11:BB73" si="5">BA11+D11+C11</f>
        <v>495</v>
      </c>
      <c r="BC11" s="10">
        <f t="shared" ref="BC11:BC73" si="6">ROUND((BB11/BB$5)*100,0)</f>
        <v>89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502</v>
      </c>
      <c r="E12" s="61">
        <v>1</v>
      </c>
      <c r="F12" s="62">
        <f t="shared" ref="F12:L27" si="7">E12</f>
        <v>1</v>
      </c>
      <c r="G12" s="62">
        <f t="shared" si="7"/>
        <v>1</v>
      </c>
      <c r="H12" s="62">
        <f t="shared" si="7"/>
        <v>1</v>
      </c>
      <c r="I12" s="62">
        <f t="shared" si="7"/>
        <v>1</v>
      </c>
      <c r="J12" s="62">
        <f t="shared" si="7"/>
        <v>1</v>
      </c>
      <c r="K12" s="62">
        <f t="shared" si="7"/>
        <v>1</v>
      </c>
      <c r="L12" s="63">
        <f t="shared" si="7"/>
        <v>1</v>
      </c>
      <c r="M12" s="135"/>
      <c r="N12" s="136"/>
      <c r="O12" s="136"/>
      <c r="P12" s="136"/>
      <c r="Q12" s="136"/>
      <c r="R12" s="136"/>
      <c r="S12" s="136"/>
      <c r="T12" s="137"/>
      <c r="U12" s="61">
        <v>1</v>
      </c>
      <c r="V12" s="62">
        <f t="shared" si="1"/>
        <v>1</v>
      </c>
      <c r="W12" s="62">
        <f t="shared" si="1"/>
        <v>1</v>
      </c>
      <c r="X12" s="62">
        <f t="shared" si="1"/>
        <v>1</v>
      </c>
      <c r="Y12" s="62">
        <f t="shared" si="1"/>
        <v>1</v>
      </c>
      <c r="Z12" s="62">
        <f t="shared" si="1"/>
        <v>1</v>
      </c>
      <c r="AA12" s="62">
        <f t="shared" si="1"/>
        <v>1</v>
      </c>
      <c r="AB12" s="63">
        <f t="shared" si="1"/>
        <v>1</v>
      </c>
      <c r="AC12" s="61">
        <v>1</v>
      </c>
      <c r="AD12" s="62">
        <f t="shared" si="2"/>
        <v>1</v>
      </c>
      <c r="AE12" s="62">
        <f t="shared" si="2"/>
        <v>1</v>
      </c>
      <c r="AF12" s="62">
        <f t="shared" si="2"/>
        <v>1</v>
      </c>
      <c r="AG12" s="62">
        <f t="shared" si="2"/>
        <v>1</v>
      </c>
      <c r="AH12" s="62">
        <f t="shared" si="2"/>
        <v>1</v>
      </c>
      <c r="AI12" s="62">
        <f t="shared" si="2"/>
        <v>1</v>
      </c>
      <c r="AJ12" s="63">
        <f t="shared" si="2"/>
        <v>1</v>
      </c>
      <c r="AK12" s="61">
        <v>1</v>
      </c>
      <c r="AL12" s="62">
        <f t="shared" si="3"/>
        <v>1</v>
      </c>
      <c r="AM12" s="62">
        <f t="shared" si="3"/>
        <v>1</v>
      </c>
      <c r="AN12" s="62">
        <f t="shared" si="3"/>
        <v>1</v>
      </c>
      <c r="AO12" s="62">
        <f t="shared" si="3"/>
        <v>1</v>
      </c>
      <c r="AP12" s="62">
        <f t="shared" si="3"/>
        <v>1</v>
      </c>
      <c r="AQ12" s="62">
        <f t="shared" si="3"/>
        <v>1</v>
      </c>
      <c r="AR12" s="63"/>
      <c r="AS12" s="135"/>
      <c r="AT12" s="136"/>
      <c r="AU12" s="136"/>
      <c r="AV12" s="136"/>
      <c r="AW12" s="136"/>
      <c r="AX12" s="136"/>
      <c r="AY12" s="136"/>
      <c r="AZ12" s="137"/>
      <c r="BA12" s="37">
        <f t="shared" si="4"/>
        <v>31</v>
      </c>
      <c r="BB12" s="9">
        <f t="shared" si="5"/>
        <v>533</v>
      </c>
      <c r="BC12" s="10">
        <f t="shared" si="6"/>
        <v>96</v>
      </c>
    </row>
    <row r="13" spans="1:55" ht="15" customHeight="1" x14ac:dyDescent="0.35">
      <c r="A13" s="29">
        <v>820323205064</v>
      </c>
      <c r="B13" s="30" t="s">
        <v>23</v>
      </c>
      <c r="C13" s="11">
        <v>32</v>
      </c>
      <c r="D13" s="7">
        <v>486</v>
      </c>
      <c r="E13" s="61" t="s">
        <v>124</v>
      </c>
      <c r="F13" s="62" t="str">
        <f t="shared" si="7"/>
        <v>a</v>
      </c>
      <c r="G13" s="62" t="str">
        <f t="shared" si="7"/>
        <v>a</v>
      </c>
      <c r="H13" s="62" t="str">
        <f t="shared" si="7"/>
        <v>a</v>
      </c>
      <c r="I13" s="62" t="str">
        <f t="shared" si="7"/>
        <v>a</v>
      </c>
      <c r="J13" s="62" t="str">
        <f t="shared" si="7"/>
        <v>a</v>
      </c>
      <c r="K13" s="62" t="str">
        <f t="shared" si="7"/>
        <v>a</v>
      </c>
      <c r="L13" s="63" t="str">
        <f t="shared" si="7"/>
        <v>a</v>
      </c>
      <c r="M13" s="135"/>
      <c r="N13" s="136"/>
      <c r="O13" s="136"/>
      <c r="P13" s="136"/>
      <c r="Q13" s="136"/>
      <c r="R13" s="136"/>
      <c r="S13" s="136"/>
      <c r="T13" s="137"/>
      <c r="U13" s="61" t="s">
        <v>124</v>
      </c>
      <c r="V13" s="62" t="str">
        <f t="shared" si="1"/>
        <v>a</v>
      </c>
      <c r="W13" s="62" t="str">
        <f t="shared" si="1"/>
        <v>a</v>
      </c>
      <c r="X13" s="62" t="str">
        <f t="shared" si="1"/>
        <v>a</v>
      </c>
      <c r="Y13" s="62" t="str">
        <f t="shared" si="1"/>
        <v>a</v>
      </c>
      <c r="Z13" s="62" t="str">
        <f t="shared" si="1"/>
        <v>a</v>
      </c>
      <c r="AA13" s="62" t="str">
        <f t="shared" si="1"/>
        <v>a</v>
      </c>
      <c r="AB13" s="63" t="str">
        <f t="shared" si="1"/>
        <v>a</v>
      </c>
      <c r="AC13" s="61" t="s">
        <v>124</v>
      </c>
      <c r="AD13" s="62" t="str">
        <f t="shared" si="2"/>
        <v>a</v>
      </c>
      <c r="AE13" s="62" t="str">
        <f t="shared" si="2"/>
        <v>a</v>
      </c>
      <c r="AF13" s="62" t="str">
        <f t="shared" si="2"/>
        <v>a</v>
      </c>
      <c r="AG13" s="62" t="str">
        <f t="shared" si="2"/>
        <v>a</v>
      </c>
      <c r="AH13" s="62" t="str">
        <f t="shared" si="2"/>
        <v>a</v>
      </c>
      <c r="AI13" s="62" t="str">
        <f t="shared" si="2"/>
        <v>a</v>
      </c>
      <c r="AJ13" s="63" t="str">
        <f t="shared" si="2"/>
        <v>a</v>
      </c>
      <c r="AK13" s="61" t="s">
        <v>124</v>
      </c>
      <c r="AL13" s="62" t="str">
        <f t="shared" si="3"/>
        <v>a</v>
      </c>
      <c r="AM13" s="62" t="str">
        <f t="shared" si="3"/>
        <v>a</v>
      </c>
      <c r="AN13" s="62" t="str">
        <f t="shared" si="3"/>
        <v>a</v>
      </c>
      <c r="AO13" s="62" t="str">
        <f t="shared" si="3"/>
        <v>a</v>
      </c>
      <c r="AP13" s="62" t="str">
        <f t="shared" si="3"/>
        <v>a</v>
      </c>
      <c r="AQ13" s="62" t="str">
        <f t="shared" si="3"/>
        <v>a</v>
      </c>
      <c r="AR13" s="63"/>
      <c r="AS13" s="135"/>
      <c r="AT13" s="136"/>
      <c r="AU13" s="136"/>
      <c r="AV13" s="136"/>
      <c r="AW13" s="136"/>
      <c r="AX13" s="136"/>
      <c r="AY13" s="136"/>
      <c r="AZ13" s="137"/>
      <c r="BA13" s="37">
        <f t="shared" si="4"/>
        <v>0</v>
      </c>
      <c r="BB13" s="9">
        <f t="shared" si="5"/>
        <v>518</v>
      </c>
      <c r="BC13" s="10">
        <f t="shared" si="6"/>
        <v>93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458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62">
        <f t="shared" si="7"/>
        <v>1</v>
      </c>
      <c r="J14" s="62">
        <f t="shared" si="7"/>
        <v>1</v>
      </c>
      <c r="K14" s="62">
        <f t="shared" si="7"/>
        <v>1</v>
      </c>
      <c r="L14" s="63">
        <f t="shared" si="7"/>
        <v>1</v>
      </c>
      <c r="M14" s="135"/>
      <c r="N14" s="136"/>
      <c r="O14" s="136"/>
      <c r="P14" s="136"/>
      <c r="Q14" s="136"/>
      <c r="R14" s="136"/>
      <c r="S14" s="136"/>
      <c r="T14" s="137"/>
      <c r="U14" s="61">
        <v>1</v>
      </c>
      <c r="V14" s="62">
        <f t="shared" si="1"/>
        <v>1</v>
      </c>
      <c r="W14" s="62">
        <f t="shared" si="1"/>
        <v>1</v>
      </c>
      <c r="X14" s="62">
        <f t="shared" si="1"/>
        <v>1</v>
      </c>
      <c r="Y14" s="62">
        <f t="shared" si="1"/>
        <v>1</v>
      </c>
      <c r="Z14" s="62">
        <f t="shared" si="1"/>
        <v>1</v>
      </c>
      <c r="AA14" s="62">
        <f t="shared" si="1"/>
        <v>1</v>
      </c>
      <c r="AB14" s="63">
        <f t="shared" si="1"/>
        <v>1</v>
      </c>
      <c r="AC14" s="61">
        <v>1</v>
      </c>
      <c r="AD14" s="62">
        <f t="shared" si="2"/>
        <v>1</v>
      </c>
      <c r="AE14" s="62">
        <f t="shared" si="2"/>
        <v>1</v>
      </c>
      <c r="AF14" s="62">
        <f t="shared" si="2"/>
        <v>1</v>
      </c>
      <c r="AG14" s="62">
        <f t="shared" si="2"/>
        <v>1</v>
      </c>
      <c r="AH14" s="62">
        <f t="shared" si="2"/>
        <v>1</v>
      </c>
      <c r="AI14" s="62">
        <f t="shared" si="2"/>
        <v>1</v>
      </c>
      <c r="AJ14" s="63">
        <f t="shared" si="2"/>
        <v>1</v>
      </c>
      <c r="AK14" s="61">
        <v>1</v>
      </c>
      <c r="AL14" s="62">
        <f t="shared" si="3"/>
        <v>1</v>
      </c>
      <c r="AM14" s="62">
        <f t="shared" si="3"/>
        <v>1</v>
      </c>
      <c r="AN14" s="62">
        <f t="shared" si="3"/>
        <v>1</v>
      </c>
      <c r="AO14" s="62">
        <f t="shared" si="3"/>
        <v>1</v>
      </c>
      <c r="AP14" s="62">
        <f t="shared" si="3"/>
        <v>1</v>
      </c>
      <c r="AQ14" s="62">
        <f t="shared" si="3"/>
        <v>1</v>
      </c>
      <c r="AR14" s="63"/>
      <c r="AS14" s="135"/>
      <c r="AT14" s="136"/>
      <c r="AU14" s="136"/>
      <c r="AV14" s="136"/>
      <c r="AW14" s="136"/>
      <c r="AX14" s="136"/>
      <c r="AY14" s="136"/>
      <c r="AZ14" s="137"/>
      <c r="BA14" s="37">
        <f t="shared" si="4"/>
        <v>31</v>
      </c>
      <c r="BB14" s="9">
        <f t="shared" si="5"/>
        <v>489</v>
      </c>
      <c r="BC14" s="10">
        <f t="shared" si="6"/>
        <v>88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408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62">
        <f t="shared" si="7"/>
        <v>1</v>
      </c>
      <c r="J15" s="62">
        <f t="shared" si="7"/>
        <v>1</v>
      </c>
      <c r="K15" s="62">
        <f t="shared" si="7"/>
        <v>1</v>
      </c>
      <c r="L15" s="63">
        <f t="shared" si="7"/>
        <v>1</v>
      </c>
      <c r="M15" s="135"/>
      <c r="N15" s="136"/>
      <c r="O15" s="136"/>
      <c r="P15" s="136"/>
      <c r="Q15" s="136"/>
      <c r="R15" s="136"/>
      <c r="S15" s="136"/>
      <c r="T15" s="137"/>
      <c r="U15" s="61">
        <v>1</v>
      </c>
      <c r="V15" s="62">
        <f t="shared" si="1"/>
        <v>1</v>
      </c>
      <c r="W15" s="62">
        <f t="shared" si="1"/>
        <v>1</v>
      </c>
      <c r="X15" s="62">
        <f t="shared" si="1"/>
        <v>1</v>
      </c>
      <c r="Y15" s="62">
        <f t="shared" si="1"/>
        <v>1</v>
      </c>
      <c r="Z15" s="62">
        <f t="shared" si="1"/>
        <v>1</v>
      </c>
      <c r="AA15" s="62">
        <f t="shared" si="1"/>
        <v>1</v>
      </c>
      <c r="AB15" s="63">
        <f t="shared" si="1"/>
        <v>1</v>
      </c>
      <c r="AC15" s="61">
        <v>1</v>
      </c>
      <c r="AD15" s="62">
        <f t="shared" si="2"/>
        <v>1</v>
      </c>
      <c r="AE15" s="62">
        <f t="shared" si="2"/>
        <v>1</v>
      </c>
      <c r="AF15" s="62">
        <f t="shared" si="2"/>
        <v>1</v>
      </c>
      <c r="AG15" s="62">
        <f t="shared" si="2"/>
        <v>1</v>
      </c>
      <c r="AH15" s="62">
        <f t="shared" si="2"/>
        <v>1</v>
      </c>
      <c r="AI15" s="62">
        <f t="shared" si="2"/>
        <v>1</v>
      </c>
      <c r="AJ15" s="63">
        <f t="shared" si="2"/>
        <v>1</v>
      </c>
      <c r="AK15" s="61" t="s">
        <v>124</v>
      </c>
      <c r="AL15" s="62" t="str">
        <f t="shared" si="3"/>
        <v>a</v>
      </c>
      <c r="AM15" s="62" t="str">
        <f t="shared" si="3"/>
        <v>a</v>
      </c>
      <c r="AN15" s="62" t="str">
        <f t="shared" si="3"/>
        <v>a</v>
      </c>
      <c r="AO15" s="62" t="str">
        <f t="shared" si="3"/>
        <v>a</v>
      </c>
      <c r="AP15" s="62" t="str">
        <f t="shared" si="3"/>
        <v>a</v>
      </c>
      <c r="AQ15" s="62" t="str">
        <f t="shared" si="3"/>
        <v>a</v>
      </c>
      <c r="AR15" s="63"/>
      <c r="AS15" s="135"/>
      <c r="AT15" s="136"/>
      <c r="AU15" s="136"/>
      <c r="AV15" s="136"/>
      <c r="AW15" s="136"/>
      <c r="AX15" s="136"/>
      <c r="AY15" s="136"/>
      <c r="AZ15" s="137"/>
      <c r="BA15" s="37">
        <f t="shared" si="4"/>
        <v>24</v>
      </c>
      <c r="BB15" s="9">
        <f t="shared" si="5"/>
        <v>432</v>
      </c>
      <c r="BC15" s="10">
        <f t="shared" si="6"/>
        <v>78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443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62">
        <f t="shared" si="7"/>
        <v>1</v>
      </c>
      <c r="J16" s="62">
        <f t="shared" si="7"/>
        <v>1</v>
      </c>
      <c r="K16" s="62">
        <f t="shared" si="7"/>
        <v>1</v>
      </c>
      <c r="L16" s="63">
        <f t="shared" si="7"/>
        <v>1</v>
      </c>
      <c r="M16" s="135"/>
      <c r="N16" s="136"/>
      <c r="O16" s="136"/>
      <c r="P16" s="136"/>
      <c r="Q16" s="136"/>
      <c r="R16" s="136"/>
      <c r="S16" s="136"/>
      <c r="T16" s="137"/>
      <c r="U16" s="61">
        <v>1</v>
      </c>
      <c r="V16" s="62">
        <f t="shared" si="1"/>
        <v>1</v>
      </c>
      <c r="W16" s="62">
        <f t="shared" si="1"/>
        <v>1</v>
      </c>
      <c r="X16" s="62">
        <f t="shared" si="1"/>
        <v>1</v>
      </c>
      <c r="Y16" s="62">
        <f t="shared" si="1"/>
        <v>1</v>
      </c>
      <c r="Z16" s="62">
        <f t="shared" si="1"/>
        <v>1</v>
      </c>
      <c r="AA16" s="62">
        <f t="shared" si="1"/>
        <v>1</v>
      </c>
      <c r="AB16" s="63">
        <f t="shared" si="1"/>
        <v>1</v>
      </c>
      <c r="AC16" s="61">
        <v>1</v>
      </c>
      <c r="AD16" s="62">
        <f t="shared" si="2"/>
        <v>1</v>
      </c>
      <c r="AE16" s="62">
        <f t="shared" si="2"/>
        <v>1</v>
      </c>
      <c r="AF16" s="62">
        <f t="shared" si="2"/>
        <v>1</v>
      </c>
      <c r="AG16" s="62">
        <f t="shared" si="2"/>
        <v>1</v>
      </c>
      <c r="AH16" s="62">
        <f t="shared" si="2"/>
        <v>1</v>
      </c>
      <c r="AI16" s="62">
        <f t="shared" si="2"/>
        <v>1</v>
      </c>
      <c r="AJ16" s="63">
        <f t="shared" si="2"/>
        <v>1</v>
      </c>
      <c r="AK16" s="61">
        <v>1</v>
      </c>
      <c r="AL16" s="62">
        <f t="shared" si="3"/>
        <v>1</v>
      </c>
      <c r="AM16" s="62">
        <f t="shared" si="3"/>
        <v>1</v>
      </c>
      <c r="AN16" s="62">
        <f t="shared" si="3"/>
        <v>1</v>
      </c>
      <c r="AO16" s="62">
        <f t="shared" si="3"/>
        <v>1</v>
      </c>
      <c r="AP16" s="62">
        <f t="shared" si="3"/>
        <v>1</v>
      </c>
      <c r="AQ16" s="62">
        <f t="shared" si="3"/>
        <v>1</v>
      </c>
      <c r="AR16" s="63"/>
      <c r="AS16" s="135"/>
      <c r="AT16" s="136"/>
      <c r="AU16" s="136"/>
      <c r="AV16" s="136"/>
      <c r="AW16" s="136"/>
      <c r="AX16" s="136"/>
      <c r="AY16" s="136"/>
      <c r="AZ16" s="137"/>
      <c r="BA16" s="37">
        <f t="shared" si="4"/>
        <v>31</v>
      </c>
      <c r="BB16" s="9">
        <f t="shared" si="5"/>
        <v>474</v>
      </c>
      <c r="BC16" s="10">
        <f t="shared" si="6"/>
        <v>85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496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62">
        <f t="shared" si="7"/>
        <v>1</v>
      </c>
      <c r="J17" s="62">
        <f t="shared" si="7"/>
        <v>1</v>
      </c>
      <c r="K17" s="62">
        <f t="shared" si="7"/>
        <v>1</v>
      </c>
      <c r="L17" s="63">
        <f t="shared" si="7"/>
        <v>1</v>
      </c>
      <c r="M17" s="135"/>
      <c r="N17" s="136"/>
      <c r="O17" s="136"/>
      <c r="P17" s="136"/>
      <c r="Q17" s="136"/>
      <c r="R17" s="136"/>
      <c r="S17" s="136"/>
      <c r="T17" s="137"/>
      <c r="U17" s="61">
        <v>1</v>
      </c>
      <c r="V17" s="62">
        <f t="shared" si="1"/>
        <v>1</v>
      </c>
      <c r="W17" s="62">
        <f t="shared" si="1"/>
        <v>1</v>
      </c>
      <c r="X17" s="62">
        <f t="shared" si="1"/>
        <v>1</v>
      </c>
      <c r="Y17" s="62">
        <f t="shared" si="1"/>
        <v>1</v>
      </c>
      <c r="Z17" s="62">
        <f t="shared" si="1"/>
        <v>1</v>
      </c>
      <c r="AA17" s="62">
        <f t="shared" si="1"/>
        <v>1</v>
      </c>
      <c r="AB17" s="63">
        <f t="shared" si="1"/>
        <v>1</v>
      </c>
      <c r="AC17" s="61">
        <v>1</v>
      </c>
      <c r="AD17" s="62">
        <f t="shared" si="2"/>
        <v>1</v>
      </c>
      <c r="AE17" s="62">
        <f t="shared" si="2"/>
        <v>1</v>
      </c>
      <c r="AF17" s="62">
        <f t="shared" si="2"/>
        <v>1</v>
      </c>
      <c r="AG17" s="62">
        <f t="shared" si="2"/>
        <v>1</v>
      </c>
      <c r="AH17" s="62">
        <f t="shared" si="2"/>
        <v>1</v>
      </c>
      <c r="AI17" s="62">
        <f t="shared" si="2"/>
        <v>1</v>
      </c>
      <c r="AJ17" s="63">
        <f t="shared" si="2"/>
        <v>1</v>
      </c>
      <c r="AK17" s="61" t="s">
        <v>124</v>
      </c>
      <c r="AL17" s="62" t="str">
        <f t="shared" si="3"/>
        <v>a</v>
      </c>
      <c r="AM17" s="62" t="str">
        <f t="shared" si="3"/>
        <v>a</v>
      </c>
      <c r="AN17" s="62" t="str">
        <f t="shared" si="3"/>
        <v>a</v>
      </c>
      <c r="AO17" s="62" t="str">
        <f t="shared" si="3"/>
        <v>a</v>
      </c>
      <c r="AP17" s="62" t="str">
        <f t="shared" si="3"/>
        <v>a</v>
      </c>
      <c r="AQ17" s="62" t="str">
        <f t="shared" si="3"/>
        <v>a</v>
      </c>
      <c r="AR17" s="63"/>
      <c r="AS17" s="135"/>
      <c r="AT17" s="136"/>
      <c r="AU17" s="136"/>
      <c r="AV17" s="136"/>
      <c r="AW17" s="136"/>
      <c r="AX17" s="136"/>
      <c r="AY17" s="136"/>
      <c r="AZ17" s="137"/>
      <c r="BA17" s="37">
        <f t="shared" si="4"/>
        <v>24</v>
      </c>
      <c r="BB17" s="9">
        <f t="shared" si="5"/>
        <v>520</v>
      </c>
      <c r="BC17" s="10">
        <f t="shared" si="6"/>
        <v>93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428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62">
        <f t="shared" si="7"/>
        <v>1</v>
      </c>
      <c r="J18" s="62">
        <f t="shared" si="7"/>
        <v>1</v>
      </c>
      <c r="K18" s="62">
        <f t="shared" si="7"/>
        <v>1</v>
      </c>
      <c r="L18" s="63">
        <f t="shared" si="7"/>
        <v>1</v>
      </c>
      <c r="M18" s="135"/>
      <c r="N18" s="136"/>
      <c r="O18" s="136"/>
      <c r="P18" s="136"/>
      <c r="Q18" s="136"/>
      <c r="R18" s="136"/>
      <c r="S18" s="136"/>
      <c r="T18" s="137"/>
      <c r="U18" s="61">
        <v>1</v>
      </c>
      <c r="V18" s="62">
        <f t="shared" si="1"/>
        <v>1</v>
      </c>
      <c r="W18" s="62">
        <f t="shared" si="1"/>
        <v>1</v>
      </c>
      <c r="X18" s="62">
        <f t="shared" si="1"/>
        <v>1</v>
      </c>
      <c r="Y18" s="62">
        <f t="shared" si="1"/>
        <v>1</v>
      </c>
      <c r="Z18" s="62">
        <f t="shared" si="1"/>
        <v>1</v>
      </c>
      <c r="AA18" s="62">
        <f t="shared" si="1"/>
        <v>1</v>
      </c>
      <c r="AB18" s="63">
        <f t="shared" si="1"/>
        <v>1</v>
      </c>
      <c r="AC18" s="61" t="s">
        <v>124</v>
      </c>
      <c r="AD18" s="62" t="str">
        <f t="shared" si="2"/>
        <v>a</v>
      </c>
      <c r="AE18" s="62" t="str">
        <f t="shared" si="2"/>
        <v>a</v>
      </c>
      <c r="AF18" s="62" t="str">
        <f t="shared" si="2"/>
        <v>a</v>
      </c>
      <c r="AG18" s="62" t="str">
        <f t="shared" si="2"/>
        <v>a</v>
      </c>
      <c r="AH18" s="62" t="str">
        <f t="shared" si="2"/>
        <v>a</v>
      </c>
      <c r="AI18" s="62" t="str">
        <f t="shared" si="2"/>
        <v>a</v>
      </c>
      <c r="AJ18" s="63" t="str">
        <f t="shared" si="2"/>
        <v>a</v>
      </c>
      <c r="AK18" s="61" t="s">
        <v>124</v>
      </c>
      <c r="AL18" s="62" t="str">
        <f t="shared" si="3"/>
        <v>a</v>
      </c>
      <c r="AM18" s="62" t="str">
        <f t="shared" si="3"/>
        <v>a</v>
      </c>
      <c r="AN18" s="62" t="str">
        <f t="shared" si="3"/>
        <v>a</v>
      </c>
      <c r="AO18" s="62" t="str">
        <f t="shared" si="3"/>
        <v>a</v>
      </c>
      <c r="AP18" s="62" t="str">
        <f t="shared" si="3"/>
        <v>a</v>
      </c>
      <c r="AQ18" s="62" t="str">
        <f t="shared" si="3"/>
        <v>a</v>
      </c>
      <c r="AR18" s="63"/>
      <c r="AS18" s="135"/>
      <c r="AT18" s="136"/>
      <c r="AU18" s="136"/>
      <c r="AV18" s="136"/>
      <c r="AW18" s="136"/>
      <c r="AX18" s="136"/>
      <c r="AY18" s="136"/>
      <c r="AZ18" s="137"/>
      <c r="BA18" s="37">
        <f t="shared" si="4"/>
        <v>16</v>
      </c>
      <c r="BB18" s="9">
        <f t="shared" si="5"/>
        <v>444</v>
      </c>
      <c r="BC18" s="10">
        <f t="shared" si="6"/>
        <v>80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460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62">
        <f t="shared" si="7"/>
        <v>1</v>
      </c>
      <c r="J19" s="62">
        <f t="shared" si="7"/>
        <v>1</v>
      </c>
      <c r="K19" s="62">
        <f t="shared" si="7"/>
        <v>1</v>
      </c>
      <c r="L19" s="63">
        <f t="shared" si="7"/>
        <v>1</v>
      </c>
      <c r="M19" s="135"/>
      <c r="N19" s="136"/>
      <c r="O19" s="136"/>
      <c r="P19" s="136"/>
      <c r="Q19" s="136"/>
      <c r="R19" s="136"/>
      <c r="S19" s="136"/>
      <c r="T19" s="137"/>
      <c r="U19" s="61">
        <v>1</v>
      </c>
      <c r="V19" s="62">
        <f t="shared" si="1"/>
        <v>1</v>
      </c>
      <c r="W19" s="62">
        <f t="shared" si="1"/>
        <v>1</v>
      </c>
      <c r="X19" s="62">
        <f t="shared" si="1"/>
        <v>1</v>
      </c>
      <c r="Y19" s="62">
        <f t="shared" si="1"/>
        <v>1</v>
      </c>
      <c r="Z19" s="62">
        <f t="shared" si="1"/>
        <v>1</v>
      </c>
      <c r="AA19" s="62">
        <f t="shared" si="1"/>
        <v>1</v>
      </c>
      <c r="AB19" s="63">
        <f t="shared" si="1"/>
        <v>1</v>
      </c>
      <c r="AC19" s="61" t="s">
        <v>124</v>
      </c>
      <c r="AD19" s="62" t="str">
        <f t="shared" si="2"/>
        <v>a</v>
      </c>
      <c r="AE19" s="62" t="str">
        <f t="shared" si="2"/>
        <v>a</v>
      </c>
      <c r="AF19" s="62" t="str">
        <f t="shared" si="2"/>
        <v>a</v>
      </c>
      <c r="AG19" s="62" t="str">
        <f t="shared" si="2"/>
        <v>a</v>
      </c>
      <c r="AH19" s="62" t="str">
        <f t="shared" si="2"/>
        <v>a</v>
      </c>
      <c r="AI19" s="62" t="str">
        <f t="shared" si="2"/>
        <v>a</v>
      </c>
      <c r="AJ19" s="63" t="str">
        <f t="shared" si="2"/>
        <v>a</v>
      </c>
      <c r="AK19" s="61">
        <v>1</v>
      </c>
      <c r="AL19" s="62">
        <f t="shared" si="3"/>
        <v>1</v>
      </c>
      <c r="AM19" s="62">
        <f t="shared" si="3"/>
        <v>1</v>
      </c>
      <c r="AN19" s="62">
        <f t="shared" si="3"/>
        <v>1</v>
      </c>
      <c r="AO19" s="62">
        <f t="shared" si="3"/>
        <v>1</v>
      </c>
      <c r="AP19" s="62">
        <f t="shared" si="3"/>
        <v>1</v>
      </c>
      <c r="AQ19" s="62">
        <f t="shared" si="3"/>
        <v>1</v>
      </c>
      <c r="AR19" s="63"/>
      <c r="AS19" s="135"/>
      <c r="AT19" s="136"/>
      <c r="AU19" s="136"/>
      <c r="AV19" s="136"/>
      <c r="AW19" s="136"/>
      <c r="AX19" s="136"/>
      <c r="AY19" s="136"/>
      <c r="AZ19" s="137"/>
      <c r="BA19" s="37">
        <f t="shared" si="4"/>
        <v>23</v>
      </c>
      <c r="BB19" s="9">
        <f t="shared" si="5"/>
        <v>483</v>
      </c>
      <c r="BC19" s="10">
        <f t="shared" si="6"/>
        <v>87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502</v>
      </c>
      <c r="E20" s="61" t="s">
        <v>124</v>
      </c>
      <c r="F20" s="62" t="str">
        <f t="shared" si="7"/>
        <v>a</v>
      </c>
      <c r="G20" s="62" t="str">
        <f t="shared" si="7"/>
        <v>a</v>
      </c>
      <c r="H20" s="62" t="str">
        <f t="shared" si="7"/>
        <v>a</v>
      </c>
      <c r="I20" s="62" t="str">
        <f t="shared" si="7"/>
        <v>a</v>
      </c>
      <c r="J20" s="62" t="str">
        <f t="shared" si="7"/>
        <v>a</v>
      </c>
      <c r="K20" s="62" t="str">
        <f t="shared" si="7"/>
        <v>a</v>
      </c>
      <c r="L20" s="63" t="str">
        <f t="shared" si="7"/>
        <v>a</v>
      </c>
      <c r="M20" s="135"/>
      <c r="N20" s="136"/>
      <c r="O20" s="136"/>
      <c r="P20" s="136"/>
      <c r="Q20" s="136"/>
      <c r="R20" s="136"/>
      <c r="S20" s="136"/>
      <c r="T20" s="137"/>
      <c r="U20" s="61">
        <v>1</v>
      </c>
      <c r="V20" s="62">
        <f t="shared" si="1"/>
        <v>1</v>
      </c>
      <c r="W20" s="62">
        <f t="shared" si="1"/>
        <v>1</v>
      </c>
      <c r="X20" s="62">
        <f t="shared" si="1"/>
        <v>1</v>
      </c>
      <c r="Y20" s="62">
        <f t="shared" si="1"/>
        <v>1</v>
      </c>
      <c r="Z20" s="62">
        <f t="shared" si="1"/>
        <v>1</v>
      </c>
      <c r="AA20" s="62">
        <f t="shared" si="1"/>
        <v>1</v>
      </c>
      <c r="AB20" s="63">
        <f t="shared" si="1"/>
        <v>1</v>
      </c>
      <c r="AC20" s="61" t="s">
        <v>124</v>
      </c>
      <c r="AD20" s="62" t="str">
        <f t="shared" si="2"/>
        <v>a</v>
      </c>
      <c r="AE20" s="62" t="str">
        <f t="shared" si="2"/>
        <v>a</v>
      </c>
      <c r="AF20" s="62" t="str">
        <f t="shared" si="2"/>
        <v>a</v>
      </c>
      <c r="AG20" s="62" t="str">
        <f t="shared" si="2"/>
        <v>a</v>
      </c>
      <c r="AH20" s="62" t="str">
        <f t="shared" si="2"/>
        <v>a</v>
      </c>
      <c r="AI20" s="62" t="str">
        <f t="shared" si="2"/>
        <v>a</v>
      </c>
      <c r="AJ20" s="63" t="str">
        <f t="shared" si="2"/>
        <v>a</v>
      </c>
      <c r="AK20" s="61">
        <v>1</v>
      </c>
      <c r="AL20" s="62">
        <f t="shared" si="3"/>
        <v>1</v>
      </c>
      <c r="AM20" s="62">
        <f t="shared" si="3"/>
        <v>1</v>
      </c>
      <c r="AN20" s="62">
        <f t="shared" si="3"/>
        <v>1</v>
      </c>
      <c r="AO20" s="62">
        <f t="shared" si="3"/>
        <v>1</v>
      </c>
      <c r="AP20" s="62">
        <f t="shared" si="3"/>
        <v>1</v>
      </c>
      <c r="AQ20" s="62">
        <f t="shared" si="3"/>
        <v>1</v>
      </c>
      <c r="AR20" s="63"/>
      <c r="AS20" s="135"/>
      <c r="AT20" s="136"/>
      <c r="AU20" s="136"/>
      <c r="AV20" s="136"/>
      <c r="AW20" s="136"/>
      <c r="AX20" s="136"/>
      <c r="AY20" s="136"/>
      <c r="AZ20" s="137"/>
      <c r="BA20" s="37">
        <f t="shared" si="4"/>
        <v>15</v>
      </c>
      <c r="BB20" s="9">
        <f t="shared" si="5"/>
        <v>517</v>
      </c>
      <c r="BC20" s="10">
        <f t="shared" si="6"/>
        <v>93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506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62">
        <f t="shared" si="7"/>
        <v>1</v>
      </c>
      <c r="J21" s="62">
        <f t="shared" si="7"/>
        <v>1</v>
      </c>
      <c r="K21" s="62">
        <f t="shared" si="7"/>
        <v>1</v>
      </c>
      <c r="L21" s="63">
        <f t="shared" si="7"/>
        <v>1</v>
      </c>
      <c r="M21" s="135"/>
      <c r="N21" s="136"/>
      <c r="O21" s="136"/>
      <c r="P21" s="136"/>
      <c r="Q21" s="136"/>
      <c r="R21" s="136"/>
      <c r="S21" s="136"/>
      <c r="T21" s="137"/>
      <c r="U21" s="61">
        <v>1</v>
      </c>
      <c r="V21" s="62">
        <f t="shared" si="1"/>
        <v>1</v>
      </c>
      <c r="W21" s="62">
        <f t="shared" si="1"/>
        <v>1</v>
      </c>
      <c r="X21" s="62">
        <f t="shared" si="1"/>
        <v>1</v>
      </c>
      <c r="Y21" s="62">
        <f t="shared" si="1"/>
        <v>1</v>
      </c>
      <c r="Z21" s="62">
        <f t="shared" si="1"/>
        <v>1</v>
      </c>
      <c r="AA21" s="62">
        <f t="shared" si="1"/>
        <v>1</v>
      </c>
      <c r="AB21" s="63">
        <f t="shared" si="1"/>
        <v>1</v>
      </c>
      <c r="AC21" s="61" t="s">
        <v>124</v>
      </c>
      <c r="AD21" s="62" t="str">
        <f t="shared" si="2"/>
        <v>a</v>
      </c>
      <c r="AE21" s="62" t="str">
        <f t="shared" si="2"/>
        <v>a</v>
      </c>
      <c r="AF21" s="62" t="str">
        <f t="shared" si="2"/>
        <v>a</v>
      </c>
      <c r="AG21" s="62" t="str">
        <f t="shared" si="2"/>
        <v>a</v>
      </c>
      <c r="AH21" s="62" t="str">
        <f t="shared" si="2"/>
        <v>a</v>
      </c>
      <c r="AI21" s="62" t="str">
        <f t="shared" si="2"/>
        <v>a</v>
      </c>
      <c r="AJ21" s="63" t="str">
        <f t="shared" si="2"/>
        <v>a</v>
      </c>
      <c r="AK21" s="61">
        <v>1</v>
      </c>
      <c r="AL21" s="62">
        <f t="shared" si="3"/>
        <v>1</v>
      </c>
      <c r="AM21" s="62">
        <f t="shared" si="3"/>
        <v>1</v>
      </c>
      <c r="AN21" s="62">
        <f t="shared" si="3"/>
        <v>1</v>
      </c>
      <c r="AO21" s="62">
        <f t="shared" si="3"/>
        <v>1</v>
      </c>
      <c r="AP21" s="62">
        <f t="shared" si="3"/>
        <v>1</v>
      </c>
      <c r="AQ21" s="62">
        <f t="shared" si="3"/>
        <v>1</v>
      </c>
      <c r="AR21" s="63"/>
      <c r="AS21" s="135"/>
      <c r="AT21" s="136"/>
      <c r="AU21" s="136"/>
      <c r="AV21" s="136"/>
      <c r="AW21" s="136"/>
      <c r="AX21" s="136"/>
      <c r="AY21" s="136"/>
      <c r="AZ21" s="137"/>
      <c r="BA21" s="37">
        <f t="shared" si="4"/>
        <v>23</v>
      </c>
      <c r="BB21" s="9">
        <f t="shared" si="5"/>
        <v>529</v>
      </c>
      <c r="BC21" s="10">
        <f t="shared" si="6"/>
        <v>95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526</v>
      </c>
      <c r="E22" s="61" t="s">
        <v>124</v>
      </c>
      <c r="F22" s="62" t="str">
        <f t="shared" si="7"/>
        <v>a</v>
      </c>
      <c r="G22" s="62" t="str">
        <f t="shared" si="7"/>
        <v>a</v>
      </c>
      <c r="H22" s="62" t="str">
        <f t="shared" si="7"/>
        <v>a</v>
      </c>
      <c r="I22" s="62" t="str">
        <f t="shared" si="7"/>
        <v>a</v>
      </c>
      <c r="J22" s="62" t="str">
        <f t="shared" si="7"/>
        <v>a</v>
      </c>
      <c r="K22" s="62" t="str">
        <f t="shared" si="7"/>
        <v>a</v>
      </c>
      <c r="L22" s="63" t="str">
        <f t="shared" si="7"/>
        <v>a</v>
      </c>
      <c r="M22" s="135"/>
      <c r="N22" s="136"/>
      <c r="O22" s="136"/>
      <c r="P22" s="136"/>
      <c r="Q22" s="136"/>
      <c r="R22" s="136"/>
      <c r="S22" s="136"/>
      <c r="T22" s="137"/>
      <c r="U22" s="61" t="s">
        <v>124</v>
      </c>
      <c r="V22" s="62" t="str">
        <f t="shared" si="1"/>
        <v>a</v>
      </c>
      <c r="W22" s="62" t="str">
        <f t="shared" si="1"/>
        <v>a</v>
      </c>
      <c r="X22" s="62" t="str">
        <f t="shared" si="1"/>
        <v>a</v>
      </c>
      <c r="Y22" s="62" t="str">
        <f t="shared" si="1"/>
        <v>a</v>
      </c>
      <c r="Z22" s="62" t="str">
        <f t="shared" si="1"/>
        <v>a</v>
      </c>
      <c r="AA22" s="62" t="str">
        <f t="shared" si="1"/>
        <v>a</v>
      </c>
      <c r="AB22" s="63" t="str">
        <f t="shared" si="1"/>
        <v>a</v>
      </c>
      <c r="AC22" s="61" t="s">
        <v>124</v>
      </c>
      <c r="AD22" s="62" t="str">
        <f t="shared" si="2"/>
        <v>a</v>
      </c>
      <c r="AE22" s="62" t="str">
        <f t="shared" si="2"/>
        <v>a</v>
      </c>
      <c r="AF22" s="62" t="str">
        <f t="shared" si="2"/>
        <v>a</v>
      </c>
      <c r="AG22" s="62" t="str">
        <f t="shared" si="2"/>
        <v>a</v>
      </c>
      <c r="AH22" s="62" t="str">
        <f t="shared" si="2"/>
        <v>a</v>
      </c>
      <c r="AI22" s="62" t="str">
        <f t="shared" si="2"/>
        <v>a</v>
      </c>
      <c r="AJ22" s="63" t="str">
        <f t="shared" si="2"/>
        <v>a</v>
      </c>
      <c r="AK22" s="61" t="s">
        <v>124</v>
      </c>
      <c r="AL22" s="62" t="str">
        <f t="shared" si="3"/>
        <v>a</v>
      </c>
      <c r="AM22" s="62" t="str">
        <f t="shared" si="3"/>
        <v>a</v>
      </c>
      <c r="AN22" s="62" t="str">
        <f t="shared" si="3"/>
        <v>a</v>
      </c>
      <c r="AO22" s="62" t="str">
        <f t="shared" si="3"/>
        <v>a</v>
      </c>
      <c r="AP22" s="62" t="str">
        <f t="shared" si="3"/>
        <v>a</v>
      </c>
      <c r="AQ22" s="62" t="str">
        <f t="shared" si="3"/>
        <v>a</v>
      </c>
      <c r="AR22" s="63"/>
      <c r="AS22" s="135"/>
      <c r="AT22" s="136"/>
      <c r="AU22" s="136"/>
      <c r="AV22" s="136"/>
      <c r="AW22" s="136"/>
      <c r="AX22" s="136"/>
      <c r="AY22" s="136"/>
      <c r="AZ22" s="137"/>
      <c r="BA22" s="37">
        <f t="shared" si="4"/>
        <v>0</v>
      </c>
      <c r="BB22" s="9">
        <f t="shared" si="5"/>
        <v>526</v>
      </c>
      <c r="BC22" s="10">
        <f t="shared" si="6"/>
        <v>94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520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62">
        <f t="shared" si="7"/>
        <v>1</v>
      </c>
      <c r="J23" s="62">
        <f t="shared" si="7"/>
        <v>1</v>
      </c>
      <c r="K23" s="62">
        <f t="shared" si="7"/>
        <v>1</v>
      </c>
      <c r="L23" s="63">
        <f t="shared" si="7"/>
        <v>1</v>
      </c>
      <c r="M23" s="135"/>
      <c r="N23" s="136"/>
      <c r="O23" s="136"/>
      <c r="P23" s="136"/>
      <c r="Q23" s="136"/>
      <c r="R23" s="136"/>
      <c r="S23" s="136"/>
      <c r="T23" s="137"/>
      <c r="U23" s="61">
        <v>1</v>
      </c>
      <c r="V23" s="62">
        <f t="shared" si="1"/>
        <v>1</v>
      </c>
      <c r="W23" s="62">
        <f t="shared" si="1"/>
        <v>1</v>
      </c>
      <c r="X23" s="62">
        <f t="shared" si="1"/>
        <v>1</v>
      </c>
      <c r="Y23" s="62">
        <f t="shared" si="1"/>
        <v>1</v>
      </c>
      <c r="Z23" s="62">
        <f t="shared" si="1"/>
        <v>1</v>
      </c>
      <c r="AA23" s="62">
        <f t="shared" si="1"/>
        <v>1</v>
      </c>
      <c r="AB23" s="63">
        <f t="shared" si="1"/>
        <v>1</v>
      </c>
      <c r="AC23" s="61" t="s">
        <v>124</v>
      </c>
      <c r="AD23" s="62" t="str">
        <f t="shared" si="2"/>
        <v>a</v>
      </c>
      <c r="AE23" s="62" t="str">
        <f t="shared" si="2"/>
        <v>a</v>
      </c>
      <c r="AF23" s="62" t="str">
        <f t="shared" si="2"/>
        <v>a</v>
      </c>
      <c r="AG23" s="62" t="str">
        <f t="shared" si="2"/>
        <v>a</v>
      </c>
      <c r="AH23" s="62" t="str">
        <f t="shared" si="2"/>
        <v>a</v>
      </c>
      <c r="AI23" s="62" t="str">
        <f t="shared" si="2"/>
        <v>a</v>
      </c>
      <c r="AJ23" s="63" t="str">
        <f t="shared" si="2"/>
        <v>a</v>
      </c>
      <c r="AK23" s="61" t="s">
        <v>124</v>
      </c>
      <c r="AL23" s="62" t="str">
        <f t="shared" si="3"/>
        <v>a</v>
      </c>
      <c r="AM23" s="62" t="str">
        <f t="shared" si="3"/>
        <v>a</v>
      </c>
      <c r="AN23" s="62" t="str">
        <f t="shared" si="3"/>
        <v>a</v>
      </c>
      <c r="AO23" s="62" t="str">
        <f t="shared" si="3"/>
        <v>a</v>
      </c>
      <c r="AP23" s="62" t="str">
        <f t="shared" si="3"/>
        <v>a</v>
      </c>
      <c r="AQ23" s="62" t="str">
        <f t="shared" si="3"/>
        <v>a</v>
      </c>
      <c r="AR23" s="63"/>
      <c r="AS23" s="135"/>
      <c r="AT23" s="136"/>
      <c r="AU23" s="136"/>
      <c r="AV23" s="136"/>
      <c r="AW23" s="136"/>
      <c r="AX23" s="136"/>
      <c r="AY23" s="136"/>
      <c r="AZ23" s="137"/>
      <c r="BA23" s="37">
        <f t="shared" si="4"/>
        <v>16</v>
      </c>
      <c r="BB23" s="9">
        <f t="shared" si="5"/>
        <v>536</v>
      </c>
      <c r="BC23" s="10">
        <f t="shared" si="6"/>
        <v>96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472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62">
        <f t="shared" si="7"/>
        <v>1</v>
      </c>
      <c r="J24" s="62">
        <f t="shared" si="7"/>
        <v>1</v>
      </c>
      <c r="K24" s="62">
        <f t="shared" si="7"/>
        <v>1</v>
      </c>
      <c r="L24" s="63">
        <f t="shared" si="7"/>
        <v>1</v>
      </c>
      <c r="M24" s="135"/>
      <c r="N24" s="136"/>
      <c r="O24" s="136"/>
      <c r="P24" s="136"/>
      <c r="Q24" s="136"/>
      <c r="R24" s="136"/>
      <c r="S24" s="136"/>
      <c r="T24" s="137"/>
      <c r="U24" s="61">
        <v>1</v>
      </c>
      <c r="V24" s="62">
        <f t="shared" si="1"/>
        <v>1</v>
      </c>
      <c r="W24" s="62">
        <f t="shared" si="1"/>
        <v>1</v>
      </c>
      <c r="X24" s="62">
        <f t="shared" si="1"/>
        <v>1</v>
      </c>
      <c r="Y24" s="62">
        <f t="shared" si="1"/>
        <v>1</v>
      </c>
      <c r="Z24" s="62">
        <f t="shared" si="1"/>
        <v>1</v>
      </c>
      <c r="AA24" s="62">
        <f t="shared" si="1"/>
        <v>1</v>
      </c>
      <c r="AB24" s="63">
        <f t="shared" si="1"/>
        <v>1</v>
      </c>
      <c r="AC24" s="61" t="s">
        <v>124</v>
      </c>
      <c r="AD24" s="62" t="str">
        <f t="shared" si="2"/>
        <v>a</v>
      </c>
      <c r="AE24" s="62" t="str">
        <f t="shared" si="2"/>
        <v>a</v>
      </c>
      <c r="AF24" s="62" t="str">
        <f t="shared" si="2"/>
        <v>a</v>
      </c>
      <c r="AG24" s="62" t="str">
        <f t="shared" si="2"/>
        <v>a</v>
      </c>
      <c r="AH24" s="62" t="str">
        <f t="shared" si="2"/>
        <v>a</v>
      </c>
      <c r="AI24" s="62" t="str">
        <f t="shared" si="2"/>
        <v>a</v>
      </c>
      <c r="AJ24" s="63" t="str">
        <f t="shared" si="2"/>
        <v>a</v>
      </c>
      <c r="AK24" s="61" t="s">
        <v>124</v>
      </c>
      <c r="AL24" s="62" t="str">
        <f t="shared" si="3"/>
        <v>a</v>
      </c>
      <c r="AM24" s="62" t="str">
        <f t="shared" si="3"/>
        <v>a</v>
      </c>
      <c r="AN24" s="62" t="str">
        <f t="shared" si="3"/>
        <v>a</v>
      </c>
      <c r="AO24" s="62" t="str">
        <f t="shared" si="3"/>
        <v>a</v>
      </c>
      <c r="AP24" s="62" t="str">
        <f t="shared" si="3"/>
        <v>a</v>
      </c>
      <c r="AQ24" s="62" t="str">
        <f t="shared" si="3"/>
        <v>a</v>
      </c>
      <c r="AR24" s="63"/>
      <c r="AS24" s="135"/>
      <c r="AT24" s="136"/>
      <c r="AU24" s="136"/>
      <c r="AV24" s="136"/>
      <c r="AW24" s="136"/>
      <c r="AX24" s="136"/>
      <c r="AY24" s="136"/>
      <c r="AZ24" s="137"/>
      <c r="BA24" s="37">
        <f t="shared" si="4"/>
        <v>16</v>
      </c>
      <c r="BB24" s="9">
        <f t="shared" si="5"/>
        <v>488</v>
      </c>
      <c r="BC24" s="10">
        <f t="shared" si="6"/>
        <v>88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470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62">
        <f t="shared" si="7"/>
        <v>1</v>
      </c>
      <c r="J25" s="62">
        <f t="shared" si="7"/>
        <v>1</v>
      </c>
      <c r="K25" s="62">
        <f t="shared" si="7"/>
        <v>1</v>
      </c>
      <c r="L25" s="63">
        <f t="shared" si="7"/>
        <v>1</v>
      </c>
      <c r="M25" s="135"/>
      <c r="N25" s="136"/>
      <c r="O25" s="136"/>
      <c r="P25" s="136"/>
      <c r="Q25" s="136"/>
      <c r="R25" s="136"/>
      <c r="S25" s="136"/>
      <c r="T25" s="137"/>
      <c r="U25" s="61">
        <v>1</v>
      </c>
      <c r="V25" s="62">
        <f t="shared" si="1"/>
        <v>1</v>
      </c>
      <c r="W25" s="62">
        <f t="shared" si="1"/>
        <v>1</v>
      </c>
      <c r="X25" s="62">
        <f t="shared" si="1"/>
        <v>1</v>
      </c>
      <c r="Y25" s="62">
        <f t="shared" si="1"/>
        <v>1</v>
      </c>
      <c r="Z25" s="62">
        <f t="shared" si="1"/>
        <v>1</v>
      </c>
      <c r="AA25" s="62">
        <f t="shared" si="1"/>
        <v>1</v>
      </c>
      <c r="AB25" s="63">
        <f t="shared" si="1"/>
        <v>1</v>
      </c>
      <c r="AC25" s="61" t="s">
        <v>124</v>
      </c>
      <c r="AD25" s="62" t="str">
        <f t="shared" si="2"/>
        <v>a</v>
      </c>
      <c r="AE25" s="62" t="str">
        <f t="shared" si="2"/>
        <v>a</v>
      </c>
      <c r="AF25" s="62" t="str">
        <f t="shared" si="2"/>
        <v>a</v>
      </c>
      <c r="AG25" s="62" t="str">
        <f t="shared" si="2"/>
        <v>a</v>
      </c>
      <c r="AH25" s="62" t="str">
        <f t="shared" si="2"/>
        <v>a</v>
      </c>
      <c r="AI25" s="62" t="str">
        <f t="shared" si="2"/>
        <v>a</v>
      </c>
      <c r="AJ25" s="63" t="str">
        <f t="shared" si="2"/>
        <v>a</v>
      </c>
      <c r="AK25" s="61" t="s">
        <v>124</v>
      </c>
      <c r="AL25" s="62" t="str">
        <f t="shared" si="3"/>
        <v>a</v>
      </c>
      <c r="AM25" s="62" t="str">
        <f t="shared" si="3"/>
        <v>a</v>
      </c>
      <c r="AN25" s="62" t="str">
        <f t="shared" si="3"/>
        <v>a</v>
      </c>
      <c r="AO25" s="62" t="str">
        <f t="shared" si="3"/>
        <v>a</v>
      </c>
      <c r="AP25" s="62" t="str">
        <f t="shared" si="3"/>
        <v>a</v>
      </c>
      <c r="AQ25" s="62" t="str">
        <f t="shared" si="3"/>
        <v>a</v>
      </c>
      <c r="AR25" s="63"/>
      <c r="AS25" s="135"/>
      <c r="AT25" s="136"/>
      <c r="AU25" s="136"/>
      <c r="AV25" s="136"/>
      <c r="AW25" s="136"/>
      <c r="AX25" s="136"/>
      <c r="AY25" s="136"/>
      <c r="AZ25" s="137"/>
      <c r="BA25" s="37">
        <f t="shared" si="4"/>
        <v>16</v>
      </c>
      <c r="BB25" s="9">
        <f t="shared" si="5"/>
        <v>486</v>
      </c>
      <c r="BC25" s="10">
        <f t="shared" si="6"/>
        <v>87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467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62">
        <f t="shared" si="7"/>
        <v>1</v>
      </c>
      <c r="J26" s="62">
        <f t="shared" si="7"/>
        <v>1</v>
      </c>
      <c r="K26" s="62">
        <f t="shared" si="7"/>
        <v>1</v>
      </c>
      <c r="L26" s="63">
        <f t="shared" si="7"/>
        <v>1</v>
      </c>
      <c r="M26" s="135"/>
      <c r="N26" s="136"/>
      <c r="O26" s="136"/>
      <c r="P26" s="136"/>
      <c r="Q26" s="136"/>
      <c r="R26" s="136"/>
      <c r="S26" s="136"/>
      <c r="T26" s="137"/>
      <c r="U26" s="61">
        <v>1</v>
      </c>
      <c r="V26" s="62">
        <f t="shared" ref="V26:AB41" si="8">U26</f>
        <v>1</v>
      </c>
      <c r="W26" s="62">
        <f t="shared" si="8"/>
        <v>1</v>
      </c>
      <c r="X26" s="62">
        <f t="shared" si="8"/>
        <v>1</v>
      </c>
      <c r="Y26" s="62">
        <f t="shared" si="8"/>
        <v>1</v>
      </c>
      <c r="Z26" s="62">
        <f t="shared" si="8"/>
        <v>1</v>
      </c>
      <c r="AA26" s="62">
        <f t="shared" si="8"/>
        <v>1</v>
      </c>
      <c r="AB26" s="63">
        <f t="shared" si="8"/>
        <v>1</v>
      </c>
      <c r="AC26" s="61" t="s">
        <v>124</v>
      </c>
      <c r="AD26" s="62" t="str">
        <f t="shared" ref="AD26:AJ41" si="9">AC26</f>
        <v>a</v>
      </c>
      <c r="AE26" s="62" t="str">
        <f t="shared" si="9"/>
        <v>a</v>
      </c>
      <c r="AF26" s="62" t="str">
        <f t="shared" si="9"/>
        <v>a</v>
      </c>
      <c r="AG26" s="62" t="str">
        <f t="shared" si="9"/>
        <v>a</v>
      </c>
      <c r="AH26" s="62" t="str">
        <f t="shared" si="9"/>
        <v>a</v>
      </c>
      <c r="AI26" s="62" t="str">
        <f t="shared" si="9"/>
        <v>a</v>
      </c>
      <c r="AJ26" s="63" t="str">
        <f t="shared" si="9"/>
        <v>a</v>
      </c>
      <c r="AK26" s="61" t="s">
        <v>124</v>
      </c>
      <c r="AL26" s="62" t="str">
        <f t="shared" ref="AL26:AQ41" si="10">AK26</f>
        <v>a</v>
      </c>
      <c r="AM26" s="62" t="str">
        <f t="shared" si="10"/>
        <v>a</v>
      </c>
      <c r="AN26" s="62" t="str">
        <f t="shared" si="10"/>
        <v>a</v>
      </c>
      <c r="AO26" s="62" t="str">
        <f t="shared" si="10"/>
        <v>a</v>
      </c>
      <c r="AP26" s="62" t="str">
        <f t="shared" si="10"/>
        <v>a</v>
      </c>
      <c r="AQ26" s="62" t="str">
        <f t="shared" si="10"/>
        <v>a</v>
      </c>
      <c r="AR26" s="63"/>
      <c r="AS26" s="135"/>
      <c r="AT26" s="136"/>
      <c r="AU26" s="136"/>
      <c r="AV26" s="136"/>
      <c r="AW26" s="136"/>
      <c r="AX26" s="136"/>
      <c r="AY26" s="136"/>
      <c r="AZ26" s="137"/>
      <c r="BA26" s="37">
        <f t="shared" si="4"/>
        <v>16</v>
      </c>
      <c r="BB26" s="9">
        <f t="shared" si="5"/>
        <v>483</v>
      </c>
      <c r="BC26" s="10">
        <f t="shared" si="6"/>
        <v>87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494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62">
        <f t="shared" si="7"/>
        <v>1</v>
      </c>
      <c r="J27" s="62">
        <f t="shared" si="7"/>
        <v>1</v>
      </c>
      <c r="K27" s="62">
        <f t="shared" si="7"/>
        <v>1</v>
      </c>
      <c r="L27" s="63">
        <f t="shared" si="7"/>
        <v>1</v>
      </c>
      <c r="M27" s="135"/>
      <c r="N27" s="136"/>
      <c r="O27" s="136"/>
      <c r="P27" s="136"/>
      <c r="Q27" s="136"/>
      <c r="R27" s="136"/>
      <c r="S27" s="136"/>
      <c r="T27" s="137"/>
      <c r="U27" s="61">
        <v>1</v>
      </c>
      <c r="V27" s="62">
        <f t="shared" si="8"/>
        <v>1</v>
      </c>
      <c r="W27" s="62">
        <f t="shared" si="8"/>
        <v>1</v>
      </c>
      <c r="X27" s="62">
        <f t="shared" si="8"/>
        <v>1</v>
      </c>
      <c r="Y27" s="62">
        <f t="shared" si="8"/>
        <v>1</v>
      </c>
      <c r="Z27" s="62">
        <f t="shared" si="8"/>
        <v>1</v>
      </c>
      <c r="AA27" s="62">
        <f t="shared" si="8"/>
        <v>1</v>
      </c>
      <c r="AB27" s="63">
        <f t="shared" si="8"/>
        <v>1</v>
      </c>
      <c r="AC27" s="61">
        <v>1</v>
      </c>
      <c r="AD27" s="62">
        <f t="shared" si="9"/>
        <v>1</v>
      </c>
      <c r="AE27" s="62">
        <f t="shared" si="9"/>
        <v>1</v>
      </c>
      <c r="AF27" s="62">
        <f t="shared" si="9"/>
        <v>1</v>
      </c>
      <c r="AG27" s="62">
        <f t="shared" si="9"/>
        <v>1</v>
      </c>
      <c r="AH27" s="62">
        <f t="shared" si="9"/>
        <v>1</v>
      </c>
      <c r="AI27" s="62">
        <f t="shared" si="9"/>
        <v>1</v>
      </c>
      <c r="AJ27" s="63">
        <f t="shared" si="9"/>
        <v>1</v>
      </c>
      <c r="AK27" s="61">
        <v>1</v>
      </c>
      <c r="AL27" s="62">
        <f t="shared" si="10"/>
        <v>1</v>
      </c>
      <c r="AM27" s="62">
        <f t="shared" si="10"/>
        <v>1</v>
      </c>
      <c r="AN27" s="62">
        <f t="shared" si="10"/>
        <v>1</v>
      </c>
      <c r="AO27" s="62">
        <f t="shared" si="10"/>
        <v>1</v>
      </c>
      <c r="AP27" s="62">
        <f t="shared" si="10"/>
        <v>1</v>
      </c>
      <c r="AQ27" s="62">
        <f t="shared" si="10"/>
        <v>1</v>
      </c>
      <c r="AR27" s="63"/>
      <c r="AS27" s="135"/>
      <c r="AT27" s="136"/>
      <c r="AU27" s="136"/>
      <c r="AV27" s="136"/>
      <c r="AW27" s="136"/>
      <c r="AX27" s="136"/>
      <c r="AY27" s="136"/>
      <c r="AZ27" s="137"/>
      <c r="BA27" s="37">
        <f t="shared" si="4"/>
        <v>31</v>
      </c>
      <c r="BB27" s="9">
        <f t="shared" si="5"/>
        <v>525</v>
      </c>
      <c r="BC27" s="10">
        <f t="shared" si="6"/>
        <v>94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486</v>
      </c>
      <c r="E28" s="61">
        <v>1</v>
      </c>
      <c r="F28" s="62">
        <f t="shared" ref="F28:L43" si="11">E28</f>
        <v>1</v>
      </c>
      <c r="G28" s="62">
        <f t="shared" si="11"/>
        <v>1</v>
      </c>
      <c r="H28" s="62">
        <f t="shared" si="11"/>
        <v>1</v>
      </c>
      <c r="I28" s="62">
        <f t="shared" si="11"/>
        <v>1</v>
      </c>
      <c r="J28" s="62">
        <f t="shared" si="11"/>
        <v>1</v>
      </c>
      <c r="K28" s="62">
        <f t="shared" si="11"/>
        <v>1</v>
      </c>
      <c r="L28" s="63">
        <f t="shared" si="11"/>
        <v>1</v>
      </c>
      <c r="M28" s="135"/>
      <c r="N28" s="136"/>
      <c r="O28" s="136"/>
      <c r="P28" s="136"/>
      <c r="Q28" s="136"/>
      <c r="R28" s="136"/>
      <c r="S28" s="136"/>
      <c r="T28" s="137"/>
      <c r="U28" s="61">
        <v>1</v>
      </c>
      <c r="V28" s="62">
        <f t="shared" si="8"/>
        <v>1</v>
      </c>
      <c r="W28" s="62">
        <f t="shared" si="8"/>
        <v>1</v>
      </c>
      <c r="X28" s="62">
        <f t="shared" si="8"/>
        <v>1</v>
      </c>
      <c r="Y28" s="62">
        <f t="shared" si="8"/>
        <v>1</v>
      </c>
      <c r="Z28" s="62">
        <f t="shared" si="8"/>
        <v>1</v>
      </c>
      <c r="AA28" s="62">
        <f t="shared" si="8"/>
        <v>1</v>
      </c>
      <c r="AB28" s="63">
        <f t="shared" si="8"/>
        <v>1</v>
      </c>
      <c r="AC28" s="61">
        <v>1</v>
      </c>
      <c r="AD28" s="62">
        <f t="shared" si="9"/>
        <v>1</v>
      </c>
      <c r="AE28" s="62">
        <f t="shared" si="9"/>
        <v>1</v>
      </c>
      <c r="AF28" s="62">
        <f t="shared" si="9"/>
        <v>1</v>
      </c>
      <c r="AG28" s="62">
        <f t="shared" si="9"/>
        <v>1</v>
      </c>
      <c r="AH28" s="62">
        <f t="shared" si="9"/>
        <v>1</v>
      </c>
      <c r="AI28" s="62">
        <f t="shared" si="9"/>
        <v>1</v>
      </c>
      <c r="AJ28" s="63">
        <f t="shared" si="9"/>
        <v>1</v>
      </c>
      <c r="AK28" s="61">
        <v>1</v>
      </c>
      <c r="AL28" s="62">
        <f t="shared" si="10"/>
        <v>1</v>
      </c>
      <c r="AM28" s="62">
        <f t="shared" si="10"/>
        <v>1</v>
      </c>
      <c r="AN28" s="62">
        <f t="shared" si="10"/>
        <v>1</v>
      </c>
      <c r="AO28" s="62">
        <f t="shared" si="10"/>
        <v>1</v>
      </c>
      <c r="AP28" s="62">
        <f t="shared" si="10"/>
        <v>1</v>
      </c>
      <c r="AQ28" s="62">
        <f t="shared" si="10"/>
        <v>1</v>
      </c>
      <c r="AR28" s="63"/>
      <c r="AS28" s="135"/>
      <c r="AT28" s="136"/>
      <c r="AU28" s="136"/>
      <c r="AV28" s="136"/>
      <c r="AW28" s="136"/>
      <c r="AX28" s="136"/>
      <c r="AY28" s="136"/>
      <c r="AZ28" s="137"/>
      <c r="BA28" s="37">
        <f t="shared" si="4"/>
        <v>31</v>
      </c>
      <c r="BB28" s="9">
        <f t="shared" si="5"/>
        <v>517</v>
      </c>
      <c r="BC28" s="10">
        <f t="shared" si="6"/>
        <v>93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440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62">
        <f t="shared" si="11"/>
        <v>1</v>
      </c>
      <c r="J29" s="62">
        <f t="shared" si="11"/>
        <v>1</v>
      </c>
      <c r="K29" s="62">
        <f t="shared" si="11"/>
        <v>1</v>
      </c>
      <c r="L29" s="63">
        <f t="shared" si="11"/>
        <v>1</v>
      </c>
      <c r="M29" s="135"/>
      <c r="N29" s="136"/>
      <c r="O29" s="136"/>
      <c r="P29" s="136"/>
      <c r="Q29" s="136"/>
      <c r="R29" s="136"/>
      <c r="S29" s="136"/>
      <c r="T29" s="137"/>
      <c r="U29" s="61">
        <v>1</v>
      </c>
      <c r="V29" s="62">
        <f t="shared" si="8"/>
        <v>1</v>
      </c>
      <c r="W29" s="62">
        <f t="shared" si="8"/>
        <v>1</v>
      </c>
      <c r="X29" s="62">
        <f t="shared" si="8"/>
        <v>1</v>
      </c>
      <c r="Y29" s="62">
        <f t="shared" si="8"/>
        <v>1</v>
      </c>
      <c r="Z29" s="62">
        <f t="shared" si="8"/>
        <v>1</v>
      </c>
      <c r="AA29" s="62">
        <f t="shared" si="8"/>
        <v>1</v>
      </c>
      <c r="AB29" s="63">
        <f t="shared" si="8"/>
        <v>1</v>
      </c>
      <c r="AC29" s="61" t="s">
        <v>124</v>
      </c>
      <c r="AD29" s="62" t="str">
        <f t="shared" si="9"/>
        <v>a</v>
      </c>
      <c r="AE29" s="62" t="str">
        <f t="shared" si="9"/>
        <v>a</v>
      </c>
      <c r="AF29" s="62" t="str">
        <f t="shared" si="9"/>
        <v>a</v>
      </c>
      <c r="AG29" s="62" t="str">
        <f t="shared" si="9"/>
        <v>a</v>
      </c>
      <c r="AH29" s="62" t="str">
        <f t="shared" si="9"/>
        <v>a</v>
      </c>
      <c r="AI29" s="62" t="str">
        <f t="shared" si="9"/>
        <v>a</v>
      </c>
      <c r="AJ29" s="63" t="str">
        <f t="shared" si="9"/>
        <v>a</v>
      </c>
      <c r="AK29" s="61" t="s">
        <v>124</v>
      </c>
      <c r="AL29" s="62" t="str">
        <f t="shared" si="10"/>
        <v>a</v>
      </c>
      <c r="AM29" s="62" t="str">
        <f t="shared" si="10"/>
        <v>a</v>
      </c>
      <c r="AN29" s="62" t="str">
        <f t="shared" si="10"/>
        <v>a</v>
      </c>
      <c r="AO29" s="62" t="str">
        <f t="shared" si="10"/>
        <v>a</v>
      </c>
      <c r="AP29" s="62" t="str">
        <f t="shared" si="10"/>
        <v>a</v>
      </c>
      <c r="AQ29" s="62" t="str">
        <f t="shared" si="10"/>
        <v>a</v>
      </c>
      <c r="AR29" s="63"/>
      <c r="AS29" s="135"/>
      <c r="AT29" s="136"/>
      <c r="AU29" s="136"/>
      <c r="AV29" s="136"/>
      <c r="AW29" s="136"/>
      <c r="AX29" s="136"/>
      <c r="AY29" s="136"/>
      <c r="AZ29" s="137"/>
      <c r="BA29" s="37">
        <f t="shared" si="4"/>
        <v>16</v>
      </c>
      <c r="BB29" s="9">
        <f t="shared" si="5"/>
        <v>456</v>
      </c>
      <c r="BC29" s="10">
        <f t="shared" si="6"/>
        <v>82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480</v>
      </c>
      <c r="E30" s="61" t="s">
        <v>124</v>
      </c>
      <c r="F30" s="62" t="str">
        <f t="shared" si="11"/>
        <v>a</v>
      </c>
      <c r="G30" s="62" t="str">
        <f t="shared" si="11"/>
        <v>a</v>
      </c>
      <c r="H30" s="62" t="str">
        <f t="shared" si="11"/>
        <v>a</v>
      </c>
      <c r="I30" s="62" t="str">
        <f t="shared" si="11"/>
        <v>a</v>
      </c>
      <c r="J30" s="62" t="str">
        <f t="shared" si="11"/>
        <v>a</v>
      </c>
      <c r="K30" s="62" t="str">
        <f t="shared" si="11"/>
        <v>a</v>
      </c>
      <c r="L30" s="63" t="str">
        <f t="shared" si="11"/>
        <v>a</v>
      </c>
      <c r="M30" s="135"/>
      <c r="N30" s="136"/>
      <c r="O30" s="136"/>
      <c r="P30" s="136"/>
      <c r="Q30" s="136"/>
      <c r="R30" s="136"/>
      <c r="S30" s="136"/>
      <c r="T30" s="137"/>
      <c r="U30" s="61">
        <v>1</v>
      </c>
      <c r="V30" s="62">
        <f t="shared" si="8"/>
        <v>1</v>
      </c>
      <c r="W30" s="62">
        <f t="shared" si="8"/>
        <v>1</v>
      </c>
      <c r="X30" s="62">
        <f t="shared" si="8"/>
        <v>1</v>
      </c>
      <c r="Y30" s="62">
        <f t="shared" si="8"/>
        <v>1</v>
      </c>
      <c r="Z30" s="62">
        <f t="shared" si="8"/>
        <v>1</v>
      </c>
      <c r="AA30" s="62">
        <f t="shared" si="8"/>
        <v>1</v>
      </c>
      <c r="AB30" s="63">
        <f t="shared" si="8"/>
        <v>1</v>
      </c>
      <c r="AC30" s="61" t="s">
        <v>124</v>
      </c>
      <c r="AD30" s="62" t="str">
        <f t="shared" si="9"/>
        <v>a</v>
      </c>
      <c r="AE30" s="62" t="str">
        <f t="shared" si="9"/>
        <v>a</v>
      </c>
      <c r="AF30" s="62" t="str">
        <f t="shared" si="9"/>
        <v>a</v>
      </c>
      <c r="AG30" s="62" t="str">
        <f t="shared" si="9"/>
        <v>a</v>
      </c>
      <c r="AH30" s="62" t="str">
        <f t="shared" si="9"/>
        <v>a</v>
      </c>
      <c r="AI30" s="62" t="str">
        <f t="shared" si="9"/>
        <v>a</v>
      </c>
      <c r="AJ30" s="63" t="str">
        <f t="shared" si="9"/>
        <v>a</v>
      </c>
      <c r="AK30" s="61">
        <v>1</v>
      </c>
      <c r="AL30" s="62">
        <f t="shared" si="10"/>
        <v>1</v>
      </c>
      <c r="AM30" s="62">
        <f t="shared" si="10"/>
        <v>1</v>
      </c>
      <c r="AN30" s="62">
        <f t="shared" si="10"/>
        <v>1</v>
      </c>
      <c r="AO30" s="62">
        <f t="shared" si="10"/>
        <v>1</v>
      </c>
      <c r="AP30" s="62">
        <f t="shared" si="10"/>
        <v>1</v>
      </c>
      <c r="AQ30" s="62">
        <f t="shared" si="10"/>
        <v>1</v>
      </c>
      <c r="AR30" s="63"/>
      <c r="AS30" s="135"/>
      <c r="AT30" s="136"/>
      <c r="AU30" s="136"/>
      <c r="AV30" s="136"/>
      <c r="AW30" s="136"/>
      <c r="AX30" s="136"/>
      <c r="AY30" s="136"/>
      <c r="AZ30" s="137"/>
      <c r="BA30" s="37">
        <f t="shared" si="4"/>
        <v>15</v>
      </c>
      <c r="BB30" s="9">
        <f t="shared" si="5"/>
        <v>495</v>
      </c>
      <c r="BC30" s="10">
        <f t="shared" si="6"/>
        <v>89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478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62">
        <f t="shared" si="11"/>
        <v>1</v>
      </c>
      <c r="J31" s="62">
        <f t="shared" si="11"/>
        <v>1</v>
      </c>
      <c r="K31" s="62">
        <f t="shared" si="11"/>
        <v>1</v>
      </c>
      <c r="L31" s="63">
        <f t="shared" si="11"/>
        <v>1</v>
      </c>
      <c r="M31" s="135"/>
      <c r="N31" s="136"/>
      <c r="O31" s="136"/>
      <c r="P31" s="136"/>
      <c r="Q31" s="136"/>
      <c r="R31" s="136"/>
      <c r="S31" s="136"/>
      <c r="T31" s="137"/>
      <c r="U31" s="61">
        <v>1</v>
      </c>
      <c r="V31" s="62">
        <f t="shared" si="8"/>
        <v>1</v>
      </c>
      <c r="W31" s="62">
        <f t="shared" si="8"/>
        <v>1</v>
      </c>
      <c r="X31" s="62">
        <f t="shared" si="8"/>
        <v>1</v>
      </c>
      <c r="Y31" s="62">
        <f t="shared" si="8"/>
        <v>1</v>
      </c>
      <c r="Z31" s="62">
        <f t="shared" si="8"/>
        <v>1</v>
      </c>
      <c r="AA31" s="62">
        <f t="shared" si="8"/>
        <v>1</v>
      </c>
      <c r="AB31" s="63">
        <f t="shared" si="8"/>
        <v>1</v>
      </c>
      <c r="AC31" s="61" t="s">
        <v>124</v>
      </c>
      <c r="AD31" s="62" t="str">
        <f t="shared" si="9"/>
        <v>a</v>
      </c>
      <c r="AE31" s="62" t="str">
        <f t="shared" si="9"/>
        <v>a</v>
      </c>
      <c r="AF31" s="62" t="str">
        <f t="shared" si="9"/>
        <v>a</v>
      </c>
      <c r="AG31" s="62" t="str">
        <f t="shared" si="9"/>
        <v>a</v>
      </c>
      <c r="AH31" s="62" t="str">
        <f t="shared" si="9"/>
        <v>a</v>
      </c>
      <c r="AI31" s="62" t="str">
        <f t="shared" si="9"/>
        <v>a</v>
      </c>
      <c r="AJ31" s="63" t="str">
        <f t="shared" si="9"/>
        <v>a</v>
      </c>
      <c r="AK31" s="61">
        <v>1</v>
      </c>
      <c r="AL31" s="62">
        <f t="shared" si="10"/>
        <v>1</v>
      </c>
      <c r="AM31" s="62">
        <f t="shared" si="10"/>
        <v>1</v>
      </c>
      <c r="AN31" s="62">
        <f t="shared" si="10"/>
        <v>1</v>
      </c>
      <c r="AO31" s="62">
        <f t="shared" si="10"/>
        <v>1</v>
      </c>
      <c r="AP31" s="62">
        <f t="shared" si="10"/>
        <v>1</v>
      </c>
      <c r="AQ31" s="62">
        <f t="shared" si="10"/>
        <v>1</v>
      </c>
      <c r="AR31" s="63"/>
      <c r="AS31" s="135"/>
      <c r="AT31" s="136"/>
      <c r="AU31" s="136"/>
      <c r="AV31" s="136"/>
      <c r="AW31" s="136"/>
      <c r="AX31" s="136"/>
      <c r="AY31" s="136"/>
      <c r="AZ31" s="137"/>
      <c r="BA31" s="37">
        <f t="shared" si="4"/>
        <v>23</v>
      </c>
      <c r="BB31" s="9">
        <f t="shared" si="5"/>
        <v>501</v>
      </c>
      <c r="BC31" s="10">
        <f t="shared" si="6"/>
        <v>90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469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62">
        <f t="shared" si="11"/>
        <v>1</v>
      </c>
      <c r="J32" s="62">
        <f t="shared" si="11"/>
        <v>1</v>
      </c>
      <c r="K32" s="62">
        <f t="shared" si="11"/>
        <v>1</v>
      </c>
      <c r="L32" s="63">
        <f t="shared" si="11"/>
        <v>1</v>
      </c>
      <c r="M32" s="135"/>
      <c r="N32" s="136"/>
      <c r="O32" s="136"/>
      <c r="P32" s="136"/>
      <c r="Q32" s="136"/>
      <c r="R32" s="136"/>
      <c r="S32" s="136"/>
      <c r="T32" s="137"/>
      <c r="U32" s="61">
        <v>1</v>
      </c>
      <c r="V32" s="62">
        <f t="shared" si="8"/>
        <v>1</v>
      </c>
      <c r="W32" s="62">
        <f t="shared" si="8"/>
        <v>1</v>
      </c>
      <c r="X32" s="62">
        <f t="shared" si="8"/>
        <v>1</v>
      </c>
      <c r="Y32" s="62">
        <f t="shared" si="8"/>
        <v>1</v>
      </c>
      <c r="Z32" s="62">
        <f t="shared" si="8"/>
        <v>1</v>
      </c>
      <c r="AA32" s="62">
        <f t="shared" si="8"/>
        <v>1</v>
      </c>
      <c r="AB32" s="63">
        <f t="shared" si="8"/>
        <v>1</v>
      </c>
      <c r="AC32" s="61" t="s">
        <v>124</v>
      </c>
      <c r="AD32" s="62" t="str">
        <f t="shared" si="9"/>
        <v>a</v>
      </c>
      <c r="AE32" s="62" t="str">
        <f t="shared" si="9"/>
        <v>a</v>
      </c>
      <c r="AF32" s="62" t="str">
        <f t="shared" si="9"/>
        <v>a</v>
      </c>
      <c r="AG32" s="62" t="str">
        <f t="shared" si="9"/>
        <v>a</v>
      </c>
      <c r="AH32" s="62" t="str">
        <f t="shared" si="9"/>
        <v>a</v>
      </c>
      <c r="AI32" s="62" t="str">
        <f t="shared" si="9"/>
        <v>a</v>
      </c>
      <c r="AJ32" s="63" t="str">
        <f t="shared" si="9"/>
        <v>a</v>
      </c>
      <c r="AK32" s="61">
        <v>1</v>
      </c>
      <c r="AL32" s="62">
        <f t="shared" si="10"/>
        <v>1</v>
      </c>
      <c r="AM32" s="62">
        <f t="shared" si="10"/>
        <v>1</v>
      </c>
      <c r="AN32" s="62">
        <f t="shared" si="10"/>
        <v>1</v>
      </c>
      <c r="AO32" s="62">
        <f t="shared" si="10"/>
        <v>1</v>
      </c>
      <c r="AP32" s="62">
        <f t="shared" si="10"/>
        <v>1</v>
      </c>
      <c r="AQ32" s="62">
        <f t="shared" si="10"/>
        <v>1</v>
      </c>
      <c r="AR32" s="63"/>
      <c r="AS32" s="135"/>
      <c r="AT32" s="136"/>
      <c r="AU32" s="136"/>
      <c r="AV32" s="136"/>
      <c r="AW32" s="136"/>
      <c r="AX32" s="136"/>
      <c r="AY32" s="136"/>
      <c r="AZ32" s="137"/>
      <c r="BA32" s="37">
        <f t="shared" si="4"/>
        <v>23</v>
      </c>
      <c r="BB32" s="9">
        <f t="shared" si="5"/>
        <v>492</v>
      </c>
      <c r="BC32" s="10">
        <f t="shared" si="6"/>
        <v>88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496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62">
        <f t="shared" si="11"/>
        <v>1</v>
      </c>
      <c r="J33" s="62">
        <f t="shared" si="11"/>
        <v>1</v>
      </c>
      <c r="K33" s="62">
        <f t="shared" si="11"/>
        <v>1</v>
      </c>
      <c r="L33" s="63">
        <f t="shared" si="11"/>
        <v>1</v>
      </c>
      <c r="M33" s="135"/>
      <c r="N33" s="136"/>
      <c r="O33" s="136"/>
      <c r="P33" s="136"/>
      <c r="Q33" s="136"/>
      <c r="R33" s="136"/>
      <c r="S33" s="136"/>
      <c r="T33" s="137"/>
      <c r="U33" s="61">
        <v>1</v>
      </c>
      <c r="V33" s="62">
        <f t="shared" si="8"/>
        <v>1</v>
      </c>
      <c r="W33" s="62">
        <f t="shared" si="8"/>
        <v>1</v>
      </c>
      <c r="X33" s="62">
        <f t="shared" si="8"/>
        <v>1</v>
      </c>
      <c r="Y33" s="62">
        <f t="shared" si="8"/>
        <v>1</v>
      </c>
      <c r="Z33" s="62">
        <f t="shared" si="8"/>
        <v>1</v>
      </c>
      <c r="AA33" s="62">
        <f t="shared" si="8"/>
        <v>1</v>
      </c>
      <c r="AB33" s="63">
        <f t="shared" si="8"/>
        <v>1</v>
      </c>
      <c r="AC33" s="61" t="s">
        <v>124</v>
      </c>
      <c r="AD33" s="62" t="str">
        <f t="shared" si="9"/>
        <v>a</v>
      </c>
      <c r="AE33" s="62" t="str">
        <f t="shared" si="9"/>
        <v>a</v>
      </c>
      <c r="AF33" s="62" t="str">
        <f t="shared" si="9"/>
        <v>a</v>
      </c>
      <c r="AG33" s="62" t="str">
        <f t="shared" si="9"/>
        <v>a</v>
      </c>
      <c r="AH33" s="62" t="str">
        <f t="shared" si="9"/>
        <v>a</v>
      </c>
      <c r="AI33" s="62" t="str">
        <f t="shared" si="9"/>
        <v>a</v>
      </c>
      <c r="AJ33" s="63" t="str">
        <f t="shared" si="9"/>
        <v>a</v>
      </c>
      <c r="AK33" s="61">
        <v>1</v>
      </c>
      <c r="AL33" s="62">
        <f t="shared" si="10"/>
        <v>1</v>
      </c>
      <c r="AM33" s="62">
        <f t="shared" si="10"/>
        <v>1</v>
      </c>
      <c r="AN33" s="62">
        <f t="shared" si="10"/>
        <v>1</v>
      </c>
      <c r="AO33" s="62">
        <f t="shared" si="10"/>
        <v>1</v>
      </c>
      <c r="AP33" s="62">
        <f t="shared" si="10"/>
        <v>1</v>
      </c>
      <c r="AQ33" s="62">
        <f t="shared" si="10"/>
        <v>1</v>
      </c>
      <c r="AR33" s="63"/>
      <c r="AS33" s="135"/>
      <c r="AT33" s="136"/>
      <c r="AU33" s="136"/>
      <c r="AV33" s="136"/>
      <c r="AW33" s="136"/>
      <c r="AX33" s="136"/>
      <c r="AY33" s="136"/>
      <c r="AZ33" s="137"/>
      <c r="BA33" s="37">
        <f t="shared" si="4"/>
        <v>23</v>
      </c>
      <c r="BB33" s="9">
        <f t="shared" si="5"/>
        <v>519</v>
      </c>
      <c r="BC33" s="10">
        <f t="shared" si="6"/>
        <v>93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439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62">
        <f t="shared" si="11"/>
        <v>1</v>
      </c>
      <c r="J34" s="62">
        <f t="shared" si="11"/>
        <v>1</v>
      </c>
      <c r="K34" s="62">
        <f t="shared" si="11"/>
        <v>1</v>
      </c>
      <c r="L34" s="63">
        <f t="shared" si="11"/>
        <v>1</v>
      </c>
      <c r="M34" s="135"/>
      <c r="N34" s="136"/>
      <c r="O34" s="136"/>
      <c r="P34" s="136"/>
      <c r="Q34" s="136"/>
      <c r="R34" s="136"/>
      <c r="S34" s="136"/>
      <c r="T34" s="137"/>
      <c r="U34" s="61">
        <v>1</v>
      </c>
      <c r="V34" s="62">
        <f t="shared" si="8"/>
        <v>1</v>
      </c>
      <c r="W34" s="62">
        <f t="shared" si="8"/>
        <v>1</v>
      </c>
      <c r="X34" s="62">
        <f t="shared" si="8"/>
        <v>1</v>
      </c>
      <c r="Y34" s="62">
        <f t="shared" si="8"/>
        <v>1</v>
      </c>
      <c r="Z34" s="62">
        <f t="shared" si="8"/>
        <v>1</v>
      </c>
      <c r="AA34" s="62">
        <f t="shared" si="8"/>
        <v>1</v>
      </c>
      <c r="AB34" s="63">
        <f t="shared" si="8"/>
        <v>1</v>
      </c>
      <c r="AC34" s="61" t="s">
        <v>124</v>
      </c>
      <c r="AD34" s="62" t="str">
        <f t="shared" si="9"/>
        <v>a</v>
      </c>
      <c r="AE34" s="62" t="str">
        <f t="shared" si="9"/>
        <v>a</v>
      </c>
      <c r="AF34" s="62" t="str">
        <f t="shared" si="9"/>
        <v>a</v>
      </c>
      <c r="AG34" s="62" t="str">
        <f t="shared" si="9"/>
        <v>a</v>
      </c>
      <c r="AH34" s="62" t="str">
        <f t="shared" si="9"/>
        <v>a</v>
      </c>
      <c r="AI34" s="62" t="str">
        <f t="shared" si="9"/>
        <v>a</v>
      </c>
      <c r="AJ34" s="63" t="str">
        <f t="shared" si="9"/>
        <v>a</v>
      </c>
      <c r="AK34" s="61">
        <v>1</v>
      </c>
      <c r="AL34" s="62">
        <f t="shared" si="10"/>
        <v>1</v>
      </c>
      <c r="AM34" s="62">
        <f t="shared" si="10"/>
        <v>1</v>
      </c>
      <c r="AN34" s="62">
        <f t="shared" si="10"/>
        <v>1</v>
      </c>
      <c r="AO34" s="62">
        <f t="shared" si="10"/>
        <v>1</v>
      </c>
      <c r="AP34" s="62">
        <f t="shared" si="10"/>
        <v>1</v>
      </c>
      <c r="AQ34" s="62">
        <f t="shared" si="10"/>
        <v>1</v>
      </c>
      <c r="AR34" s="63"/>
      <c r="AS34" s="135"/>
      <c r="AT34" s="136"/>
      <c r="AU34" s="136"/>
      <c r="AV34" s="136"/>
      <c r="AW34" s="136"/>
      <c r="AX34" s="136"/>
      <c r="AY34" s="136"/>
      <c r="AZ34" s="137"/>
      <c r="BA34" s="37">
        <f t="shared" si="4"/>
        <v>23</v>
      </c>
      <c r="BB34" s="9">
        <f t="shared" si="5"/>
        <v>462</v>
      </c>
      <c r="BC34" s="10">
        <f t="shared" si="6"/>
        <v>83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518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62">
        <f t="shared" si="11"/>
        <v>1</v>
      </c>
      <c r="J35" s="62">
        <f t="shared" si="11"/>
        <v>1</v>
      </c>
      <c r="K35" s="62">
        <f t="shared" si="11"/>
        <v>1</v>
      </c>
      <c r="L35" s="63">
        <f t="shared" si="11"/>
        <v>1</v>
      </c>
      <c r="M35" s="135"/>
      <c r="N35" s="136"/>
      <c r="O35" s="136"/>
      <c r="P35" s="136"/>
      <c r="Q35" s="136"/>
      <c r="R35" s="136"/>
      <c r="S35" s="136"/>
      <c r="T35" s="137"/>
      <c r="U35" s="61">
        <v>1</v>
      </c>
      <c r="V35" s="62">
        <f t="shared" si="8"/>
        <v>1</v>
      </c>
      <c r="W35" s="62">
        <f t="shared" si="8"/>
        <v>1</v>
      </c>
      <c r="X35" s="62">
        <f t="shared" si="8"/>
        <v>1</v>
      </c>
      <c r="Y35" s="62">
        <f t="shared" si="8"/>
        <v>1</v>
      </c>
      <c r="Z35" s="62">
        <f t="shared" si="8"/>
        <v>1</v>
      </c>
      <c r="AA35" s="62">
        <f t="shared" si="8"/>
        <v>1</v>
      </c>
      <c r="AB35" s="63">
        <f t="shared" si="8"/>
        <v>1</v>
      </c>
      <c r="AC35" s="61">
        <v>1</v>
      </c>
      <c r="AD35" s="62">
        <f t="shared" si="9"/>
        <v>1</v>
      </c>
      <c r="AE35" s="62">
        <f t="shared" si="9"/>
        <v>1</v>
      </c>
      <c r="AF35" s="62">
        <f t="shared" si="9"/>
        <v>1</v>
      </c>
      <c r="AG35" s="62">
        <f t="shared" si="9"/>
        <v>1</v>
      </c>
      <c r="AH35" s="62">
        <f t="shared" si="9"/>
        <v>1</v>
      </c>
      <c r="AI35" s="62">
        <f t="shared" si="9"/>
        <v>1</v>
      </c>
      <c r="AJ35" s="63">
        <f t="shared" si="9"/>
        <v>1</v>
      </c>
      <c r="AK35" s="61">
        <v>1</v>
      </c>
      <c r="AL35" s="62">
        <f t="shared" si="10"/>
        <v>1</v>
      </c>
      <c r="AM35" s="62">
        <f t="shared" si="10"/>
        <v>1</v>
      </c>
      <c r="AN35" s="62">
        <f t="shared" si="10"/>
        <v>1</v>
      </c>
      <c r="AO35" s="62">
        <f t="shared" si="10"/>
        <v>1</v>
      </c>
      <c r="AP35" s="62">
        <f t="shared" si="10"/>
        <v>1</v>
      </c>
      <c r="AQ35" s="62">
        <f t="shared" si="10"/>
        <v>1</v>
      </c>
      <c r="AR35" s="63"/>
      <c r="AS35" s="135"/>
      <c r="AT35" s="136"/>
      <c r="AU35" s="136"/>
      <c r="AV35" s="136"/>
      <c r="AW35" s="136"/>
      <c r="AX35" s="136"/>
      <c r="AY35" s="136"/>
      <c r="AZ35" s="137"/>
      <c r="BA35" s="37">
        <f t="shared" si="4"/>
        <v>31</v>
      </c>
      <c r="BB35" s="9">
        <f t="shared" si="5"/>
        <v>549</v>
      </c>
      <c r="BC35" s="10">
        <f t="shared" si="6"/>
        <v>99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457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62">
        <f t="shared" si="11"/>
        <v>1</v>
      </c>
      <c r="J36" s="62">
        <f t="shared" si="11"/>
        <v>1</v>
      </c>
      <c r="K36" s="62">
        <f t="shared" si="11"/>
        <v>1</v>
      </c>
      <c r="L36" s="63">
        <f t="shared" si="11"/>
        <v>1</v>
      </c>
      <c r="M36" s="135"/>
      <c r="N36" s="136"/>
      <c r="O36" s="136"/>
      <c r="P36" s="136"/>
      <c r="Q36" s="136"/>
      <c r="R36" s="136"/>
      <c r="S36" s="136"/>
      <c r="T36" s="137"/>
      <c r="U36" s="61">
        <v>1</v>
      </c>
      <c r="V36" s="62">
        <f t="shared" si="8"/>
        <v>1</v>
      </c>
      <c r="W36" s="62">
        <f t="shared" si="8"/>
        <v>1</v>
      </c>
      <c r="X36" s="62">
        <f t="shared" si="8"/>
        <v>1</v>
      </c>
      <c r="Y36" s="62">
        <f t="shared" si="8"/>
        <v>1</v>
      </c>
      <c r="Z36" s="62">
        <f t="shared" si="8"/>
        <v>1</v>
      </c>
      <c r="AA36" s="62">
        <f t="shared" si="8"/>
        <v>1</v>
      </c>
      <c r="AB36" s="63">
        <f t="shared" si="8"/>
        <v>1</v>
      </c>
      <c r="AC36" s="61" t="s">
        <v>124</v>
      </c>
      <c r="AD36" s="62" t="str">
        <f t="shared" si="9"/>
        <v>a</v>
      </c>
      <c r="AE36" s="62" t="str">
        <f t="shared" si="9"/>
        <v>a</v>
      </c>
      <c r="AF36" s="62" t="str">
        <f t="shared" si="9"/>
        <v>a</v>
      </c>
      <c r="AG36" s="62" t="str">
        <f t="shared" si="9"/>
        <v>a</v>
      </c>
      <c r="AH36" s="62" t="str">
        <f t="shared" si="9"/>
        <v>a</v>
      </c>
      <c r="AI36" s="62" t="str">
        <f t="shared" si="9"/>
        <v>a</v>
      </c>
      <c r="AJ36" s="63" t="str">
        <f t="shared" si="9"/>
        <v>a</v>
      </c>
      <c r="AK36" s="61" t="s">
        <v>124</v>
      </c>
      <c r="AL36" s="62" t="str">
        <f t="shared" si="10"/>
        <v>a</v>
      </c>
      <c r="AM36" s="62" t="str">
        <f t="shared" si="10"/>
        <v>a</v>
      </c>
      <c r="AN36" s="62" t="str">
        <f t="shared" si="10"/>
        <v>a</v>
      </c>
      <c r="AO36" s="62" t="str">
        <f t="shared" si="10"/>
        <v>a</v>
      </c>
      <c r="AP36" s="62" t="str">
        <f t="shared" si="10"/>
        <v>a</v>
      </c>
      <c r="AQ36" s="62" t="str">
        <f t="shared" si="10"/>
        <v>a</v>
      </c>
      <c r="AR36" s="63"/>
      <c r="AS36" s="135"/>
      <c r="AT36" s="136"/>
      <c r="AU36" s="136"/>
      <c r="AV36" s="136"/>
      <c r="AW36" s="136"/>
      <c r="AX36" s="136"/>
      <c r="AY36" s="136"/>
      <c r="AZ36" s="137"/>
      <c r="BA36" s="37">
        <f t="shared" si="4"/>
        <v>16</v>
      </c>
      <c r="BB36" s="9">
        <f t="shared" si="5"/>
        <v>473</v>
      </c>
      <c r="BC36" s="10">
        <f t="shared" si="6"/>
        <v>85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518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62">
        <f t="shared" si="11"/>
        <v>1</v>
      </c>
      <c r="J37" s="62">
        <f t="shared" si="11"/>
        <v>1</v>
      </c>
      <c r="K37" s="62">
        <f t="shared" si="11"/>
        <v>1</v>
      </c>
      <c r="L37" s="63">
        <f t="shared" si="11"/>
        <v>1</v>
      </c>
      <c r="M37" s="135"/>
      <c r="N37" s="136"/>
      <c r="O37" s="136"/>
      <c r="P37" s="136"/>
      <c r="Q37" s="136"/>
      <c r="R37" s="136"/>
      <c r="S37" s="136"/>
      <c r="T37" s="137"/>
      <c r="U37" s="61">
        <v>1</v>
      </c>
      <c r="V37" s="62">
        <f t="shared" si="8"/>
        <v>1</v>
      </c>
      <c r="W37" s="62">
        <f t="shared" si="8"/>
        <v>1</v>
      </c>
      <c r="X37" s="62">
        <f t="shared" si="8"/>
        <v>1</v>
      </c>
      <c r="Y37" s="62">
        <f t="shared" si="8"/>
        <v>1</v>
      </c>
      <c r="Z37" s="62">
        <f t="shared" si="8"/>
        <v>1</v>
      </c>
      <c r="AA37" s="62">
        <f t="shared" si="8"/>
        <v>1</v>
      </c>
      <c r="AB37" s="63">
        <f t="shared" si="8"/>
        <v>1</v>
      </c>
      <c r="AC37" s="61">
        <v>1</v>
      </c>
      <c r="AD37" s="62">
        <f t="shared" si="9"/>
        <v>1</v>
      </c>
      <c r="AE37" s="62">
        <f t="shared" si="9"/>
        <v>1</v>
      </c>
      <c r="AF37" s="62">
        <f t="shared" si="9"/>
        <v>1</v>
      </c>
      <c r="AG37" s="62">
        <f t="shared" si="9"/>
        <v>1</v>
      </c>
      <c r="AH37" s="62">
        <f t="shared" si="9"/>
        <v>1</v>
      </c>
      <c r="AI37" s="62">
        <f t="shared" si="9"/>
        <v>1</v>
      </c>
      <c r="AJ37" s="63">
        <f t="shared" si="9"/>
        <v>1</v>
      </c>
      <c r="AK37" s="61">
        <v>1</v>
      </c>
      <c r="AL37" s="62">
        <f t="shared" si="10"/>
        <v>1</v>
      </c>
      <c r="AM37" s="62">
        <f t="shared" si="10"/>
        <v>1</v>
      </c>
      <c r="AN37" s="62">
        <f t="shared" si="10"/>
        <v>1</v>
      </c>
      <c r="AO37" s="62">
        <f t="shared" si="10"/>
        <v>1</v>
      </c>
      <c r="AP37" s="62">
        <f t="shared" si="10"/>
        <v>1</v>
      </c>
      <c r="AQ37" s="62">
        <f t="shared" si="10"/>
        <v>1</v>
      </c>
      <c r="AR37" s="63"/>
      <c r="AS37" s="135"/>
      <c r="AT37" s="136"/>
      <c r="AU37" s="136"/>
      <c r="AV37" s="136"/>
      <c r="AW37" s="136"/>
      <c r="AX37" s="136"/>
      <c r="AY37" s="136"/>
      <c r="AZ37" s="137"/>
      <c r="BA37" s="38">
        <f t="shared" si="4"/>
        <v>31</v>
      </c>
      <c r="BB37" s="9">
        <f t="shared" si="5"/>
        <v>549</v>
      </c>
      <c r="BC37" s="10">
        <f t="shared" si="6"/>
        <v>99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430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62">
        <f t="shared" si="11"/>
        <v>1</v>
      </c>
      <c r="J38" s="62">
        <f t="shared" si="11"/>
        <v>1</v>
      </c>
      <c r="K38" s="62">
        <f t="shared" si="11"/>
        <v>1</v>
      </c>
      <c r="L38" s="63">
        <f t="shared" si="11"/>
        <v>1</v>
      </c>
      <c r="M38" s="135"/>
      <c r="N38" s="136"/>
      <c r="O38" s="136"/>
      <c r="P38" s="136"/>
      <c r="Q38" s="136"/>
      <c r="R38" s="136"/>
      <c r="S38" s="136"/>
      <c r="T38" s="137"/>
      <c r="U38" s="61">
        <v>1</v>
      </c>
      <c r="V38" s="62">
        <f t="shared" si="8"/>
        <v>1</v>
      </c>
      <c r="W38" s="62">
        <f t="shared" si="8"/>
        <v>1</v>
      </c>
      <c r="X38" s="62">
        <f t="shared" si="8"/>
        <v>1</v>
      </c>
      <c r="Y38" s="62">
        <f t="shared" si="8"/>
        <v>1</v>
      </c>
      <c r="Z38" s="62">
        <f t="shared" si="8"/>
        <v>1</v>
      </c>
      <c r="AA38" s="62">
        <f t="shared" si="8"/>
        <v>1</v>
      </c>
      <c r="AB38" s="63">
        <f t="shared" si="8"/>
        <v>1</v>
      </c>
      <c r="AC38" s="61">
        <v>1</v>
      </c>
      <c r="AD38" s="62">
        <f t="shared" si="9"/>
        <v>1</v>
      </c>
      <c r="AE38" s="62">
        <f t="shared" si="9"/>
        <v>1</v>
      </c>
      <c r="AF38" s="62">
        <f t="shared" si="9"/>
        <v>1</v>
      </c>
      <c r="AG38" s="62">
        <f t="shared" si="9"/>
        <v>1</v>
      </c>
      <c r="AH38" s="62">
        <f t="shared" si="9"/>
        <v>1</v>
      </c>
      <c r="AI38" s="62">
        <f t="shared" si="9"/>
        <v>1</v>
      </c>
      <c r="AJ38" s="63">
        <f t="shared" si="9"/>
        <v>1</v>
      </c>
      <c r="AK38" s="61" t="s">
        <v>124</v>
      </c>
      <c r="AL38" s="62" t="str">
        <f t="shared" si="10"/>
        <v>a</v>
      </c>
      <c r="AM38" s="62" t="str">
        <f t="shared" si="10"/>
        <v>a</v>
      </c>
      <c r="AN38" s="62" t="str">
        <f t="shared" si="10"/>
        <v>a</v>
      </c>
      <c r="AO38" s="62" t="str">
        <f t="shared" si="10"/>
        <v>a</v>
      </c>
      <c r="AP38" s="62" t="str">
        <f t="shared" si="10"/>
        <v>a</v>
      </c>
      <c r="AQ38" s="62" t="str">
        <f t="shared" si="10"/>
        <v>a</v>
      </c>
      <c r="AR38" s="63"/>
      <c r="AS38" s="135"/>
      <c r="AT38" s="136"/>
      <c r="AU38" s="136"/>
      <c r="AV38" s="136"/>
      <c r="AW38" s="136"/>
      <c r="AX38" s="136"/>
      <c r="AY38" s="136"/>
      <c r="AZ38" s="137"/>
      <c r="BA38" s="36">
        <f>SUM(E38:AZ38)</f>
        <v>24</v>
      </c>
      <c r="BB38" s="9">
        <f t="shared" si="5"/>
        <v>454</v>
      </c>
      <c r="BC38" s="10">
        <f t="shared" si="6"/>
        <v>82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454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62">
        <f t="shared" si="11"/>
        <v>1</v>
      </c>
      <c r="J39" s="62">
        <f t="shared" si="11"/>
        <v>1</v>
      </c>
      <c r="K39" s="62">
        <f t="shared" si="11"/>
        <v>1</v>
      </c>
      <c r="L39" s="63">
        <f t="shared" si="11"/>
        <v>1</v>
      </c>
      <c r="M39" s="135"/>
      <c r="N39" s="136"/>
      <c r="O39" s="136"/>
      <c r="P39" s="136"/>
      <c r="Q39" s="136"/>
      <c r="R39" s="136"/>
      <c r="S39" s="136"/>
      <c r="T39" s="137"/>
      <c r="U39" s="61">
        <v>1</v>
      </c>
      <c r="V39" s="62">
        <f t="shared" si="8"/>
        <v>1</v>
      </c>
      <c r="W39" s="62">
        <f t="shared" si="8"/>
        <v>1</v>
      </c>
      <c r="X39" s="62">
        <f t="shared" si="8"/>
        <v>1</v>
      </c>
      <c r="Y39" s="62">
        <f t="shared" si="8"/>
        <v>1</v>
      </c>
      <c r="Z39" s="62">
        <f t="shared" si="8"/>
        <v>1</v>
      </c>
      <c r="AA39" s="62">
        <f t="shared" si="8"/>
        <v>1</v>
      </c>
      <c r="AB39" s="63">
        <f t="shared" si="8"/>
        <v>1</v>
      </c>
      <c r="AC39" s="61">
        <v>1</v>
      </c>
      <c r="AD39" s="62">
        <f t="shared" si="9"/>
        <v>1</v>
      </c>
      <c r="AE39" s="62">
        <f t="shared" si="9"/>
        <v>1</v>
      </c>
      <c r="AF39" s="62">
        <f t="shared" si="9"/>
        <v>1</v>
      </c>
      <c r="AG39" s="62">
        <f t="shared" si="9"/>
        <v>1</v>
      </c>
      <c r="AH39" s="62">
        <f t="shared" si="9"/>
        <v>1</v>
      </c>
      <c r="AI39" s="62">
        <f t="shared" si="9"/>
        <v>1</v>
      </c>
      <c r="AJ39" s="63">
        <f t="shared" si="9"/>
        <v>1</v>
      </c>
      <c r="AK39" s="61" t="s">
        <v>124</v>
      </c>
      <c r="AL39" s="62" t="str">
        <f t="shared" si="10"/>
        <v>a</v>
      </c>
      <c r="AM39" s="62" t="str">
        <f t="shared" si="10"/>
        <v>a</v>
      </c>
      <c r="AN39" s="62" t="str">
        <f t="shared" si="10"/>
        <v>a</v>
      </c>
      <c r="AO39" s="62" t="str">
        <f t="shared" si="10"/>
        <v>a</v>
      </c>
      <c r="AP39" s="62" t="str">
        <f t="shared" si="10"/>
        <v>a</v>
      </c>
      <c r="AQ39" s="62" t="str">
        <f t="shared" si="10"/>
        <v>a</v>
      </c>
      <c r="AR39" s="63"/>
      <c r="AS39" s="135"/>
      <c r="AT39" s="136"/>
      <c r="AU39" s="136"/>
      <c r="AV39" s="136"/>
      <c r="AW39" s="136"/>
      <c r="AX39" s="136"/>
      <c r="AY39" s="136"/>
      <c r="AZ39" s="137"/>
      <c r="BA39" s="37">
        <f t="shared" ref="BA39:BA73" si="12">SUM(E39:AZ39)</f>
        <v>24</v>
      </c>
      <c r="BB39" s="9">
        <f t="shared" si="5"/>
        <v>478</v>
      </c>
      <c r="BC39" s="10">
        <f t="shared" si="6"/>
        <v>86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416</v>
      </c>
      <c r="E40" s="61">
        <v>1</v>
      </c>
      <c r="F40" s="62">
        <f t="shared" si="11"/>
        <v>1</v>
      </c>
      <c r="G40" s="62">
        <f t="shared" si="11"/>
        <v>1</v>
      </c>
      <c r="H40" s="62">
        <f t="shared" si="11"/>
        <v>1</v>
      </c>
      <c r="I40" s="62">
        <f t="shared" si="11"/>
        <v>1</v>
      </c>
      <c r="J40" s="62">
        <f t="shared" si="11"/>
        <v>1</v>
      </c>
      <c r="K40" s="62">
        <f t="shared" si="11"/>
        <v>1</v>
      </c>
      <c r="L40" s="63">
        <f t="shared" si="11"/>
        <v>1</v>
      </c>
      <c r="M40" s="135"/>
      <c r="N40" s="136"/>
      <c r="O40" s="136"/>
      <c r="P40" s="136"/>
      <c r="Q40" s="136"/>
      <c r="R40" s="136"/>
      <c r="S40" s="136"/>
      <c r="T40" s="137"/>
      <c r="U40" s="61">
        <v>1</v>
      </c>
      <c r="V40" s="62">
        <f t="shared" si="8"/>
        <v>1</v>
      </c>
      <c r="W40" s="62">
        <f t="shared" si="8"/>
        <v>1</v>
      </c>
      <c r="X40" s="62">
        <f t="shared" si="8"/>
        <v>1</v>
      </c>
      <c r="Y40" s="62">
        <f t="shared" si="8"/>
        <v>1</v>
      </c>
      <c r="Z40" s="62">
        <f t="shared" si="8"/>
        <v>1</v>
      </c>
      <c r="AA40" s="62">
        <f t="shared" si="8"/>
        <v>1</v>
      </c>
      <c r="AB40" s="63">
        <f t="shared" si="8"/>
        <v>1</v>
      </c>
      <c r="AC40" s="61">
        <v>1</v>
      </c>
      <c r="AD40" s="62">
        <f t="shared" si="9"/>
        <v>1</v>
      </c>
      <c r="AE40" s="62">
        <f t="shared" si="9"/>
        <v>1</v>
      </c>
      <c r="AF40" s="62">
        <f t="shared" si="9"/>
        <v>1</v>
      </c>
      <c r="AG40" s="62">
        <f t="shared" si="9"/>
        <v>1</v>
      </c>
      <c r="AH40" s="62">
        <f t="shared" si="9"/>
        <v>1</v>
      </c>
      <c r="AI40" s="62">
        <f t="shared" si="9"/>
        <v>1</v>
      </c>
      <c r="AJ40" s="63">
        <f t="shared" si="9"/>
        <v>1</v>
      </c>
      <c r="AK40" s="61" t="s">
        <v>124</v>
      </c>
      <c r="AL40" s="62" t="str">
        <f t="shared" si="10"/>
        <v>a</v>
      </c>
      <c r="AM40" s="62" t="str">
        <f t="shared" si="10"/>
        <v>a</v>
      </c>
      <c r="AN40" s="62" t="str">
        <f t="shared" si="10"/>
        <v>a</v>
      </c>
      <c r="AO40" s="62" t="str">
        <f t="shared" si="10"/>
        <v>a</v>
      </c>
      <c r="AP40" s="62" t="str">
        <f t="shared" si="10"/>
        <v>a</v>
      </c>
      <c r="AQ40" s="62" t="str">
        <f t="shared" si="10"/>
        <v>a</v>
      </c>
      <c r="AR40" s="63"/>
      <c r="AS40" s="135"/>
      <c r="AT40" s="136"/>
      <c r="AU40" s="136"/>
      <c r="AV40" s="136"/>
      <c r="AW40" s="136"/>
      <c r="AX40" s="136"/>
      <c r="AY40" s="136"/>
      <c r="AZ40" s="137"/>
      <c r="BA40" s="37">
        <f t="shared" si="12"/>
        <v>24</v>
      </c>
      <c r="BB40" s="9">
        <f t="shared" si="5"/>
        <v>440</v>
      </c>
      <c r="BC40" s="10">
        <f t="shared" si="6"/>
        <v>79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450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62">
        <f t="shared" si="11"/>
        <v>1</v>
      </c>
      <c r="J41" s="62">
        <f t="shared" si="11"/>
        <v>1</v>
      </c>
      <c r="K41" s="62">
        <f t="shared" si="11"/>
        <v>1</v>
      </c>
      <c r="L41" s="63">
        <f t="shared" si="11"/>
        <v>1</v>
      </c>
      <c r="M41" s="135"/>
      <c r="N41" s="136"/>
      <c r="O41" s="136"/>
      <c r="P41" s="136"/>
      <c r="Q41" s="136"/>
      <c r="R41" s="136"/>
      <c r="S41" s="136"/>
      <c r="T41" s="137"/>
      <c r="U41" s="61">
        <v>1</v>
      </c>
      <c r="V41" s="62">
        <f t="shared" si="8"/>
        <v>1</v>
      </c>
      <c r="W41" s="62">
        <f t="shared" si="8"/>
        <v>1</v>
      </c>
      <c r="X41" s="62">
        <f t="shared" si="8"/>
        <v>1</v>
      </c>
      <c r="Y41" s="62">
        <f t="shared" si="8"/>
        <v>1</v>
      </c>
      <c r="Z41" s="62">
        <f t="shared" si="8"/>
        <v>1</v>
      </c>
      <c r="AA41" s="62">
        <f t="shared" si="8"/>
        <v>1</v>
      </c>
      <c r="AB41" s="63">
        <f t="shared" si="8"/>
        <v>1</v>
      </c>
      <c r="AC41" s="61">
        <v>1</v>
      </c>
      <c r="AD41" s="62">
        <f t="shared" si="9"/>
        <v>1</v>
      </c>
      <c r="AE41" s="62">
        <f t="shared" si="9"/>
        <v>1</v>
      </c>
      <c r="AF41" s="62">
        <f t="shared" si="9"/>
        <v>1</v>
      </c>
      <c r="AG41" s="62">
        <f t="shared" si="9"/>
        <v>1</v>
      </c>
      <c r="AH41" s="62">
        <f t="shared" si="9"/>
        <v>1</v>
      </c>
      <c r="AI41" s="62">
        <f t="shared" si="9"/>
        <v>1</v>
      </c>
      <c r="AJ41" s="63">
        <f t="shared" si="9"/>
        <v>1</v>
      </c>
      <c r="AK41" s="61" t="s">
        <v>124</v>
      </c>
      <c r="AL41" s="62" t="str">
        <f t="shared" si="10"/>
        <v>a</v>
      </c>
      <c r="AM41" s="62" t="str">
        <f t="shared" si="10"/>
        <v>a</v>
      </c>
      <c r="AN41" s="62" t="str">
        <f t="shared" si="10"/>
        <v>a</v>
      </c>
      <c r="AO41" s="62" t="str">
        <f t="shared" si="10"/>
        <v>a</v>
      </c>
      <c r="AP41" s="62" t="str">
        <f t="shared" si="10"/>
        <v>a</v>
      </c>
      <c r="AQ41" s="62" t="str">
        <f t="shared" si="10"/>
        <v>a</v>
      </c>
      <c r="AR41" s="63"/>
      <c r="AS41" s="135"/>
      <c r="AT41" s="136"/>
      <c r="AU41" s="136"/>
      <c r="AV41" s="136"/>
      <c r="AW41" s="136"/>
      <c r="AX41" s="136"/>
      <c r="AY41" s="136"/>
      <c r="AZ41" s="137"/>
      <c r="BA41" s="37">
        <f t="shared" si="12"/>
        <v>24</v>
      </c>
      <c r="BB41" s="9">
        <f t="shared" si="5"/>
        <v>474</v>
      </c>
      <c r="BC41" s="10">
        <f t="shared" si="6"/>
        <v>85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477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62">
        <f t="shared" si="11"/>
        <v>1</v>
      </c>
      <c r="J42" s="62">
        <f t="shared" si="11"/>
        <v>1</v>
      </c>
      <c r="K42" s="62">
        <f t="shared" si="11"/>
        <v>1</v>
      </c>
      <c r="L42" s="63">
        <f t="shared" si="11"/>
        <v>1</v>
      </c>
      <c r="M42" s="138"/>
      <c r="N42" s="139"/>
      <c r="O42" s="139"/>
      <c r="P42" s="139"/>
      <c r="Q42" s="139"/>
      <c r="R42" s="139"/>
      <c r="S42" s="139"/>
      <c r="T42" s="140"/>
      <c r="U42" s="61">
        <v>1</v>
      </c>
      <c r="V42" s="62">
        <f t="shared" ref="V42:AB57" si="13">U42</f>
        <v>1</v>
      </c>
      <c r="W42" s="62">
        <f t="shared" si="13"/>
        <v>1</v>
      </c>
      <c r="X42" s="62">
        <f t="shared" si="13"/>
        <v>1</v>
      </c>
      <c r="Y42" s="62">
        <f t="shared" si="13"/>
        <v>1</v>
      </c>
      <c r="Z42" s="62">
        <f t="shared" si="13"/>
        <v>1</v>
      </c>
      <c r="AA42" s="62">
        <f t="shared" si="13"/>
        <v>1</v>
      </c>
      <c r="AB42" s="63">
        <f t="shared" si="13"/>
        <v>1</v>
      </c>
      <c r="AC42" s="61">
        <v>1</v>
      </c>
      <c r="AD42" s="62">
        <f t="shared" ref="AD42:AJ57" si="14">AC42</f>
        <v>1</v>
      </c>
      <c r="AE42" s="62">
        <f t="shared" si="14"/>
        <v>1</v>
      </c>
      <c r="AF42" s="62">
        <f t="shared" si="14"/>
        <v>1</v>
      </c>
      <c r="AG42" s="62">
        <f t="shared" si="14"/>
        <v>1</v>
      </c>
      <c r="AH42" s="62">
        <f t="shared" si="14"/>
        <v>1</v>
      </c>
      <c r="AI42" s="62">
        <f t="shared" si="14"/>
        <v>1</v>
      </c>
      <c r="AJ42" s="63">
        <f t="shared" si="14"/>
        <v>1</v>
      </c>
      <c r="AK42" s="61" t="s">
        <v>124</v>
      </c>
      <c r="AL42" s="62" t="str">
        <f t="shared" ref="AL42:AQ57" si="15">AK42</f>
        <v>a</v>
      </c>
      <c r="AM42" s="62" t="str">
        <f t="shared" si="15"/>
        <v>a</v>
      </c>
      <c r="AN42" s="62" t="str">
        <f t="shared" si="15"/>
        <v>a</v>
      </c>
      <c r="AO42" s="62" t="str">
        <f t="shared" si="15"/>
        <v>a</v>
      </c>
      <c r="AP42" s="62" t="str">
        <f t="shared" si="15"/>
        <v>a</v>
      </c>
      <c r="AQ42" s="62" t="str">
        <f t="shared" si="15"/>
        <v>a</v>
      </c>
      <c r="AR42" s="63"/>
      <c r="AS42" s="138"/>
      <c r="AT42" s="139"/>
      <c r="AU42" s="139"/>
      <c r="AV42" s="139"/>
      <c r="AW42" s="139"/>
      <c r="AX42" s="139"/>
      <c r="AY42" s="139"/>
      <c r="AZ42" s="140"/>
      <c r="BA42" s="37">
        <f t="shared" si="12"/>
        <v>24</v>
      </c>
      <c r="BB42" s="9">
        <f t="shared" si="5"/>
        <v>501</v>
      </c>
      <c r="BC42" s="10">
        <f t="shared" si="6"/>
        <v>90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437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62">
        <f t="shared" si="11"/>
        <v>1</v>
      </c>
      <c r="J43" s="62">
        <f t="shared" si="11"/>
        <v>1</v>
      </c>
      <c r="K43" s="62">
        <f t="shared" si="11"/>
        <v>1</v>
      </c>
      <c r="L43" s="63">
        <f t="shared" si="11"/>
        <v>1</v>
      </c>
      <c r="M43" s="141" t="s">
        <v>264</v>
      </c>
      <c r="N43" s="142"/>
      <c r="O43" s="142"/>
      <c r="P43" s="142"/>
      <c r="Q43" s="142"/>
      <c r="R43" s="142"/>
      <c r="S43" s="142"/>
      <c r="T43" s="143"/>
      <c r="U43" s="61">
        <v>1</v>
      </c>
      <c r="V43" s="62">
        <f t="shared" si="13"/>
        <v>1</v>
      </c>
      <c r="W43" s="62">
        <f t="shared" si="13"/>
        <v>1</v>
      </c>
      <c r="X43" s="62">
        <f t="shared" si="13"/>
        <v>1</v>
      </c>
      <c r="Y43" s="62">
        <f t="shared" si="13"/>
        <v>1</v>
      </c>
      <c r="Z43" s="62">
        <f t="shared" si="13"/>
        <v>1</v>
      </c>
      <c r="AA43" s="62">
        <f t="shared" si="13"/>
        <v>1</v>
      </c>
      <c r="AB43" s="63">
        <f t="shared" si="13"/>
        <v>1</v>
      </c>
      <c r="AC43" s="61" t="s">
        <v>124</v>
      </c>
      <c r="AD43" s="62" t="str">
        <f t="shared" si="14"/>
        <v>a</v>
      </c>
      <c r="AE43" s="62" t="str">
        <f t="shared" si="14"/>
        <v>a</v>
      </c>
      <c r="AF43" s="62" t="str">
        <f t="shared" si="14"/>
        <v>a</v>
      </c>
      <c r="AG43" s="62" t="str">
        <f t="shared" si="14"/>
        <v>a</v>
      </c>
      <c r="AH43" s="62" t="str">
        <f t="shared" si="14"/>
        <v>a</v>
      </c>
      <c r="AI43" s="62" t="str">
        <f t="shared" si="14"/>
        <v>a</v>
      </c>
      <c r="AJ43" s="63" t="str">
        <f t="shared" si="14"/>
        <v>a</v>
      </c>
      <c r="AK43" s="61" t="s">
        <v>124</v>
      </c>
      <c r="AL43" s="62" t="str">
        <f t="shared" si="15"/>
        <v>a</v>
      </c>
      <c r="AM43" s="62" t="str">
        <f t="shared" si="15"/>
        <v>a</v>
      </c>
      <c r="AN43" s="62" t="str">
        <f t="shared" si="15"/>
        <v>a</v>
      </c>
      <c r="AO43" s="62" t="str">
        <f t="shared" si="15"/>
        <v>a</v>
      </c>
      <c r="AP43" s="62" t="str">
        <f t="shared" si="15"/>
        <v>a</v>
      </c>
      <c r="AQ43" s="62" t="str">
        <f t="shared" si="15"/>
        <v>a</v>
      </c>
      <c r="AR43" s="63"/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2"/>
        <v>16</v>
      </c>
      <c r="BB43" s="9">
        <f t="shared" si="5"/>
        <v>453</v>
      </c>
      <c r="BC43" s="10">
        <f t="shared" si="6"/>
        <v>81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448</v>
      </c>
      <c r="E44" s="61">
        <v>1</v>
      </c>
      <c r="F44" s="62">
        <f t="shared" ref="F44:L59" si="16">E44</f>
        <v>1</v>
      </c>
      <c r="G44" s="62">
        <f t="shared" si="16"/>
        <v>1</v>
      </c>
      <c r="H44" s="62">
        <f t="shared" si="16"/>
        <v>1</v>
      </c>
      <c r="I44" s="62">
        <f t="shared" si="16"/>
        <v>1</v>
      </c>
      <c r="J44" s="62">
        <f t="shared" si="16"/>
        <v>1</v>
      </c>
      <c r="K44" s="62">
        <f t="shared" si="16"/>
        <v>1</v>
      </c>
      <c r="L44" s="63">
        <f t="shared" si="16"/>
        <v>1</v>
      </c>
      <c r="M44" s="135"/>
      <c r="N44" s="136"/>
      <c r="O44" s="136"/>
      <c r="P44" s="136"/>
      <c r="Q44" s="136"/>
      <c r="R44" s="136"/>
      <c r="S44" s="136"/>
      <c r="T44" s="137"/>
      <c r="U44" s="61">
        <v>1</v>
      </c>
      <c r="V44" s="62">
        <f t="shared" si="13"/>
        <v>1</v>
      </c>
      <c r="W44" s="62">
        <f t="shared" si="13"/>
        <v>1</v>
      </c>
      <c r="X44" s="62">
        <f t="shared" si="13"/>
        <v>1</v>
      </c>
      <c r="Y44" s="62">
        <f t="shared" si="13"/>
        <v>1</v>
      </c>
      <c r="Z44" s="62">
        <f t="shared" si="13"/>
        <v>1</v>
      </c>
      <c r="AA44" s="62">
        <f t="shared" si="13"/>
        <v>1</v>
      </c>
      <c r="AB44" s="63">
        <f t="shared" si="13"/>
        <v>1</v>
      </c>
      <c r="AC44" s="61">
        <v>1</v>
      </c>
      <c r="AD44" s="62">
        <f t="shared" si="14"/>
        <v>1</v>
      </c>
      <c r="AE44" s="62">
        <f t="shared" si="14"/>
        <v>1</v>
      </c>
      <c r="AF44" s="62">
        <f t="shared" si="14"/>
        <v>1</v>
      </c>
      <c r="AG44" s="62">
        <f t="shared" si="14"/>
        <v>1</v>
      </c>
      <c r="AH44" s="62">
        <f t="shared" si="14"/>
        <v>1</v>
      </c>
      <c r="AI44" s="62">
        <f t="shared" si="14"/>
        <v>1</v>
      </c>
      <c r="AJ44" s="63">
        <f t="shared" si="14"/>
        <v>1</v>
      </c>
      <c r="AK44" s="61" t="s">
        <v>124</v>
      </c>
      <c r="AL44" s="62" t="str">
        <f t="shared" si="15"/>
        <v>a</v>
      </c>
      <c r="AM44" s="62" t="str">
        <f t="shared" si="15"/>
        <v>a</v>
      </c>
      <c r="AN44" s="62" t="str">
        <f t="shared" si="15"/>
        <v>a</v>
      </c>
      <c r="AO44" s="62" t="str">
        <f t="shared" si="15"/>
        <v>a</v>
      </c>
      <c r="AP44" s="62" t="str">
        <f t="shared" si="15"/>
        <v>a</v>
      </c>
      <c r="AQ44" s="62" t="str">
        <f t="shared" si="15"/>
        <v>a</v>
      </c>
      <c r="AR44" s="63"/>
      <c r="AS44" s="135"/>
      <c r="AT44" s="136"/>
      <c r="AU44" s="136"/>
      <c r="AV44" s="136"/>
      <c r="AW44" s="136"/>
      <c r="AX44" s="136"/>
      <c r="AY44" s="136"/>
      <c r="AZ44" s="137"/>
      <c r="BA44" s="37">
        <f t="shared" si="12"/>
        <v>24</v>
      </c>
      <c r="BB44" s="9">
        <f t="shared" si="5"/>
        <v>472</v>
      </c>
      <c r="BC44" s="10">
        <f t="shared" si="6"/>
        <v>85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478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62">
        <f t="shared" si="16"/>
        <v>1</v>
      </c>
      <c r="J45" s="62">
        <f t="shared" si="16"/>
        <v>1</v>
      </c>
      <c r="K45" s="62">
        <f t="shared" si="16"/>
        <v>1</v>
      </c>
      <c r="L45" s="63">
        <f t="shared" si="16"/>
        <v>1</v>
      </c>
      <c r="M45" s="135"/>
      <c r="N45" s="136"/>
      <c r="O45" s="136"/>
      <c r="P45" s="136"/>
      <c r="Q45" s="136"/>
      <c r="R45" s="136"/>
      <c r="S45" s="136"/>
      <c r="T45" s="137"/>
      <c r="U45" s="61">
        <v>1</v>
      </c>
      <c r="V45" s="62">
        <f t="shared" si="13"/>
        <v>1</v>
      </c>
      <c r="W45" s="62">
        <f t="shared" si="13"/>
        <v>1</v>
      </c>
      <c r="X45" s="62">
        <f t="shared" si="13"/>
        <v>1</v>
      </c>
      <c r="Y45" s="62">
        <f t="shared" si="13"/>
        <v>1</v>
      </c>
      <c r="Z45" s="62">
        <f t="shared" si="13"/>
        <v>1</v>
      </c>
      <c r="AA45" s="62">
        <f t="shared" si="13"/>
        <v>1</v>
      </c>
      <c r="AB45" s="63">
        <f t="shared" si="13"/>
        <v>1</v>
      </c>
      <c r="AC45" s="61">
        <v>1</v>
      </c>
      <c r="AD45" s="62">
        <f t="shared" si="14"/>
        <v>1</v>
      </c>
      <c r="AE45" s="62">
        <f t="shared" si="14"/>
        <v>1</v>
      </c>
      <c r="AF45" s="62">
        <f t="shared" si="14"/>
        <v>1</v>
      </c>
      <c r="AG45" s="62">
        <f t="shared" si="14"/>
        <v>1</v>
      </c>
      <c r="AH45" s="62">
        <f t="shared" si="14"/>
        <v>1</v>
      </c>
      <c r="AI45" s="62">
        <f t="shared" si="14"/>
        <v>1</v>
      </c>
      <c r="AJ45" s="63">
        <f t="shared" si="14"/>
        <v>1</v>
      </c>
      <c r="AK45" s="61">
        <v>1</v>
      </c>
      <c r="AL45" s="62">
        <f t="shared" si="15"/>
        <v>1</v>
      </c>
      <c r="AM45" s="62">
        <f t="shared" si="15"/>
        <v>1</v>
      </c>
      <c r="AN45" s="62">
        <f t="shared" si="15"/>
        <v>1</v>
      </c>
      <c r="AO45" s="62">
        <f t="shared" si="15"/>
        <v>1</v>
      </c>
      <c r="AP45" s="62">
        <f t="shared" si="15"/>
        <v>1</v>
      </c>
      <c r="AQ45" s="62">
        <f t="shared" si="15"/>
        <v>1</v>
      </c>
      <c r="AR45" s="63"/>
      <c r="AS45" s="135"/>
      <c r="AT45" s="136"/>
      <c r="AU45" s="136"/>
      <c r="AV45" s="136"/>
      <c r="AW45" s="136"/>
      <c r="AX45" s="136"/>
      <c r="AY45" s="136"/>
      <c r="AZ45" s="137"/>
      <c r="BA45" s="37">
        <f t="shared" si="12"/>
        <v>31</v>
      </c>
      <c r="BB45" s="9">
        <f t="shared" si="5"/>
        <v>509</v>
      </c>
      <c r="BC45" s="10">
        <f t="shared" si="6"/>
        <v>91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480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62">
        <f t="shared" si="16"/>
        <v>1</v>
      </c>
      <c r="J46" s="62">
        <f t="shared" si="16"/>
        <v>1</v>
      </c>
      <c r="K46" s="62">
        <f t="shared" si="16"/>
        <v>1</v>
      </c>
      <c r="L46" s="63">
        <f t="shared" si="16"/>
        <v>1</v>
      </c>
      <c r="M46" s="135"/>
      <c r="N46" s="136"/>
      <c r="O46" s="136"/>
      <c r="P46" s="136"/>
      <c r="Q46" s="136"/>
      <c r="R46" s="136"/>
      <c r="S46" s="136"/>
      <c r="T46" s="137"/>
      <c r="U46" s="61">
        <v>1</v>
      </c>
      <c r="V46" s="62">
        <f t="shared" si="13"/>
        <v>1</v>
      </c>
      <c r="W46" s="62">
        <f t="shared" si="13"/>
        <v>1</v>
      </c>
      <c r="X46" s="62">
        <f t="shared" si="13"/>
        <v>1</v>
      </c>
      <c r="Y46" s="62">
        <f t="shared" si="13"/>
        <v>1</v>
      </c>
      <c r="Z46" s="62">
        <f t="shared" si="13"/>
        <v>1</v>
      </c>
      <c r="AA46" s="62">
        <f t="shared" si="13"/>
        <v>1</v>
      </c>
      <c r="AB46" s="63">
        <f t="shared" si="13"/>
        <v>1</v>
      </c>
      <c r="AC46" s="61" t="s">
        <v>124</v>
      </c>
      <c r="AD46" s="62" t="str">
        <f t="shared" si="14"/>
        <v>a</v>
      </c>
      <c r="AE46" s="62" t="str">
        <f t="shared" si="14"/>
        <v>a</v>
      </c>
      <c r="AF46" s="62" t="str">
        <f t="shared" si="14"/>
        <v>a</v>
      </c>
      <c r="AG46" s="62" t="str">
        <f t="shared" si="14"/>
        <v>a</v>
      </c>
      <c r="AH46" s="62" t="str">
        <f t="shared" si="14"/>
        <v>a</v>
      </c>
      <c r="AI46" s="62" t="str">
        <f t="shared" si="14"/>
        <v>a</v>
      </c>
      <c r="AJ46" s="63" t="str">
        <f t="shared" si="14"/>
        <v>a</v>
      </c>
      <c r="AK46" s="61" t="s">
        <v>124</v>
      </c>
      <c r="AL46" s="62" t="str">
        <f t="shared" si="15"/>
        <v>a</v>
      </c>
      <c r="AM46" s="62" t="str">
        <f t="shared" si="15"/>
        <v>a</v>
      </c>
      <c r="AN46" s="62" t="str">
        <f t="shared" si="15"/>
        <v>a</v>
      </c>
      <c r="AO46" s="62" t="str">
        <f t="shared" si="15"/>
        <v>a</v>
      </c>
      <c r="AP46" s="62" t="str">
        <f t="shared" si="15"/>
        <v>a</v>
      </c>
      <c r="AQ46" s="62" t="str">
        <f t="shared" si="15"/>
        <v>a</v>
      </c>
      <c r="AR46" s="63"/>
      <c r="AS46" s="135"/>
      <c r="AT46" s="136"/>
      <c r="AU46" s="136"/>
      <c r="AV46" s="136"/>
      <c r="AW46" s="136"/>
      <c r="AX46" s="136"/>
      <c r="AY46" s="136"/>
      <c r="AZ46" s="137"/>
      <c r="BA46" s="37">
        <f t="shared" si="12"/>
        <v>16</v>
      </c>
      <c r="BB46" s="9">
        <f t="shared" si="5"/>
        <v>496</v>
      </c>
      <c r="BC46" s="10">
        <f t="shared" si="6"/>
        <v>89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464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62">
        <f t="shared" si="16"/>
        <v>1</v>
      </c>
      <c r="J47" s="62">
        <f t="shared" si="16"/>
        <v>1</v>
      </c>
      <c r="K47" s="62">
        <f t="shared" si="16"/>
        <v>1</v>
      </c>
      <c r="L47" s="63">
        <f t="shared" si="16"/>
        <v>1</v>
      </c>
      <c r="M47" s="135"/>
      <c r="N47" s="136"/>
      <c r="O47" s="136"/>
      <c r="P47" s="136"/>
      <c r="Q47" s="136"/>
      <c r="R47" s="136"/>
      <c r="S47" s="136"/>
      <c r="T47" s="137"/>
      <c r="U47" s="61">
        <v>1</v>
      </c>
      <c r="V47" s="62">
        <f t="shared" si="13"/>
        <v>1</v>
      </c>
      <c r="W47" s="62">
        <f t="shared" si="13"/>
        <v>1</v>
      </c>
      <c r="X47" s="62">
        <f t="shared" si="13"/>
        <v>1</v>
      </c>
      <c r="Y47" s="62">
        <f t="shared" si="13"/>
        <v>1</v>
      </c>
      <c r="Z47" s="62">
        <f t="shared" si="13"/>
        <v>1</v>
      </c>
      <c r="AA47" s="62">
        <f t="shared" si="13"/>
        <v>1</v>
      </c>
      <c r="AB47" s="63">
        <f t="shared" si="13"/>
        <v>1</v>
      </c>
      <c r="AC47" s="61" t="s">
        <v>124</v>
      </c>
      <c r="AD47" s="62" t="str">
        <f t="shared" si="14"/>
        <v>a</v>
      </c>
      <c r="AE47" s="62" t="str">
        <f t="shared" si="14"/>
        <v>a</v>
      </c>
      <c r="AF47" s="62" t="str">
        <f t="shared" si="14"/>
        <v>a</v>
      </c>
      <c r="AG47" s="62" t="str">
        <f t="shared" si="14"/>
        <v>a</v>
      </c>
      <c r="AH47" s="62" t="str">
        <f t="shared" si="14"/>
        <v>a</v>
      </c>
      <c r="AI47" s="62" t="str">
        <f t="shared" si="14"/>
        <v>a</v>
      </c>
      <c r="AJ47" s="63" t="str">
        <f t="shared" si="14"/>
        <v>a</v>
      </c>
      <c r="AK47" s="61" t="s">
        <v>124</v>
      </c>
      <c r="AL47" s="62" t="str">
        <f t="shared" si="15"/>
        <v>a</v>
      </c>
      <c r="AM47" s="62" t="str">
        <f t="shared" si="15"/>
        <v>a</v>
      </c>
      <c r="AN47" s="62" t="str">
        <f t="shared" si="15"/>
        <v>a</v>
      </c>
      <c r="AO47" s="62" t="str">
        <f t="shared" si="15"/>
        <v>a</v>
      </c>
      <c r="AP47" s="62" t="str">
        <f t="shared" si="15"/>
        <v>a</v>
      </c>
      <c r="AQ47" s="62" t="str">
        <f t="shared" si="15"/>
        <v>a</v>
      </c>
      <c r="AR47" s="63"/>
      <c r="AS47" s="135"/>
      <c r="AT47" s="136"/>
      <c r="AU47" s="136"/>
      <c r="AV47" s="136"/>
      <c r="AW47" s="136"/>
      <c r="AX47" s="136"/>
      <c r="AY47" s="136"/>
      <c r="AZ47" s="137"/>
      <c r="BA47" s="37">
        <f t="shared" si="12"/>
        <v>16</v>
      </c>
      <c r="BB47" s="9">
        <f t="shared" si="5"/>
        <v>480</v>
      </c>
      <c r="BC47" s="10">
        <f t="shared" si="6"/>
        <v>86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442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62">
        <f t="shared" si="16"/>
        <v>1</v>
      </c>
      <c r="J48" s="62">
        <f t="shared" si="16"/>
        <v>1</v>
      </c>
      <c r="K48" s="62">
        <f t="shared" si="16"/>
        <v>1</v>
      </c>
      <c r="L48" s="63">
        <f t="shared" si="16"/>
        <v>1</v>
      </c>
      <c r="M48" s="135"/>
      <c r="N48" s="136"/>
      <c r="O48" s="136"/>
      <c r="P48" s="136"/>
      <c r="Q48" s="136"/>
      <c r="R48" s="136"/>
      <c r="S48" s="136"/>
      <c r="T48" s="137"/>
      <c r="U48" s="61">
        <v>1</v>
      </c>
      <c r="V48" s="62">
        <f t="shared" si="13"/>
        <v>1</v>
      </c>
      <c r="W48" s="62">
        <f t="shared" si="13"/>
        <v>1</v>
      </c>
      <c r="X48" s="62">
        <f t="shared" si="13"/>
        <v>1</v>
      </c>
      <c r="Y48" s="62">
        <f t="shared" si="13"/>
        <v>1</v>
      </c>
      <c r="Z48" s="62">
        <f t="shared" si="13"/>
        <v>1</v>
      </c>
      <c r="AA48" s="62">
        <f t="shared" si="13"/>
        <v>1</v>
      </c>
      <c r="AB48" s="63">
        <f t="shared" si="13"/>
        <v>1</v>
      </c>
      <c r="AC48" s="61" t="s">
        <v>124</v>
      </c>
      <c r="AD48" s="62" t="str">
        <f t="shared" si="14"/>
        <v>a</v>
      </c>
      <c r="AE48" s="62" t="str">
        <f t="shared" si="14"/>
        <v>a</v>
      </c>
      <c r="AF48" s="62" t="str">
        <f t="shared" si="14"/>
        <v>a</v>
      </c>
      <c r="AG48" s="62" t="str">
        <f t="shared" si="14"/>
        <v>a</v>
      </c>
      <c r="AH48" s="62" t="str">
        <f t="shared" si="14"/>
        <v>a</v>
      </c>
      <c r="AI48" s="62" t="str">
        <f t="shared" si="14"/>
        <v>a</v>
      </c>
      <c r="AJ48" s="63" t="str">
        <f t="shared" si="14"/>
        <v>a</v>
      </c>
      <c r="AK48" s="61" t="s">
        <v>124</v>
      </c>
      <c r="AL48" s="62" t="str">
        <f t="shared" si="15"/>
        <v>a</v>
      </c>
      <c r="AM48" s="62" t="str">
        <f t="shared" si="15"/>
        <v>a</v>
      </c>
      <c r="AN48" s="62" t="str">
        <f t="shared" si="15"/>
        <v>a</v>
      </c>
      <c r="AO48" s="62" t="str">
        <f t="shared" si="15"/>
        <v>a</v>
      </c>
      <c r="AP48" s="62" t="str">
        <f t="shared" si="15"/>
        <v>a</v>
      </c>
      <c r="AQ48" s="62" t="str">
        <f t="shared" si="15"/>
        <v>a</v>
      </c>
      <c r="AR48" s="63"/>
      <c r="AS48" s="135"/>
      <c r="AT48" s="136"/>
      <c r="AU48" s="136"/>
      <c r="AV48" s="136"/>
      <c r="AW48" s="136"/>
      <c r="AX48" s="136"/>
      <c r="AY48" s="136"/>
      <c r="AZ48" s="137"/>
      <c r="BA48" s="37">
        <f t="shared" si="12"/>
        <v>16</v>
      </c>
      <c r="BB48" s="9">
        <f t="shared" si="5"/>
        <v>458</v>
      </c>
      <c r="BC48" s="10">
        <f t="shared" si="6"/>
        <v>82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510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62">
        <f t="shared" si="16"/>
        <v>1</v>
      </c>
      <c r="J49" s="62">
        <f t="shared" si="16"/>
        <v>1</v>
      </c>
      <c r="K49" s="62">
        <f t="shared" si="16"/>
        <v>1</v>
      </c>
      <c r="L49" s="63">
        <f t="shared" si="16"/>
        <v>1</v>
      </c>
      <c r="M49" s="135"/>
      <c r="N49" s="136"/>
      <c r="O49" s="136"/>
      <c r="P49" s="136"/>
      <c r="Q49" s="136"/>
      <c r="R49" s="136"/>
      <c r="S49" s="136"/>
      <c r="T49" s="137"/>
      <c r="U49" s="61">
        <v>1</v>
      </c>
      <c r="V49" s="62">
        <f t="shared" si="13"/>
        <v>1</v>
      </c>
      <c r="W49" s="62">
        <f t="shared" si="13"/>
        <v>1</v>
      </c>
      <c r="X49" s="62">
        <f t="shared" si="13"/>
        <v>1</v>
      </c>
      <c r="Y49" s="62">
        <f t="shared" si="13"/>
        <v>1</v>
      </c>
      <c r="Z49" s="62">
        <f t="shared" si="13"/>
        <v>1</v>
      </c>
      <c r="AA49" s="62">
        <f t="shared" si="13"/>
        <v>1</v>
      </c>
      <c r="AB49" s="63">
        <f t="shared" si="13"/>
        <v>1</v>
      </c>
      <c r="AC49" s="61">
        <v>1</v>
      </c>
      <c r="AD49" s="62">
        <f t="shared" si="14"/>
        <v>1</v>
      </c>
      <c r="AE49" s="62">
        <f t="shared" si="14"/>
        <v>1</v>
      </c>
      <c r="AF49" s="62">
        <f t="shared" si="14"/>
        <v>1</v>
      </c>
      <c r="AG49" s="62">
        <f t="shared" si="14"/>
        <v>1</v>
      </c>
      <c r="AH49" s="62">
        <f t="shared" si="14"/>
        <v>1</v>
      </c>
      <c r="AI49" s="62">
        <f t="shared" si="14"/>
        <v>1</v>
      </c>
      <c r="AJ49" s="63">
        <f t="shared" si="14"/>
        <v>1</v>
      </c>
      <c r="AK49" s="61" t="s">
        <v>124</v>
      </c>
      <c r="AL49" s="62" t="str">
        <f t="shared" si="15"/>
        <v>a</v>
      </c>
      <c r="AM49" s="62" t="str">
        <f t="shared" si="15"/>
        <v>a</v>
      </c>
      <c r="AN49" s="62" t="str">
        <f t="shared" si="15"/>
        <v>a</v>
      </c>
      <c r="AO49" s="62" t="str">
        <f t="shared" si="15"/>
        <v>a</v>
      </c>
      <c r="AP49" s="62" t="str">
        <f t="shared" si="15"/>
        <v>a</v>
      </c>
      <c r="AQ49" s="62" t="str">
        <f t="shared" si="15"/>
        <v>a</v>
      </c>
      <c r="AR49" s="63"/>
      <c r="AS49" s="135"/>
      <c r="AT49" s="136"/>
      <c r="AU49" s="136"/>
      <c r="AV49" s="136"/>
      <c r="AW49" s="136"/>
      <c r="AX49" s="136"/>
      <c r="AY49" s="136"/>
      <c r="AZ49" s="137"/>
      <c r="BA49" s="37">
        <f t="shared" si="12"/>
        <v>24</v>
      </c>
      <c r="BB49" s="9">
        <f t="shared" si="5"/>
        <v>534</v>
      </c>
      <c r="BC49" s="10">
        <f t="shared" si="6"/>
        <v>96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488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62">
        <f t="shared" si="16"/>
        <v>1</v>
      </c>
      <c r="J50" s="62">
        <f t="shared" si="16"/>
        <v>1</v>
      </c>
      <c r="K50" s="62">
        <f t="shared" si="16"/>
        <v>1</v>
      </c>
      <c r="L50" s="63">
        <f t="shared" si="16"/>
        <v>1</v>
      </c>
      <c r="M50" s="135"/>
      <c r="N50" s="136"/>
      <c r="O50" s="136"/>
      <c r="P50" s="136"/>
      <c r="Q50" s="136"/>
      <c r="R50" s="136"/>
      <c r="S50" s="136"/>
      <c r="T50" s="137"/>
      <c r="U50" s="61">
        <v>1</v>
      </c>
      <c r="V50" s="62">
        <f t="shared" si="13"/>
        <v>1</v>
      </c>
      <c r="W50" s="62">
        <f t="shared" si="13"/>
        <v>1</v>
      </c>
      <c r="X50" s="62">
        <f t="shared" si="13"/>
        <v>1</v>
      </c>
      <c r="Y50" s="62">
        <f t="shared" si="13"/>
        <v>1</v>
      </c>
      <c r="Z50" s="62">
        <f t="shared" si="13"/>
        <v>1</v>
      </c>
      <c r="AA50" s="62">
        <f t="shared" si="13"/>
        <v>1</v>
      </c>
      <c r="AB50" s="63">
        <f t="shared" si="13"/>
        <v>1</v>
      </c>
      <c r="AC50" s="61">
        <v>1</v>
      </c>
      <c r="AD50" s="62">
        <f t="shared" si="14"/>
        <v>1</v>
      </c>
      <c r="AE50" s="62">
        <f t="shared" si="14"/>
        <v>1</v>
      </c>
      <c r="AF50" s="62">
        <f t="shared" si="14"/>
        <v>1</v>
      </c>
      <c r="AG50" s="62">
        <f t="shared" si="14"/>
        <v>1</v>
      </c>
      <c r="AH50" s="62">
        <f t="shared" si="14"/>
        <v>1</v>
      </c>
      <c r="AI50" s="62">
        <f t="shared" si="14"/>
        <v>1</v>
      </c>
      <c r="AJ50" s="63">
        <f t="shared" si="14"/>
        <v>1</v>
      </c>
      <c r="AK50" s="61">
        <v>1</v>
      </c>
      <c r="AL50" s="62">
        <f t="shared" si="15"/>
        <v>1</v>
      </c>
      <c r="AM50" s="62">
        <f t="shared" si="15"/>
        <v>1</v>
      </c>
      <c r="AN50" s="62">
        <f t="shared" si="15"/>
        <v>1</v>
      </c>
      <c r="AO50" s="62">
        <f t="shared" si="15"/>
        <v>1</v>
      </c>
      <c r="AP50" s="62">
        <f t="shared" si="15"/>
        <v>1</v>
      </c>
      <c r="AQ50" s="62">
        <f t="shared" si="15"/>
        <v>1</v>
      </c>
      <c r="AR50" s="63"/>
      <c r="AS50" s="135"/>
      <c r="AT50" s="136"/>
      <c r="AU50" s="136"/>
      <c r="AV50" s="136"/>
      <c r="AW50" s="136"/>
      <c r="AX50" s="136"/>
      <c r="AY50" s="136"/>
      <c r="AZ50" s="137"/>
      <c r="BA50" s="37">
        <f t="shared" si="12"/>
        <v>31</v>
      </c>
      <c r="BB50" s="9">
        <f t="shared" si="5"/>
        <v>519</v>
      </c>
      <c r="BC50" s="10">
        <f t="shared" si="6"/>
        <v>93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496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62">
        <f t="shared" si="16"/>
        <v>1</v>
      </c>
      <c r="J51" s="62">
        <f t="shared" si="16"/>
        <v>1</v>
      </c>
      <c r="K51" s="62">
        <f t="shared" si="16"/>
        <v>1</v>
      </c>
      <c r="L51" s="63">
        <f t="shared" si="16"/>
        <v>1</v>
      </c>
      <c r="M51" s="135"/>
      <c r="N51" s="136"/>
      <c r="O51" s="136"/>
      <c r="P51" s="136"/>
      <c r="Q51" s="136"/>
      <c r="R51" s="136"/>
      <c r="S51" s="136"/>
      <c r="T51" s="137"/>
      <c r="U51" s="61">
        <v>1</v>
      </c>
      <c r="V51" s="62">
        <f t="shared" si="13"/>
        <v>1</v>
      </c>
      <c r="W51" s="62">
        <f t="shared" si="13"/>
        <v>1</v>
      </c>
      <c r="X51" s="62">
        <f t="shared" si="13"/>
        <v>1</v>
      </c>
      <c r="Y51" s="62">
        <f t="shared" si="13"/>
        <v>1</v>
      </c>
      <c r="Z51" s="62">
        <f t="shared" si="13"/>
        <v>1</v>
      </c>
      <c r="AA51" s="62">
        <f t="shared" si="13"/>
        <v>1</v>
      </c>
      <c r="AB51" s="63">
        <f t="shared" si="13"/>
        <v>1</v>
      </c>
      <c r="AC51" s="61">
        <v>1</v>
      </c>
      <c r="AD51" s="62">
        <f t="shared" si="14"/>
        <v>1</v>
      </c>
      <c r="AE51" s="62">
        <f t="shared" si="14"/>
        <v>1</v>
      </c>
      <c r="AF51" s="62">
        <f t="shared" si="14"/>
        <v>1</v>
      </c>
      <c r="AG51" s="62">
        <f t="shared" si="14"/>
        <v>1</v>
      </c>
      <c r="AH51" s="62">
        <f t="shared" si="14"/>
        <v>1</v>
      </c>
      <c r="AI51" s="62">
        <f t="shared" si="14"/>
        <v>1</v>
      </c>
      <c r="AJ51" s="63">
        <f t="shared" si="14"/>
        <v>1</v>
      </c>
      <c r="AK51" s="61" t="s">
        <v>124</v>
      </c>
      <c r="AL51" s="62" t="str">
        <f t="shared" si="15"/>
        <v>a</v>
      </c>
      <c r="AM51" s="62" t="str">
        <f t="shared" si="15"/>
        <v>a</v>
      </c>
      <c r="AN51" s="62" t="str">
        <f t="shared" si="15"/>
        <v>a</v>
      </c>
      <c r="AO51" s="62" t="str">
        <f t="shared" si="15"/>
        <v>a</v>
      </c>
      <c r="AP51" s="62" t="str">
        <f t="shared" si="15"/>
        <v>a</v>
      </c>
      <c r="AQ51" s="62" t="str">
        <f t="shared" si="15"/>
        <v>a</v>
      </c>
      <c r="AR51" s="63"/>
      <c r="AS51" s="135"/>
      <c r="AT51" s="136"/>
      <c r="AU51" s="136"/>
      <c r="AV51" s="136"/>
      <c r="AW51" s="136"/>
      <c r="AX51" s="136"/>
      <c r="AY51" s="136"/>
      <c r="AZ51" s="137"/>
      <c r="BA51" s="37">
        <f t="shared" si="12"/>
        <v>24</v>
      </c>
      <c r="BB51" s="9">
        <f t="shared" si="5"/>
        <v>520</v>
      </c>
      <c r="BC51" s="10">
        <f t="shared" si="6"/>
        <v>93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484</v>
      </c>
      <c r="E52" s="61" t="s">
        <v>124</v>
      </c>
      <c r="F52" s="62" t="str">
        <f t="shared" si="16"/>
        <v>a</v>
      </c>
      <c r="G52" s="62" t="str">
        <f t="shared" si="16"/>
        <v>a</v>
      </c>
      <c r="H52" s="62" t="str">
        <f t="shared" si="16"/>
        <v>a</v>
      </c>
      <c r="I52" s="62" t="str">
        <f t="shared" si="16"/>
        <v>a</v>
      </c>
      <c r="J52" s="62" t="str">
        <f t="shared" si="16"/>
        <v>a</v>
      </c>
      <c r="K52" s="62" t="str">
        <f t="shared" si="16"/>
        <v>a</v>
      </c>
      <c r="L52" s="63" t="str">
        <f t="shared" si="16"/>
        <v>a</v>
      </c>
      <c r="M52" s="135"/>
      <c r="N52" s="136"/>
      <c r="O52" s="136"/>
      <c r="P52" s="136"/>
      <c r="Q52" s="136"/>
      <c r="R52" s="136"/>
      <c r="S52" s="136"/>
      <c r="T52" s="137"/>
      <c r="U52" s="61">
        <v>1</v>
      </c>
      <c r="V52" s="62">
        <f t="shared" si="13"/>
        <v>1</v>
      </c>
      <c r="W52" s="62">
        <f t="shared" si="13"/>
        <v>1</v>
      </c>
      <c r="X52" s="62">
        <f t="shared" si="13"/>
        <v>1</v>
      </c>
      <c r="Y52" s="62">
        <f t="shared" si="13"/>
        <v>1</v>
      </c>
      <c r="Z52" s="62">
        <f t="shared" si="13"/>
        <v>1</v>
      </c>
      <c r="AA52" s="62">
        <f t="shared" si="13"/>
        <v>1</v>
      </c>
      <c r="AB52" s="63">
        <f t="shared" si="13"/>
        <v>1</v>
      </c>
      <c r="AC52" s="61">
        <v>1</v>
      </c>
      <c r="AD52" s="62">
        <f t="shared" si="14"/>
        <v>1</v>
      </c>
      <c r="AE52" s="62">
        <f t="shared" si="14"/>
        <v>1</v>
      </c>
      <c r="AF52" s="62">
        <f t="shared" si="14"/>
        <v>1</v>
      </c>
      <c r="AG52" s="62">
        <f t="shared" si="14"/>
        <v>1</v>
      </c>
      <c r="AH52" s="62">
        <f t="shared" si="14"/>
        <v>1</v>
      </c>
      <c r="AI52" s="62">
        <f t="shared" si="14"/>
        <v>1</v>
      </c>
      <c r="AJ52" s="63">
        <f t="shared" si="14"/>
        <v>1</v>
      </c>
      <c r="AK52" s="61">
        <v>1</v>
      </c>
      <c r="AL52" s="62">
        <f t="shared" si="15"/>
        <v>1</v>
      </c>
      <c r="AM52" s="62">
        <f t="shared" si="15"/>
        <v>1</v>
      </c>
      <c r="AN52" s="62">
        <f t="shared" si="15"/>
        <v>1</v>
      </c>
      <c r="AO52" s="62">
        <f t="shared" si="15"/>
        <v>1</v>
      </c>
      <c r="AP52" s="62">
        <f t="shared" si="15"/>
        <v>1</v>
      </c>
      <c r="AQ52" s="62">
        <f t="shared" si="15"/>
        <v>1</v>
      </c>
      <c r="AR52" s="63"/>
      <c r="AS52" s="135"/>
      <c r="AT52" s="136"/>
      <c r="AU52" s="136"/>
      <c r="AV52" s="136"/>
      <c r="AW52" s="136"/>
      <c r="AX52" s="136"/>
      <c r="AY52" s="136"/>
      <c r="AZ52" s="137"/>
      <c r="BA52" s="37">
        <f t="shared" si="12"/>
        <v>23</v>
      </c>
      <c r="BB52" s="9">
        <f t="shared" si="5"/>
        <v>507</v>
      </c>
      <c r="BC52" s="10">
        <f t="shared" si="6"/>
        <v>91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478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62">
        <f t="shared" si="16"/>
        <v>1</v>
      </c>
      <c r="J53" s="62">
        <f t="shared" si="16"/>
        <v>1</v>
      </c>
      <c r="K53" s="62">
        <f t="shared" si="16"/>
        <v>1</v>
      </c>
      <c r="L53" s="63">
        <f t="shared" si="16"/>
        <v>1</v>
      </c>
      <c r="M53" s="135"/>
      <c r="N53" s="136"/>
      <c r="O53" s="136"/>
      <c r="P53" s="136"/>
      <c r="Q53" s="136"/>
      <c r="R53" s="136"/>
      <c r="S53" s="136"/>
      <c r="T53" s="137"/>
      <c r="U53" s="61">
        <v>1</v>
      </c>
      <c r="V53" s="62">
        <f t="shared" si="13"/>
        <v>1</v>
      </c>
      <c r="W53" s="62">
        <f t="shared" si="13"/>
        <v>1</v>
      </c>
      <c r="X53" s="62">
        <f t="shared" si="13"/>
        <v>1</v>
      </c>
      <c r="Y53" s="62">
        <f t="shared" si="13"/>
        <v>1</v>
      </c>
      <c r="Z53" s="62">
        <f t="shared" si="13"/>
        <v>1</v>
      </c>
      <c r="AA53" s="62">
        <f t="shared" si="13"/>
        <v>1</v>
      </c>
      <c r="AB53" s="63">
        <f t="shared" si="13"/>
        <v>1</v>
      </c>
      <c r="AC53" s="61">
        <v>1</v>
      </c>
      <c r="AD53" s="62">
        <f t="shared" si="14"/>
        <v>1</v>
      </c>
      <c r="AE53" s="62">
        <f t="shared" si="14"/>
        <v>1</v>
      </c>
      <c r="AF53" s="62">
        <f t="shared" si="14"/>
        <v>1</v>
      </c>
      <c r="AG53" s="62">
        <f t="shared" si="14"/>
        <v>1</v>
      </c>
      <c r="AH53" s="62">
        <f t="shared" si="14"/>
        <v>1</v>
      </c>
      <c r="AI53" s="62">
        <f t="shared" si="14"/>
        <v>1</v>
      </c>
      <c r="AJ53" s="63">
        <f t="shared" si="14"/>
        <v>1</v>
      </c>
      <c r="AK53" s="61" t="s">
        <v>124</v>
      </c>
      <c r="AL53" s="62" t="str">
        <f t="shared" si="15"/>
        <v>a</v>
      </c>
      <c r="AM53" s="62" t="str">
        <f t="shared" si="15"/>
        <v>a</v>
      </c>
      <c r="AN53" s="62" t="str">
        <f t="shared" si="15"/>
        <v>a</v>
      </c>
      <c r="AO53" s="62" t="str">
        <f t="shared" si="15"/>
        <v>a</v>
      </c>
      <c r="AP53" s="62" t="str">
        <f t="shared" si="15"/>
        <v>a</v>
      </c>
      <c r="AQ53" s="62" t="str">
        <f t="shared" si="15"/>
        <v>a</v>
      </c>
      <c r="AR53" s="63"/>
      <c r="AS53" s="135"/>
      <c r="AT53" s="136"/>
      <c r="AU53" s="136"/>
      <c r="AV53" s="136"/>
      <c r="AW53" s="136"/>
      <c r="AX53" s="136"/>
      <c r="AY53" s="136"/>
      <c r="AZ53" s="137"/>
      <c r="BA53" s="37">
        <f t="shared" si="12"/>
        <v>24</v>
      </c>
      <c r="BB53" s="9">
        <f t="shared" si="5"/>
        <v>502</v>
      </c>
      <c r="BC53" s="10">
        <f t="shared" si="6"/>
        <v>90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464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62">
        <f t="shared" si="16"/>
        <v>1</v>
      </c>
      <c r="J54" s="62">
        <f t="shared" si="16"/>
        <v>1</v>
      </c>
      <c r="K54" s="62">
        <f t="shared" si="16"/>
        <v>1</v>
      </c>
      <c r="L54" s="63">
        <f t="shared" si="16"/>
        <v>1</v>
      </c>
      <c r="M54" s="135"/>
      <c r="N54" s="136"/>
      <c r="O54" s="136"/>
      <c r="P54" s="136"/>
      <c r="Q54" s="136"/>
      <c r="R54" s="136"/>
      <c r="S54" s="136"/>
      <c r="T54" s="137"/>
      <c r="U54" s="61">
        <v>1</v>
      </c>
      <c r="V54" s="62">
        <f t="shared" si="13"/>
        <v>1</v>
      </c>
      <c r="W54" s="62">
        <f t="shared" si="13"/>
        <v>1</v>
      </c>
      <c r="X54" s="62">
        <f t="shared" si="13"/>
        <v>1</v>
      </c>
      <c r="Y54" s="62">
        <f t="shared" si="13"/>
        <v>1</v>
      </c>
      <c r="Z54" s="62">
        <f t="shared" si="13"/>
        <v>1</v>
      </c>
      <c r="AA54" s="62">
        <f t="shared" si="13"/>
        <v>1</v>
      </c>
      <c r="AB54" s="63">
        <f t="shared" si="13"/>
        <v>1</v>
      </c>
      <c r="AC54" s="61">
        <v>1</v>
      </c>
      <c r="AD54" s="62">
        <f t="shared" si="14"/>
        <v>1</v>
      </c>
      <c r="AE54" s="62">
        <f t="shared" si="14"/>
        <v>1</v>
      </c>
      <c r="AF54" s="62">
        <f t="shared" si="14"/>
        <v>1</v>
      </c>
      <c r="AG54" s="62">
        <f t="shared" si="14"/>
        <v>1</v>
      </c>
      <c r="AH54" s="62">
        <f t="shared" si="14"/>
        <v>1</v>
      </c>
      <c r="AI54" s="62">
        <f t="shared" si="14"/>
        <v>1</v>
      </c>
      <c r="AJ54" s="63">
        <f t="shared" si="14"/>
        <v>1</v>
      </c>
      <c r="AK54" s="61" t="s">
        <v>124</v>
      </c>
      <c r="AL54" s="62" t="str">
        <f t="shared" si="15"/>
        <v>a</v>
      </c>
      <c r="AM54" s="62" t="str">
        <f t="shared" si="15"/>
        <v>a</v>
      </c>
      <c r="AN54" s="62" t="str">
        <f t="shared" si="15"/>
        <v>a</v>
      </c>
      <c r="AO54" s="62" t="str">
        <f t="shared" si="15"/>
        <v>a</v>
      </c>
      <c r="AP54" s="62" t="str">
        <f t="shared" si="15"/>
        <v>a</v>
      </c>
      <c r="AQ54" s="62" t="str">
        <f t="shared" si="15"/>
        <v>a</v>
      </c>
      <c r="AR54" s="63"/>
      <c r="AS54" s="135"/>
      <c r="AT54" s="136"/>
      <c r="AU54" s="136"/>
      <c r="AV54" s="136"/>
      <c r="AW54" s="136"/>
      <c r="AX54" s="136"/>
      <c r="AY54" s="136"/>
      <c r="AZ54" s="137"/>
      <c r="BA54" s="37">
        <f t="shared" si="12"/>
        <v>24</v>
      </c>
      <c r="BB54" s="9">
        <f t="shared" si="5"/>
        <v>488</v>
      </c>
      <c r="BC54" s="10">
        <f t="shared" si="6"/>
        <v>88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446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62">
        <f t="shared" si="16"/>
        <v>1</v>
      </c>
      <c r="J55" s="62">
        <f t="shared" si="16"/>
        <v>1</v>
      </c>
      <c r="K55" s="62">
        <f t="shared" si="16"/>
        <v>1</v>
      </c>
      <c r="L55" s="63">
        <f t="shared" si="16"/>
        <v>1</v>
      </c>
      <c r="M55" s="135"/>
      <c r="N55" s="136"/>
      <c r="O55" s="136"/>
      <c r="P55" s="136"/>
      <c r="Q55" s="136"/>
      <c r="R55" s="136"/>
      <c r="S55" s="136"/>
      <c r="T55" s="137"/>
      <c r="U55" s="61">
        <v>1</v>
      </c>
      <c r="V55" s="62">
        <f t="shared" si="13"/>
        <v>1</v>
      </c>
      <c r="W55" s="62">
        <f t="shared" si="13"/>
        <v>1</v>
      </c>
      <c r="X55" s="62">
        <f t="shared" si="13"/>
        <v>1</v>
      </c>
      <c r="Y55" s="62">
        <f t="shared" si="13"/>
        <v>1</v>
      </c>
      <c r="Z55" s="62">
        <f t="shared" si="13"/>
        <v>1</v>
      </c>
      <c r="AA55" s="62">
        <f t="shared" si="13"/>
        <v>1</v>
      </c>
      <c r="AB55" s="63">
        <f t="shared" si="13"/>
        <v>1</v>
      </c>
      <c r="AC55" s="61" t="s">
        <v>124</v>
      </c>
      <c r="AD55" s="62" t="str">
        <f t="shared" si="14"/>
        <v>a</v>
      </c>
      <c r="AE55" s="62" t="str">
        <f t="shared" si="14"/>
        <v>a</v>
      </c>
      <c r="AF55" s="62" t="str">
        <f t="shared" si="14"/>
        <v>a</v>
      </c>
      <c r="AG55" s="62" t="str">
        <f t="shared" si="14"/>
        <v>a</v>
      </c>
      <c r="AH55" s="62" t="str">
        <f t="shared" si="14"/>
        <v>a</v>
      </c>
      <c r="AI55" s="62" t="str">
        <f t="shared" si="14"/>
        <v>a</v>
      </c>
      <c r="AJ55" s="63" t="str">
        <f t="shared" si="14"/>
        <v>a</v>
      </c>
      <c r="AK55" s="61">
        <v>1</v>
      </c>
      <c r="AL55" s="62">
        <f t="shared" si="15"/>
        <v>1</v>
      </c>
      <c r="AM55" s="62">
        <f t="shared" si="15"/>
        <v>1</v>
      </c>
      <c r="AN55" s="62">
        <f t="shared" si="15"/>
        <v>1</v>
      </c>
      <c r="AO55" s="62">
        <f t="shared" si="15"/>
        <v>1</v>
      </c>
      <c r="AP55" s="62">
        <f t="shared" si="15"/>
        <v>1</v>
      </c>
      <c r="AQ55" s="62">
        <f t="shared" si="15"/>
        <v>1</v>
      </c>
      <c r="AR55" s="63"/>
      <c r="AS55" s="135"/>
      <c r="AT55" s="136"/>
      <c r="AU55" s="136"/>
      <c r="AV55" s="136"/>
      <c r="AW55" s="136"/>
      <c r="AX55" s="136"/>
      <c r="AY55" s="136"/>
      <c r="AZ55" s="137"/>
      <c r="BA55" s="37">
        <f t="shared" si="12"/>
        <v>23</v>
      </c>
      <c r="BB55" s="9">
        <f t="shared" si="5"/>
        <v>469</v>
      </c>
      <c r="BC55" s="10">
        <f t="shared" si="6"/>
        <v>84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494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62">
        <f t="shared" si="16"/>
        <v>1</v>
      </c>
      <c r="J56" s="62">
        <f t="shared" si="16"/>
        <v>1</v>
      </c>
      <c r="K56" s="62">
        <f t="shared" si="16"/>
        <v>1</v>
      </c>
      <c r="L56" s="63">
        <f t="shared" si="16"/>
        <v>1</v>
      </c>
      <c r="M56" s="135"/>
      <c r="N56" s="136"/>
      <c r="O56" s="136"/>
      <c r="P56" s="136"/>
      <c r="Q56" s="136"/>
      <c r="R56" s="136"/>
      <c r="S56" s="136"/>
      <c r="T56" s="137"/>
      <c r="U56" s="61">
        <v>1</v>
      </c>
      <c r="V56" s="62">
        <f t="shared" si="13"/>
        <v>1</v>
      </c>
      <c r="W56" s="62">
        <f t="shared" si="13"/>
        <v>1</v>
      </c>
      <c r="X56" s="62">
        <f t="shared" si="13"/>
        <v>1</v>
      </c>
      <c r="Y56" s="62">
        <f t="shared" si="13"/>
        <v>1</v>
      </c>
      <c r="Z56" s="62">
        <f t="shared" si="13"/>
        <v>1</v>
      </c>
      <c r="AA56" s="62">
        <f t="shared" si="13"/>
        <v>1</v>
      </c>
      <c r="AB56" s="63">
        <f t="shared" si="13"/>
        <v>1</v>
      </c>
      <c r="AC56" s="61">
        <v>1</v>
      </c>
      <c r="AD56" s="62">
        <f t="shared" si="14"/>
        <v>1</v>
      </c>
      <c r="AE56" s="62">
        <f t="shared" si="14"/>
        <v>1</v>
      </c>
      <c r="AF56" s="62">
        <f t="shared" si="14"/>
        <v>1</v>
      </c>
      <c r="AG56" s="62">
        <f t="shared" si="14"/>
        <v>1</v>
      </c>
      <c r="AH56" s="62">
        <f t="shared" si="14"/>
        <v>1</v>
      </c>
      <c r="AI56" s="62">
        <f t="shared" si="14"/>
        <v>1</v>
      </c>
      <c r="AJ56" s="63">
        <f t="shared" si="14"/>
        <v>1</v>
      </c>
      <c r="AK56" s="61" t="s">
        <v>124</v>
      </c>
      <c r="AL56" s="62" t="str">
        <f t="shared" si="15"/>
        <v>a</v>
      </c>
      <c r="AM56" s="62" t="str">
        <f t="shared" si="15"/>
        <v>a</v>
      </c>
      <c r="AN56" s="62" t="str">
        <f t="shared" si="15"/>
        <v>a</v>
      </c>
      <c r="AO56" s="62" t="str">
        <f t="shared" si="15"/>
        <v>a</v>
      </c>
      <c r="AP56" s="62" t="str">
        <f t="shared" si="15"/>
        <v>a</v>
      </c>
      <c r="AQ56" s="62" t="str">
        <f t="shared" si="15"/>
        <v>a</v>
      </c>
      <c r="AR56" s="63"/>
      <c r="AS56" s="135"/>
      <c r="AT56" s="136"/>
      <c r="AU56" s="136"/>
      <c r="AV56" s="136"/>
      <c r="AW56" s="136"/>
      <c r="AX56" s="136"/>
      <c r="AY56" s="136"/>
      <c r="AZ56" s="137"/>
      <c r="BA56" s="37">
        <f t="shared" si="12"/>
        <v>24</v>
      </c>
      <c r="BB56" s="9">
        <f t="shared" si="5"/>
        <v>518</v>
      </c>
      <c r="BC56" s="10">
        <f t="shared" si="6"/>
        <v>93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462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62">
        <f t="shared" si="16"/>
        <v>1</v>
      </c>
      <c r="J57" s="62">
        <f t="shared" si="16"/>
        <v>1</v>
      </c>
      <c r="K57" s="62">
        <f t="shared" si="16"/>
        <v>1</v>
      </c>
      <c r="L57" s="63">
        <f t="shared" si="16"/>
        <v>1</v>
      </c>
      <c r="M57" s="135"/>
      <c r="N57" s="136"/>
      <c r="O57" s="136"/>
      <c r="P57" s="136"/>
      <c r="Q57" s="136"/>
      <c r="R57" s="136"/>
      <c r="S57" s="136"/>
      <c r="T57" s="137"/>
      <c r="U57" s="61">
        <v>1</v>
      </c>
      <c r="V57" s="62">
        <f t="shared" si="13"/>
        <v>1</v>
      </c>
      <c r="W57" s="62">
        <f t="shared" si="13"/>
        <v>1</v>
      </c>
      <c r="X57" s="62">
        <f t="shared" si="13"/>
        <v>1</v>
      </c>
      <c r="Y57" s="62">
        <f t="shared" si="13"/>
        <v>1</v>
      </c>
      <c r="Z57" s="62">
        <f t="shared" si="13"/>
        <v>1</v>
      </c>
      <c r="AA57" s="62">
        <f t="shared" si="13"/>
        <v>1</v>
      </c>
      <c r="AB57" s="63">
        <f t="shared" si="13"/>
        <v>1</v>
      </c>
      <c r="AC57" s="61">
        <v>1</v>
      </c>
      <c r="AD57" s="62">
        <f t="shared" si="14"/>
        <v>1</v>
      </c>
      <c r="AE57" s="62">
        <f t="shared" si="14"/>
        <v>1</v>
      </c>
      <c r="AF57" s="62">
        <f t="shared" si="14"/>
        <v>1</v>
      </c>
      <c r="AG57" s="62">
        <f t="shared" si="14"/>
        <v>1</v>
      </c>
      <c r="AH57" s="62">
        <f t="shared" si="14"/>
        <v>1</v>
      </c>
      <c r="AI57" s="62">
        <f t="shared" si="14"/>
        <v>1</v>
      </c>
      <c r="AJ57" s="63">
        <f t="shared" si="14"/>
        <v>1</v>
      </c>
      <c r="AK57" s="61">
        <v>1</v>
      </c>
      <c r="AL57" s="62">
        <f t="shared" si="15"/>
        <v>1</v>
      </c>
      <c r="AM57" s="62">
        <f t="shared" si="15"/>
        <v>1</v>
      </c>
      <c r="AN57" s="62">
        <f t="shared" si="15"/>
        <v>1</v>
      </c>
      <c r="AO57" s="62">
        <f t="shared" si="15"/>
        <v>1</v>
      </c>
      <c r="AP57" s="62">
        <f t="shared" si="15"/>
        <v>1</v>
      </c>
      <c r="AQ57" s="62">
        <f t="shared" si="15"/>
        <v>1</v>
      </c>
      <c r="AR57" s="63"/>
      <c r="AS57" s="135"/>
      <c r="AT57" s="136"/>
      <c r="AU57" s="136"/>
      <c r="AV57" s="136"/>
      <c r="AW57" s="136"/>
      <c r="AX57" s="136"/>
      <c r="AY57" s="136"/>
      <c r="AZ57" s="137"/>
      <c r="BA57" s="37">
        <f t="shared" si="12"/>
        <v>31</v>
      </c>
      <c r="BB57" s="9">
        <f t="shared" si="5"/>
        <v>493</v>
      </c>
      <c r="BC57" s="10">
        <f t="shared" si="6"/>
        <v>89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510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62">
        <f t="shared" si="16"/>
        <v>1</v>
      </c>
      <c r="J58" s="62">
        <f t="shared" si="16"/>
        <v>1</v>
      </c>
      <c r="K58" s="62">
        <f t="shared" si="16"/>
        <v>1</v>
      </c>
      <c r="L58" s="63">
        <f t="shared" si="16"/>
        <v>1</v>
      </c>
      <c r="M58" s="135"/>
      <c r="N58" s="136"/>
      <c r="O58" s="136"/>
      <c r="P58" s="136"/>
      <c r="Q58" s="136"/>
      <c r="R58" s="136"/>
      <c r="S58" s="136"/>
      <c r="T58" s="137"/>
      <c r="U58" s="61">
        <v>1</v>
      </c>
      <c r="V58" s="62">
        <f t="shared" ref="V58:AB73" si="17">U58</f>
        <v>1</v>
      </c>
      <c r="W58" s="62">
        <f t="shared" si="17"/>
        <v>1</v>
      </c>
      <c r="X58" s="62">
        <f t="shared" si="17"/>
        <v>1</v>
      </c>
      <c r="Y58" s="62">
        <f t="shared" si="17"/>
        <v>1</v>
      </c>
      <c r="Z58" s="62">
        <f t="shared" si="17"/>
        <v>1</v>
      </c>
      <c r="AA58" s="62">
        <f t="shared" si="17"/>
        <v>1</v>
      </c>
      <c r="AB58" s="63">
        <f t="shared" si="17"/>
        <v>1</v>
      </c>
      <c r="AC58" s="61">
        <v>1</v>
      </c>
      <c r="AD58" s="62">
        <f t="shared" ref="AD58:AJ73" si="18">AC58</f>
        <v>1</v>
      </c>
      <c r="AE58" s="62">
        <f t="shared" si="18"/>
        <v>1</v>
      </c>
      <c r="AF58" s="62">
        <f t="shared" si="18"/>
        <v>1</v>
      </c>
      <c r="AG58" s="62">
        <f t="shared" si="18"/>
        <v>1</v>
      </c>
      <c r="AH58" s="62">
        <f t="shared" si="18"/>
        <v>1</v>
      </c>
      <c r="AI58" s="62">
        <f t="shared" si="18"/>
        <v>1</v>
      </c>
      <c r="AJ58" s="63">
        <f t="shared" si="18"/>
        <v>1</v>
      </c>
      <c r="AK58" s="61">
        <v>1</v>
      </c>
      <c r="AL58" s="62">
        <f t="shared" ref="AL58:AQ73" si="19">AK58</f>
        <v>1</v>
      </c>
      <c r="AM58" s="62">
        <f t="shared" si="19"/>
        <v>1</v>
      </c>
      <c r="AN58" s="62">
        <f t="shared" si="19"/>
        <v>1</v>
      </c>
      <c r="AO58" s="62">
        <f t="shared" si="19"/>
        <v>1</v>
      </c>
      <c r="AP58" s="62">
        <f t="shared" si="19"/>
        <v>1</v>
      </c>
      <c r="AQ58" s="62">
        <f t="shared" si="19"/>
        <v>1</v>
      </c>
      <c r="AR58" s="63"/>
      <c r="AS58" s="135"/>
      <c r="AT58" s="136"/>
      <c r="AU58" s="136"/>
      <c r="AV58" s="136"/>
      <c r="AW58" s="136"/>
      <c r="AX58" s="136"/>
      <c r="AY58" s="136"/>
      <c r="AZ58" s="137"/>
      <c r="BA58" s="37">
        <f t="shared" si="12"/>
        <v>31</v>
      </c>
      <c r="BB58" s="9">
        <f t="shared" si="5"/>
        <v>541</v>
      </c>
      <c r="BC58" s="10">
        <f t="shared" si="6"/>
        <v>97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502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62">
        <f t="shared" si="16"/>
        <v>1</v>
      </c>
      <c r="J59" s="62">
        <f t="shared" si="16"/>
        <v>1</v>
      </c>
      <c r="K59" s="62">
        <f t="shared" si="16"/>
        <v>1</v>
      </c>
      <c r="L59" s="63">
        <f t="shared" si="16"/>
        <v>1</v>
      </c>
      <c r="M59" s="135"/>
      <c r="N59" s="136"/>
      <c r="O59" s="136"/>
      <c r="P59" s="136"/>
      <c r="Q59" s="136"/>
      <c r="R59" s="136"/>
      <c r="S59" s="136"/>
      <c r="T59" s="137"/>
      <c r="U59" s="61">
        <v>1</v>
      </c>
      <c r="V59" s="62">
        <f t="shared" si="17"/>
        <v>1</v>
      </c>
      <c r="W59" s="62">
        <f t="shared" si="17"/>
        <v>1</v>
      </c>
      <c r="X59" s="62">
        <f t="shared" si="17"/>
        <v>1</v>
      </c>
      <c r="Y59" s="62">
        <f t="shared" si="17"/>
        <v>1</v>
      </c>
      <c r="Z59" s="62">
        <f t="shared" si="17"/>
        <v>1</v>
      </c>
      <c r="AA59" s="62">
        <f t="shared" si="17"/>
        <v>1</v>
      </c>
      <c r="AB59" s="63">
        <f t="shared" si="17"/>
        <v>1</v>
      </c>
      <c r="AC59" s="61">
        <v>1</v>
      </c>
      <c r="AD59" s="62">
        <f t="shared" si="18"/>
        <v>1</v>
      </c>
      <c r="AE59" s="62">
        <f t="shared" si="18"/>
        <v>1</v>
      </c>
      <c r="AF59" s="62">
        <f t="shared" si="18"/>
        <v>1</v>
      </c>
      <c r="AG59" s="62">
        <f t="shared" si="18"/>
        <v>1</v>
      </c>
      <c r="AH59" s="62">
        <f t="shared" si="18"/>
        <v>1</v>
      </c>
      <c r="AI59" s="62">
        <f t="shared" si="18"/>
        <v>1</v>
      </c>
      <c r="AJ59" s="63">
        <f t="shared" si="18"/>
        <v>1</v>
      </c>
      <c r="AK59" s="61">
        <v>1</v>
      </c>
      <c r="AL59" s="62">
        <f t="shared" si="19"/>
        <v>1</v>
      </c>
      <c r="AM59" s="62">
        <f t="shared" si="19"/>
        <v>1</v>
      </c>
      <c r="AN59" s="62">
        <f t="shared" si="19"/>
        <v>1</v>
      </c>
      <c r="AO59" s="62">
        <f t="shared" si="19"/>
        <v>1</v>
      </c>
      <c r="AP59" s="62">
        <f t="shared" si="19"/>
        <v>1</v>
      </c>
      <c r="AQ59" s="62">
        <f t="shared" si="19"/>
        <v>1</v>
      </c>
      <c r="AR59" s="63"/>
      <c r="AS59" s="135"/>
      <c r="AT59" s="136"/>
      <c r="AU59" s="136"/>
      <c r="AV59" s="136"/>
      <c r="AW59" s="136"/>
      <c r="AX59" s="136"/>
      <c r="AY59" s="136"/>
      <c r="AZ59" s="137"/>
      <c r="BA59" s="37">
        <f t="shared" si="12"/>
        <v>31</v>
      </c>
      <c r="BB59" s="9">
        <f t="shared" si="5"/>
        <v>533</v>
      </c>
      <c r="BC59" s="10">
        <f t="shared" si="6"/>
        <v>96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422</v>
      </c>
      <c r="E60" s="61">
        <v>1</v>
      </c>
      <c r="F60" s="62">
        <f t="shared" ref="F60:L73" si="20">E60</f>
        <v>1</v>
      </c>
      <c r="G60" s="62">
        <f t="shared" si="20"/>
        <v>1</v>
      </c>
      <c r="H60" s="62">
        <f t="shared" si="20"/>
        <v>1</v>
      </c>
      <c r="I60" s="62">
        <f t="shared" si="20"/>
        <v>1</v>
      </c>
      <c r="J60" s="62">
        <f t="shared" si="20"/>
        <v>1</v>
      </c>
      <c r="K60" s="62">
        <f t="shared" si="20"/>
        <v>1</v>
      </c>
      <c r="L60" s="63">
        <f t="shared" si="20"/>
        <v>1</v>
      </c>
      <c r="M60" s="135"/>
      <c r="N60" s="136"/>
      <c r="O60" s="136"/>
      <c r="P60" s="136"/>
      <c r="Q60" s="136"/>
      <c r="R60" s="136"/>
      <c r="S60" s="136"/>
      <c r="T60" s="137"/>
      <c r="U60" s="61">
        <v>1</v>
      </c>
      <c r="V60" s="62">
        <f t="shared" si="17"/>
        <v>1</v>
      </c>
      <c r="W60" s="62">
        <f t="shared" si="17"/>
        <v>1</v>
      </c>
      <c r="X60" s="62">
        <f t="shared" si="17"/>
        <v>1</v>
      </c>
      <c r="Y60" s="62">
        <f t="shared" si="17"/>
        <v>1</v>
      </c>
      <c r="Z60" s="62">
        <f t="shared" si="17"/>
        <v>1</v>
      </c>
      <c r="AA60" s="62">
        <f t="shared" si="17"/>
        <v>1</v>
      </c>
      <c r="AB60" s="63">
        <f t="shared" si="17"/>
        <v>1</v>
      </c>
      <c r="AC60" s="61" t="s">
        <v>124</v>
      </c>
      <c r="AD60" s="62" t="str">
        <f t="shared" si="18"/>
        <v>a</v>
      </c>
      <c r="AE60" s="62" t="str">
        <f t="shared" si="18"/>
        <v>a</v>
      </c>
      <c r="AF60" s="62" t="str">
        <f t="shared" si="18"/>
        <v>a</v>
      </c>
      <c r="AG60" s="62" t="str">
        <f t="shared" si="18"/>
        <v>a</v>
      </c>
      <c r="AH60" s="62" t="str">
        <f t="shared" si="18"/>
        <v>a</v>
      </c>
      <c r="AI60" s="62" t="str">
        <f t="shared" si="18"/>
        <v>a</v>
      </c>
      <c r="AJ60" s="63" t="str">
        <f t="shared" si="18"/>
        <v>a</v>
      </c>
      <c r="AK60" s="61" t="s">
        <v>124</v>
      </c>
      <c r="AL60" s="62" t="str">
        <f t="shared" si="19"/>
        <v>a</v>
      </c>
      <c r="AM60" s="62" t="str">
        <f t="shared" si="19"/>
        <v>a</v>
      </c>
      <c r="AN60" s="62" t="str">
        <f t="shared" si="19"/>
        <v>a</v>
      </c>
      <c r="AO60" s="62" t="str">
        <f t="shared" si="19"/>
        <v>a</v>
      </c>
      <c r="AP60" s="62" t="str">
        <f t="shared" si="19"/>
        <v>a</v>
      </c>
      <c r="AQ60" s="62" t="str">
        <f t="shared" si="19"/>
        <v>a</v>
      </c>
      <c r="AR60" s="63"/>
      <c r="AS60" s="135"/>
      <c r="AT60" s="136"/>
      <c r="AU60" s="136"/>
      <c r="AV60" s="136"/>
      <c r="AW60" s="136"/>
      <c r="AX60" s="136"/>
      <c r="AY60" s="136"/>
      <c r="AZ60" s="137"/>
      <c r="BA60" s="37">
        <f t="shared" si="12"/>
        <v>16</v>
      </c>
      <c r="BB60" s="9">
        <f t="shared" si="5"/>
        <v>438</v>
      </c>
      <c r="BC60" s="10">
        <f t="shared" si="6"/>
        <v>79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494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62">
        <f t="shared" si="20"/>
        <v>1</v>
      </c>
      <c r="J61" s="62">
        <f t="shared" si="20"/>
        <v>1</v>
      </c>
      <c r="K61" s="62">
        <f t="shared" si="20"/>
        <v>1</v>
      </c>
      <c r="L61" s="63">
        <f t="shared" si="20"/>
        <v>1</v>
      </c>
      <c r="M61" s="135"/>
      <c r="N61" s="136"/>
      <c r="O61" s="136"/>
      <c r="P61" s="136"/>
      <c r="Q61" s="136"/>
      <c r="R61" s="136"/>
      <c r="S61" s="136"/>
      <c r="T61" s="137"/>
      <c r="U61" s="61">
        <v>1</v>
      </c>
      <c r="V61" s="62">
        <f t="shared" si="17"/>
        <v>1</v>
      </c>
      <c r="W61" s="62">
        <f t="shared" si="17"/>
        <v>1</v>
      </c>
      <c r="X61" s="62">
        <f t="shared" si="17"/>
        <v>1</v>
      </c>
      <c r="Y61" s="62">
        <f t="shared" si="17"/>
        <v>1</v>
      </c>
      <c r="Z61" s="62">
        <f t="shared" si="17"/>
        <v>1</v>
      </c>
      <c r="AA61" s="62">
        <f t="shared" si="17"/>
        <v>1</v>
      </c>
      <c r="AB61" s="63">
        <f t="shared" si="17"/>
        <v>1</v>
      </c>
      <c r="AC61" s="61">
        <v>1</v>
      </c>
      <c r="AD61" s="62">
        <f t="shared" si="18"/>
        <v>1</v>
      </c>
      <c r="AE61" s="62">
        <f t="shared" si="18"/>
        <v>1</v>
      </c>
      <c r="AF61" s="62">
        <f t="shared" si="18"/>
        <v>1</v>
      </c>
      <c r="AG61" s="62">
        <f t="shared" si="18"/>
        <v>1</v>
      </c>
      <c r="AH61" s="62">
        <f t="shared" si="18"/>
        <v>1</v>
      </c>
      <c r="AI61" s="62">
        <f t="shared" si="18"/>
        <v>1</v>
      </c>
      <c r="AJ61" s="63">
        <f t="shared" si="18"/>
        <v>1</v>
      </c>
      <c r="AK61" s="61" t="s">
        <v>124</v>
      </c>
      <c r="AL61" s="62" t="str">
        <f t="shared" si="19"/>
        <v>a</v>
      </c>
      <c r="AM61" s="62" t="str">
        <f t="shared" si="19"/>
        <v>a</v>
      </c>
      <c r="AN61" s="62" t="str">
        <f t="shared" si="19"/>
        <v>a</v>
      </c>
      <c r="AO61" s="62" t="str">
        <f t="shared" si="19"/>
        <v>a</v>
      </c>
      <c r="AP61" s="62" t="str">
        <f t="shared" si="19"/>
        <v>a</v>
      </c>
      <c r="AQ61" s="62" t="str">
        <f t="shared" si="19"/>
        <v>a</v>
      </c>
      <c r="AR61" s="63"/>
      <c r="AS61" s="135"/>
      <c r="AT61" s="136"/>
      <c r="AU61" s="136"/>
      <c r="AV61" s="136"/>
      <c r="AW61" s="136"/>
      <c r="AX61" s="136"/>
      <c r="AY61" s="136"/>
      <c r="AZ61" s="137"/>
      <c r="BA61" s="37">
        <f t="shared" si="12"/>
        <v>24</v>
      </c>
      <c r="BB61" s="9">
        <f t="shared" si="5"/>
        <v>518</v>
      </c>
      <c r="BC61" s="10">
        <f t="shared" si="6"/>
        <v>93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388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62">
        <f t="shared" si="20"/>
        <v>1</v>
      </c>
      <c r="J62" s="62">
        <f t="shared" si="20"/>
        <v>1</v>
      </c>
      <c r="K62" s="62">
        <f t="shared" si="20"/>
        <v>1</v>
      </c>
      <c r="L62" s="63">
        <f t="shared" si="20"/>
        <v>1</v>
      </c>
      <c r="M62" s="135"/>
      <c r="N62" s="136"/>
      <c r="O62" s="136"/>
      <c r="P62" s="136"/>
      <c r="Q62" s="136"/>
      <c r="R62" s="136"/>
      <c r="S62" s="136"/>
      <c r="T62" s="137"/>
      <c r="U62" s="61">
        <v>1</v>
      </c>
      <c r="V62" s="62">
        <f t="shared" si="17"/>
        <v>1</v>
      </c>
      <c r="W62" s="62">
        <f t="shared" si="17"/>
        <v>1</v>
      </c>
      <c r="X62" s="62">
        <f t="shared" si="17"/>
        <v>1</v>
      </c>
      <c r="Y62" s="62">
        <f t="shared" si="17"/>
        <v>1</v>
      </c>
      <c r="Z62" s="62">
        <f t="shared" si="17"/>
        <v>1</v>
      </c>
      <c r="AA62" s="62">
        <f t="shared" si="17"/>
        <v>1</v>
      </c>
      <c r="AB62" s="63">
        <f t="shared" si="17"/>
        <v>1</v>
      </c>
      <c r="AC62" s="61">
        <v>1</v>
      </c>
      <c r="AD62" s="62">
        <f t="shared" si="18"/>
        <v>1</v>
      </c>
      <c r="AE62" s="62">
        <f t="shared" si="18"/>
        <v>1</v>
      </c>
      <c r="AF62" s="62">
        <f t="shared" si="18"/>
        <v>1</v>
      </c>
      <c r="AG62" s="62">
        <f t="shared" si="18"/>
        <v>1</v>
      </c>
      <c r="AH62" s="62">
        <f t="shared" si="18"/>
        <v>1</v>
      </c>
      <c r="AI62" s="62">
        <f t="shared" si="18"/>
        <v>1</v>
      </c>
      <c r="AJ62" s="63">
        <f t="shared" si="18"/>
        <v>1</v>
      </c>
      <c r="AK62" s="61">
        <v>1</v>
      </c>
      <c r="AL62" s="62">
        <f t="shared" si="19"/>
        <v>1</v>
      </c>
      <c r="AM62" s="62">
        <f t="shared" si="19"/>
        <v>1</v>
      </c>
      <c r="AN62" s="62">
        <f t="shared" si="19"/>
        <v>1</v>
      </c>
      <c r="AO62" s="62">
        <f t="shared" si="19"/>
        <v>1</v>
      </c>
      <c r="AP62" s="62">
        <f t="shared" si="19"/>
        <v>1</v>
      </c>
      <c r="AQ62" s="62">
        <f t="shared" si="19"/>
        <v>1</v>
      </c>
      <c r="AR62" s="63"/>
      <c r="AS62" s="135"/>
      <c r="AT62" s="136"/>
      <c r="AU62" s="136"/>
      <c r="AV62" s="136"/>
      <c r="AW62" s="136"/>
      <c r="AX62" s="136"/>
      <c r="AY62" s="136"/>
      <c r="AZ62" s="137"/>
      <c r="BA62" s="42">
        <f t="shared" si="12"/>
        <v>31</v>
      </c>
      <c r="BB62" s="9">
        <f t="shared" si="5"/>
        <v>419</v>
      </c>
      <c r="BC62" s="10">
        <f t="shared" si="6"/>
        <v>75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423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62">
        <f t="shared" si="20"/>
        <v>1</v>
      </c>
      <c r="J63" s="62">
        <f t="shared" si="20"/>
        <v>1</v>
      </c>
      <c r="K63" s="62">
        <f t="shared" si="20"/>
        <v>1</v>
      </c>
      <c r="L63" s="63">
        <f t="shared" si="20"/>
        <v>1</v>
      </c>
      <c r="M63" s="135"/>
      <c r="N63" s="136"/>
      <c r="O63" s="136"/>
      <c r="P63" s="136"/>
      <c r="Q63" s="136"/>
      <c r="R63" s="136"/>
      <c r="S63" s="136"/>
      <c r="T63" s="137"/>
      <c r="U63" s="61">
        <v>1</v>
      </c>
      <c r="V63" s="62">
        <f t="shared" si="17"/>
        <v>1</v>
      </c>
      <c r="W63" s="62">
        <f t="shared" si="17"/>
        <v>1</v>
      </c>
      <c r="X63" s="62">
        <f t="shared" si="17"/>
        <v>1</v>
      </c>
      <c r="Y63" s="62">
        <f t="shared" si="17"/>
        <v>1</v>
      </c>
      <c r="Z63" s="62">
        <f t="shared" si="17"/>
        <v>1</v>
      </c>
      <c r="AA63" s="62">
        <f t="shared" si="17"/>
        <v>1</v>
      </c>
      <c r="AB63" s="63">
        <f t="shared" si="17"/>
        <v>1</v>
      </c>
      <c r="AC63" s="61" t="s">
        <v>124</v>
      </c>
      <c r="AD63" s="62" t="str">
        <f t="shared" si="18"/>
        <v>a</v>
      </c>
      <c r="AE63" s="62" t="str">
        <f t="shared" si="18"/>
        <v>a</v>
      </c>
      <c r="AF63" s="62" t="str">
        <f t="shared" si="18"/>
        <v>a</v>
      </c>
      <c r="AG63" s="62" t="str">
        <f t="shared" si="18"/>
        <v>a</v>
      </c>
      <c r="AH63" s="62" t="str">
        <f t="shared" si="18"/>
        <v>a</v>
      </c>
      <c r="AI63" s="62" t="str">
        <f t="shared" si="18"/>
        <v>a</v>
      </c>
      <c r="AJ63" s="63" t="str">
        <f t="shared" si="18"/>
        <v>a</v>
      </c>
      <c r="AK63" s="61" t="s">
        <v>124</v>
      </c>
      <c r="AL63" s="62" t="str">
        <f t="shared" si="19"/>
        <v>a</v>
      </c>
      <c r="AM63" s="62" t="str">
        <f t="shared" si="19"/>
        <v>a</v>
      </c>
      <c r="AN63" s="62" t="str">
        <f t="shared" si="19"/>
        <v>a</v>
      </c>
      <c r="AO63" s="62" t="str">
        <f t="shared" si="19"/>
        <v>a</v>
      </c>
      <c r="AP63" s="62" t="str">
        <f t="shared" si="19"/>
        <v>a</v>
      </c>
      <c r="AQ63" s="62" t="str">
        <f t="shared" si="19"/>
        <v>a</v>
      </c>
      <c r="AR63" s="63"/>
      <c r="AS63" s="135"/>
      <c r="AT63" s="136"/>
      <c r="AU63" s="136"/>
      <c r="AV63" s="136"/>
      <c r="AW63" s="136"/>
      <c r="AX63" s="136"/>
      <c r="AY63" s="136"/>
      <c r="AZ63" s="137"/>
      <c r="BA63" s="42">
        <f t="shared" si="12"/>
        <v>16</v>
      </c>
      <c r="BB63" s="9">
        <f t="shared" si="5"/>
        <v>439</v>
      </c>
      <c r="BC63" s="10">
        <f t="shared" si="6"/>
        <v>79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464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62">
        <f t="shared" si="20"/>
        <v>1</v>
      </c>
      <c r="J64" s="62">
        <f t="shared" si="20"/>
        <v>1</v>
      </c>
      <c r="K64" s="62">
        <f t="shared" si="20"/>
        <v>1</v>
      </c>
      <c r="L64" s="63">
        <f t="shared" si="20"/>
        <v>1</v>
      </c>
      <c r="M64" s="135"/>
      <c r="N64" s="136"/>
      <c r="O64" s="136"/>
      <c r="P64" s="136"/>
      <c r="Q64" s="136"/>
      <c r="R64" s="136"/>
      <c r="S64" s="136"/>
      <c r="T64" s="137"/>
      <c r="U64" s="61">
        <v>1</v>
      </c>
      <c r="V64" s="62">
        <f t="shared" si="17"/>
        <v>1</v>
      </c>
      <c r="W64" s="62">
        <f t="shared" si="17"/>
        <v>1</v>
      </c>
      <c r="X64" s="62">
        <f t="shared" si="17"/>
        <v>1</v>
      </c>
      <c r="Y64" s="62">
        <f t="shared" si="17"/>
        <v>1</v>
      </c>
      <c r="Z64" s="62">
        <f t="shared" si="17"/>
        <v>1</v>
      </c>
      <c r="AA64" s="62">
        <f t="shared" si="17"/>
        <v>1</v>
      </c>
      <c r="AB64" s="63">
        <f t="shared" si="17"/>
        <v>1</v>
      </c>
      <c r="AC64" s="61">
        <v>1</v>
      </c>
      <c r="AD64" s="62">
        <f t="shared" si="18"/>
        <v>1</v>
      </c>
      <c r="AE64" s="62">
        <f t="shared" si="18"/>
        <v>1</v>
      </c>
      <c r="AF64" s="62">
        <f t="shared" si="18"/>
        <v>1</v>
      </c>
      <c r="AG64" s="62">
        <f t="shared" si="18"/>
        <v>1</v>
      </c>
      <c r="AH64" s="62">
        <f t="shared" si="18"/>
        <v>1</v>
      </c>
      <c r="AI64" s="62">
        <f t="shared" si="18"/>
        <v>1</v>
      </c>
      <c r="AJ64" s="63">
        <f t="shared" si="18"/>
        <v>1</v>
      </c>
      <c r="AK64" s="61">
        <v>1</v>
      </c>
      <c r="AL64" s="62">
        <f t="shared" si="19"/>
        <v>1</v>
      </c>
      <c r="AM64" s="62">
        <f t="shared" si="19"/>
        <v>1</v>
      </c>
      <c r="AN64" s="62">
        <f t="shared" si="19"/>
        <v>1</v>
      </c>
      <c r="AO64" s="62">
        <f t="shared" si="19"/>
        <v>1</v>
      </c>
      <c r="AP64" s="62">
        <f t="shared" si="19"/>
        <v>1</v>
      </c>
      <c r="AQ64" s="62">
        <f t="shared" si="19"/>
        <v>1</v>
      </c>
      <c r="AR64" s="63"/>
      <c r="AS64" s="135"/>
      <c r="AT64" s="136"/>
      <c r="AU64" s="136"/>
      <c r="AV64" s="136"/>
      <c r="AW64" s="136"/>
      <c r="AX64" s="136"/>
      <c r="AY64" s="136"/>
      <c r="AZ64" s="137"/>
      <c r="BA64" s="42">
        <f t="shared" si="12"/>
        <v>31</v>
      </c>
      <c r="BB64" s="9">
        <f t="shared" si="5"/>
        <v>495</v>
      </c>
      <c r="BC64" s="10">
        <f t="shared" si="6"/>
        <v>89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444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62">
        <f t="shared" si="20"/>
        <v>1</v>
      </c>
      <c r="J65" s="62">
        <f t="shared" si="20"/>
        <v>1</v>
      </c>
      <c r="K65" s="62">
        <f t="shared" si="20"/>
        <v>1</v>
      </c>
      <c r="L65" s="63">
        <f t="shared" si="20"/>
        <v>1</v>
      </c>
      <c r="M65" s="135"/>
      <c r="N65" s="136"/>
      <c r="O65" s="136"/>
      <c r="P65" s="136"/>
      <c r="Q65" s="136"/>
      <c r="R65" s="136"/>
      <c r="S65" s="136"/>
      <c r="T65" s="137"/>
      <c r="U65" s="61">
        <v>1</v>
      </c>
      <c r="V65" s="62">
        <f t="shared" si="17"/>
        <v>1</v>
      </c>
      <c r="W65" s="62">
        <f t="shared" si="17"/>
        <v>1</v>
      </c>
      <c r="X65" s="62">
        <f t="shared" si="17"/>
        <v>1</v>
      </c>
      <c r="Y65" s="62">
        <f t="shared" si="17"/>
        <v>1</v>
      </c>
      <c r="Z65" s="62">
        <f t="shared" si="17"/>
        <v>1</v>
      </c>
      <c r="AA65" s="62">
        <f t="shared" si="17"/>
        <v>1</v>
      </c>
      <c r="AB65" s="63">
        <f t="shared" si="17"/>
        <v>1</v>
      </c>
      <c r="AC65" s="61" t="s">
        <v>124</v>
      </c>
      <c r="AD65" s="62" t="str">
        <f t="shared" si="18"/>
        <v>a</v>
      </c>
      <c r="AE65" s="62" t="str">
        <f t="shared" si="18"/>
        <v>a</v>
      </c>
      <c r="AF65" s="62" t="str">
        <f t="shared" si="18"/>
        <v>a</v>
      </c>
      <c r="AG65" s="62" t="str">
        <f t="shared" si="18"/>
        <v>a</v>
      </c>
      <c r="AH65" s="62" t="str">
        <f t="shared" si="18"/>
        <v>a</v>
      </c>
      <c r="AI65" s="62" t="str">
        <f t="shared" si="18"/>
        <v>a</v>
      </c>
      <c r="AJ65" s="63" t="str">
        <f t="shared" si="18"/>
        <v>a</v>
      </c>
      <c r="AK65" s="61">
        <v>1</v>
      </c>
      <c r="AL65" s="62">
        <f t="shared" si="19"/>
        <v>1</v>
      </c>
      <c r="AM65" s="62">
        <f t="shared" si="19"/>
        <v>1</v>
      </c>
      <c r="AN65" s="62">
        <f t="shared" si="19"/>
        <v>1</v>
      </c>
      <c r="AO65" s="62">
        <f t="shared" si="19"/>
        <v>1</v>
      </c>
      <c r="AP65" s="62">
        <f t="shared" si="19"/>
        <v>1</v>
      </c>
      <c r="AQ65" s="62">
        <f t="shared" si="19"/>
        <v>1</v>
      </c>
      <c r="AR65" s="63"/>
      <c r="AS65" s="135"/>
      <c r="AT65" s="136"/>
      <c r="AU65" s="136"/>
      <c r="AV65" s="136"/>
      <c r="AW65" s="136"/>
      <c r="AX65" s="136"/>
      <c r="AY65" s="136"/>
      <c r="AZ65" s="137"/>
      <c r="BA65" s="37">
        <f t="shared" si="12"/>
        <v>23</v>
      </c>
      <c r="BB65" s="9">
        <f t="shared" si="5"/>
        <v>467</v>
      </c>
      <c r="BC65" s="10">
        <f t="shared" si="6"/>
        <v>84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502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62">
        <f t="shared" si="20"/>
        <v>1</v>
      </c>
      <c r="J66" s="62">
        <f t="shared" si="20"/>
        <v>1</v>
      </c>
      <c r="K66" s="62">
        <f t="shared" si="20"/>
        <v>1</v>
      </c>
      <c r="L66" s="63">
        <f t="shared" si="20"/>
        <v>1</v>
      </c>
      <c r="M66" s="135"/>
      <c r="N66" s="136"/>
      <c r="O66" s="136"/>
      <c r="P66" s="136"/>
      <c r="Q66" s="136"/>
      <c r="R66" s="136"/>
      <c r="S66" s="136"/>
      <c r="T66" s="137"/>
      <c r="U66" s="61">
        <v>1</v>
      </c>
      <c r="V66" s="62">
        <f t="shared" si="17"/>
        <v>1</v>
      </c>
      <c r="W66" s="62">
        <f t="shared" si="17"/>
        <v>1</v>
      </c>
      <c r="X66" s="62">
        <f t="shared" si="17"/>
        <v>1</v>
      </c>
      <c r="Y66" s="62">
        <f t="shared" si="17"/>
        <v>1</v>
      </c>
      <c r="Z66" s="62">
        <f t="shared" si="17"/>
        <v>1</v>
      </c>
      <c r="AA66" s="62">
        <f t="shared" si="17"/>
        <v>1</v>
      </c>
      <c r="AB66" s="63">
        <f t="shared" si="17"/>
        <v>1</v>
      </c>
      <c r="AC66" s="61">
        <v>1</v>
      </c>
      <c r="AD66" s="62">
        <f t="shared" si="18"/>
        <v>1</v>
      </c>
      <c r="AE66" s="62">
        <f t="shared" si="18"/>
        <v>1</v>
      </c>
      <c r="AF66" s="62">
        <f t="shared" si="18"/>
        <v>1</v>
      </c>
      <c r="AG66" s="62">
        <f t="shared" si="18"/>
        <v>1</v>
      </c>
      <c r="AH66" s="62">
        <f t="shared" si="18"/>
        <v>1</v>
      </c>
      <c r="AI66" s="62">
        <f t="shared" si="18"/>
        <v>1</v>
      </c>
      <c r="AJ66" s="63">
        <f t="shared" si="18"/>
        <v>1</v>
      </c>
      <c r="AK66" s="61" t="s">
        <v>124</v>
      </c>
      <c r="AL66" s="62" t="str">
        <f t="shared" si="19"/>
        <v>a</v>
      </c>
      <c r="AM66" s="62" t="str">
        <f t="shared" si="19"/>
        <v>a</v>
      </c>
      <c r="AN66" s="62" t="str">
        <f t="shared" si="19"/>
        <v>a</v>
      </c>
      <c r="AO66" s="62" t="str">
        <f t="shared" si="19"/>
        <v>a</v>
      </c>
      <c r="AP66" s="62" t="str">
        <f t="shared" si="19"/>
        <v>a</v>
      </c>
      <c r="AQ66" s="62" t="str">
        <f t="shared" si="19"/>
        <v>a</v>
      </c>
      <c r="AR66" s="63"/>
      <c r="AS66" s="135"/>
      <c r="AT66" s="136"/>
      <c r="AU66" s="136"/>
      <c r="AV66" s="136"/>
      <c r="AW66" s="136"/>
      <c r="AX66" s="136"/>
      <c r="AY66" s="136"/>
      <c r="AZ66" s="137"/>
      <c r="BA66" s="37">
        <f t="shared" si="12"/>
        <v>24</v>
      </c>
      <c r="BB66" s="9">
        <f t="shared" si="5"/>
        <v>526</v>
      </c>
      <c r="BC66" s="10">
        <f t="shared" si="6"/>
        <v>94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446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62">
        <f t="shared" si="20"/>
        <v>1</v>
      </c>
      <c r="J67" s="62">
        <f t="shared" si="20"/>
        <v>1</v>
      </c>
      <c r="K67" s="62">
        <f t="shared" si="20"/>
        <v>1</v>
      </c>
      <c r="L67" s="63">
        <f t="shared" si="20"/>
        <v>1</v>
      </c>
      <c r="M67" s="135"/>
      <c r="N67" s="136"/>
      <c r="O67" s="136"/>
      <c r="P67" s="136"/>
      <c r="Q67" s="136"/>
      <c r="R67" s="136"/>
      <c r="S67" s="136"/>
      <c r="T67" s="137"/>
      <c r="U67" s="61">
        <v>1</v>
      </c>
      <c r="V67" s="62">
        <f t="shared" si="17"/>
        <v>1</v>
      </c>
      <c r="W67" s="62">
        <f t="shared" si="17"/>
        <v>1</v>
      </c>
      <c r="X67" s="62">
        <f t="shared" si="17"/>
        <v>1</v>
      </c>
      <c r="Y67" s="62">
        <f t="shared" si="17"/>
        <v>1</v>
      </c>
      <c r="Z67" s="62">
        <f t="shared" si="17"/>
        <v>1</v>
      </c>
      <c r="AA67" s="62">
        <f t="shared" si="17"/>
        <v>1</v>
      </c>
      <c r="AB67" s="63">
        <f t="shared" si="17"/>
        <v>1</v>
      </c>
      <c r="AC67" s="61">
        <v>1</v>
      </c>
      <c r="AD67" s="62">
        <f t="shared" si="18"/>
        <v>1</v>
      </c>
      <c r="AE67" s="62">
        <f t="shared" si="18"/>
        <v>1</v>
      </c>
      <c r="AF67" s="62">
        <f t="shared" si="18"/>
        <v>1</v>
      </c>
      <c r="AG67" s="62">
        <f t="shared" si="18"/>
        <v>1</v>
      </c>
      <c r="AH67" s="62">
        <f t="shared" si="18"/>
        <v>1</v>
      </c>
      <c r="AI67" s="62">
        <f t="shared" si="18"/>
        <v>1</v>
      </c>
      <c r="AJ67" s="63">
        <f t="shared" si="18"/>
        <v>1</v>
      </c>
      <c r="AK67" s="61" t="s">
        <v>124</v>
      </c>
      <c r="AL67" s="62" t="str">
        <f t="shared" si="19"/>
        <v>a</v>
      </c>
      <c r="AM67" s="62" t="str">
        <f t="shared" si="19"/>
        <v>a</v>
      </c>
      <c r="AN67" s="62" t="str">
        <f t="shared" si="19"/>
        <v>a</v>
      </c>
      <c r="AO67" s="62" t="str">
        <f t="shared" si="19"/>
        <v>a</v>
      </c>
      <c r="AP67" s="62" t="str">
        <f t="shared" si="19"/>
        <v>a</v>
      </c>
      <c r="AQ67" s="62" t="str">
        <f t="shared" si="19"/>
        <v>a</v>
      </c>
      <c r="AR67" s="63"/>
      <c r="AS67" s="135"/>
      <c r="AT67" s="136"/>
      <c r="AU67" s="136"/>
      <c r="AV67" s="136"/>
      <c r="AW67" s="136"/>
      <c r="AX67" s="136"/>
      <c r="AY67" s="136"/>
      <c r="AZ67" s="137"/>
      <c r="BA67" s="42">
        <f t="shared" si="12"/>
        <v>24</v>
      </c>
      <c r="BB67" s="9">
        <f t="shared" si="5"/>
        <v>470</v>
      </c>
      <c r="BC67" s="10">
        <f t="shared" si="6"/>
        <v>84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458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62">
        <f t="shared" si="20"/>
        <v>1</v>
      </c>
      <c r="J68" s="62">
        <f t="shared" si="20"/>
        <v>1</v>
      </c>
      <c r="K68" s="62">
        <f t="shared" si="20"/>
        <v>1</v>
      </c>
      <c r="L68" s="63">
        <f t="shared" si="20"/>
        <v>1</v>
      </c>
      <c r="M68" s="135"/>
      <c r="N68" s="136"/>
      <c r="O68" s="136"/>
      <c r="P68" s="136"/>
      <c r="Q68" s="136"/>
      <c r="R68" s="136"/>
      <c r="S68" s="136"/>
      <c r="T68" s="137"/>
      <c r="U68" s="61">
        <v>1</v>
      </c>
      <c r="V68" s="62">
        <f t="shared" si="17"/>
        <v>1</v>
      </c>
      <c r="W68" s="62">
        <f t="shared" si="17"/>
        <v>1</v>
      </c>
      <c r="X68" s="62">
        <f t="shared" si="17"/>
        <v>1</v>
      </c>
      <c r="Y68" s="62">
        <f t="shared" si="17"/>
        <v>1</v>
      </c>
      <c r="Z68" s="62">
        <f t="shared" si="17"/>
        <v>1</v>
      </c>
      <c r="AA68" s="62">
        <f t="shared" si="17"/>
        <v>1</v>
      </c>
      <c r="AB68" s="63">
        <f t="shared" si="17"/>
        <v>1</v>
      </c>
      <c r="AC68" s="61" t="s">
        <v>124</v>
      </c>
      <c r="AD68" s="62" t="str">
        <f t="shared" si="18"/>
        <v>a</v>
      </c>
      <c r="AE68" s="62" t="str">
        <f t="shared" si="18"/>
        <v>a</v>
      </c>
      <c r="AF68" s="62" t="str">
        <f t="shared" si="18"/>
        <v>a</v>
      </c>
      <c r="AG68" s="62" t="str">
        <f t="shared" si="18"/>
        <v>a</v>
      </c>
      <c r="AH68" s="62" t="str">
        <f t="shared" si="18"/>
        <v>a</v>
      </c>
      <c r="AI68" s="62" t="str">
        <f t="shared" si="18"/>
        <v>a</v>
      </c>
      <c r="AJ68" s="63" t="str">
        <f t="shared" si="18"/>
        <v>a</v>
      </c>
      <c r="AK68" s="61" t="s">
        <v>124</v>
      </c>
      <c r="AL68" s="62" t="str">
        <f t="shared" si="19"/>
        <v>a</v>
      </c>
      <c r="AM68" s="62" t="str">
        <f t="shared" si="19"/>
        <v>a</v>
      </c>
      <c r="AN68" s="62" t="str">
        <f t="shared" si="19"/>
        <v>a</v>
      </c>
      <c r="AO68" s="62" t="str">
        <f t="shared" si="19"/>
        <v>a</v>
      </c>
      <c r="AP68" s="62" t="str">
        <f t="shared" si="19"/>
        <v>a</v>
      </c>
      <c r="AQ68" s="62" t="str">
        <f t="shared" si="19"/>
        <v>a</v>
      </c>
      <c r="AR68" s="63"/>
      <c r="AS68" s="135"/>
      <c r="AT68" s="136"/>
      <c r="AU68" s="136"/>
      <c r="AV68" s="136"/>
      <c r="AW68" s="136"/>
      <c r="AX68" s="136"/>
      <c r="AY68" s="136"/>
      <c r="AZ68" s="137"/>
      <c r="BA68" s="37">
        <f t="shared" si="12"/>
        <v>16</v>
      </c>
      <c r="BB68" s="9">
        <f t="shared" si="5"/>
        <v>474</v>
      </c>
      <c r="BC68" s="10">
        <f t="shared" si="6"/>
        <v>85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507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62">
        <f t="shared" si="20"/>
        <v>1</v>
      </c>
      <c r="J69" s="62">
        <f t="shared" si="20"/>
        <v>1</v>
      </c>
      <c r="K69" s="62">
        <f t="shared" si="20"/>
        <v>1</v>
      </c>
      <c r="L69" s="63">
        <f t="shared" si="20"/>
        <v>1</v>
      </c>
      <c r="M69" s="135"/>
      <c r="N69" s="136"/>
      <c r="O69" s="136"/>
      <c r="P69" s="136"/>
      <c r="Q69" s="136"/>
      <c r="R69" s="136"/>
      <c r="S69" s="136"/>
      <c r="T69" s="137"/>
      <c r="U69" s="61">
        <v>1</v>
      </c>
      <c r="V69" s="62">
        <f t="shared" si="17"/>
        <v>1</v>
      </c>
      <c r="W69" s="62">
        <f t="shared" si="17"/>
        <v>1</v>
      </c>
      <c r="X69" s="62">
        <f t="shared" si="17"/>
        <v>1</v>
      </c>
      <c r="Y69" s="62">
        <f t="shared" si="17"/>
        <v>1</v>
      </c>
      <c r="Z69" s="62">
        <f t="shared" si="17"/>
        <v>1</v>
      </c>
      <c r="AA69" s="62">
        <f t="shared" si="17"/>
        <v>1</v>
      </c>
      <c r="AB69" s="63">
        <f t="shared" si="17"/>
        <v>1</v>
      </c>
      <c r="AC69" s="61">
        <v>1</v>
      </c>
      <c r="AD69" s="62">
        <f t="shared" si="18"/>
        <v>1</v>
      </c>
      <c r="AE69" s="62">
        <f t="shared" si="18"/>
        <v>1</v>
      </c>
      <c r="AF69" s="62">
        <f t="shared" si="18"/>
        <v>1</v>
      </c>
      <c r="AG69" s="62">
        <f t="shared" si="18"/>
        <v>1</v>
      </c>
      <c r="AH69" s="62">
        <f t="shared" si="18"/>
        <v>1</v>
      </c>
      <c r="AI69" s="62">
        <f t="shared" si="18"/>
        <v>1</v>
      </c>
      <c r="AJ69" s="63">
        <f t="shared" si="18"/>
        <v>1</v>
      </c>
      <c r="AK69" s="61" t="s">
        <v>124</v>
      </c>
      <c r="AL69" s="62" t="str">
        <f t="shared" si="19"/>
        <v>a</v>
      </c>
      <c r="AM69" s="62" t="str">
        <f t="shared" si="19"/>
        <v>a</v>
      </c>
      <c r="AN69" s="62" t="str">
        <f t="shared" si="19"/>
        <v>a</v>
      </c>
      <c r="AO69" s="62" t="str">
        <f t="shared" si="19"/>
        <v>a</v>
      </c>
      <c r="AP69" s="62" t="str">
        <f t="shared" si="19"/>
        <v>a</v>
      </c>
      <c r="AQ69" s="62" t="str">
        <f t="shared" si="19"/>
        <v>a</v>
      </c>
      <c r="AR69" s="63"/>
      <c r="AS69" s="135"/>
      <c r="AT69" s="136"/>
      <c r="AU69" s="136"/>
      <c r="AV69" s="136"/>
      <c r="AW69" s="136"/>
      <c r="AX69" s="136"/>
      <c r="AY69" s="136"/>
      <c r="AZ69" s="137"/>
      <c r="BA69" s="37">
        <f t="shared" si="12"/>
        <v>24</v>
      </c>
      <c r="BB69" s="9">
        <f t="shared" si="5"/>
        <v>531</v>
      </c>
      <c r="BC69" s="10">
        <f t="shared" si="6"/>
        <v>95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418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62">
        <f t="shared" si="20"/>
        <v>1</v>
      </c>
      <c r="J70" s="62">
        <f t="shared" si="20"/>
        <v>1</v>
      </c>
      <c r="K70" s="62">
        <f t="shared" si="20"/>
        <v>1</v>
      </c>
      <c r="L70" s="63">
        <f t="shared" si="20"/>
        <v>1</v>
      </c>
      <c r="M70" s="135"/>
      <c r="N70" s="136"/>
      <c r="O70" s="136"/>
      <c r="P70" s="136"/>
      <c r="Q70" s="136"/>
      <c r="R70" s="136"/>
      <c r="S70" s="136"/>
      <c r="T70" s="137"/>
      <c r="U70" s="61">
        <v>1</v>
      </c>
      <c r="V70" s="62">
        <f t="shared" si="17"/>
        <v>1</v>
      </c>
      <c r="W70" s="62">
        <f t="shared" si="17"/>
        <v>1</v>
      </c>
      <c r="X70" s="62">
        <f t="shared" si="17"/>
        <v>1</v>
      </c>
      <c r="Y70" s="62">
        <f t="shared" si="17"/>
        <v>1</v>
      </c>
      <c r="Z70" s="62">
        <f t="shared" si="17"/>
        <v>1</v>
      </c>
      <c r="AA70" s="62">
        <f t="shared" si="17"/>
        <v>1</v>
      </c>
      <c r="AB70" s="63">
        <f t="shared" si="17"/>
        <v>1</v>
      </c>
      <c r="AC70" s="61" t="s">
        <v>124</v>
      </c>
      <c r="AD70" s="62" t="str">
        <f t="shared" si="18"/>
        <v>a</v>
      </c>
      <c r="AE70" s="62" t="str">
        <f t="shared" si="18"/>
        <v>a</v>
      </c>
      <c r="AF70" s="62" t="str">
        <f t="shared" si="18"/>
        <v>a</v>
      </c>
      <c r="AG70" s="62" t="str">
        <f t="shared" si="18"/>
        <v>a</v>
      </c>
      <c r="AH70" s="62" t="str">
        <f t="shared" si="18"/>
        <v>a</v>
      </c>
      <c r="AI70" s="62" t="str">
        <f t="shared" si="18"/>
        <v>a</v>
      </c>
      <c r="AJ70" s="63" t="str">
        <f t="shared" si="18"/>
        <v>a</v>
      </c>
      <c r="AK70" s="61" t="s">
        <v>124</v>
      </c>
      <c r="AL70" s="62" t="str">
        <f t="shared" si="19"/>
        <v>a</v>
      </c>
      <c r="AM70" s="62" t="str">
        <f t="shared" si="19"/>
        <v>a</v>
      </c>
      <c r="AN70" s="62" t="str">
        <f t="shared" si="19"/>
        <v>a</v>
      </c>
      <c r="AO70" s="62" t="str">
        <f t="shared" si="19"/>
        <v>a</v>
      </c>
      <c r="AP70" s="62" t="str">
        <f t="shared" si="19"/>
        <v>a</v>
      </c>
      <c r="AQ70" s="62" t="str">
        <f t="shared" si="19"/>
        <v>a</v>
      </c>
      <c r="AR70" s="63"/>
      <c r="AS70" s="135"/>
      <c r="AT70" s="136"/>
      <c r="AU70" s="136"/>
      <c r="AV70" s="136"/>
      <c r="AW70" s="136"/>
      <c r="AX70" s="136"/>
      <c r="AY70" s="136"/>
      <c r="AZ70" s="137"/>
      <c r="BA70" s="37">
        <f t="shared" si="12"/>
        <v>16</v>
      </c>
      <c r="BB70" s="9">
        <f t="shared" si="5"/>
        <v>434</v>
      </c>
      <c r="BC70" s="10">
        <f t="shared" si="6"/>
        <v>78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462</v>
      </c>
      <c r="E71" s="61" t="s">
        <v>124</v>
      </c>
      <c r="F71" s="62" t="str">
        <f t="shared" si="20"/>
        <v>a</v>
      </c>
      <c r="G71" s="62" t="str">
        <f t="shared" si="20"/>
        <v>a</v>
      </c>
      <c r="H71" s="62" t="str">
        <f t="shared" si="20"/>
        <v>a</v>
      </c>
      <c r="I71" s="62" t="str">
        <f t="shared" si="20"/>
        <v>a</v>
      </c>
      <c r="J71" s="62" t="str">
        <f t="shared" si="20"/>
        <v>a</v>
      </c>
      <c r="K71" s="62" t="str">
        <f t="shared" si="20"/>
        <v>a</v>
      </c>
      <c r="L71" s="63" t="str">
        <f t="shared" si="20"/>
        <v>a</v>
      </c>
      <c r="M71" s="135"/>
      <c r="N71" s="136"/>
      <c r="O71" s="136"/>
      <c r="P71" s="136"/>
      <c r="Q71" s="136"/>
      <c r="R71" s="136"/>
      <c r="S71" s="136"/>
      <c r="T71" s="137"/>
      <c r="U71" s="61">
        <v>1</v>
      </c>
      <c r="V71" s="62">
        <f t="shared" si="17"/>
        <v>1</v>
      </c>
      <c r="W71" s="62">
        <f t="shared" si="17"/>
        <v>1</v>
      </c>
      <c r="X71" s="62">
        <f t="shared" si="17"/>
        <v>1</v>
      </c>
      <c r="Y71" s="62">
        <f t="shared" si="17"/>
        <v>1</v>
      </c>
      <c r="Z71" s="62">
        <f t="shared" si="17"/>
        <v>1</v>
      </c>
      <c r="AA71" s="62">
        <f t="shared" si="17"/>
        <v>1</v>
      </c>
      <c r="AB71" s="63">
        <f t="shared" si="17"/>
        <v>1</v>
      </c>
      <c r="AC71" s="61" t="s">
        <v>124</v>
      </c>
      <c r="AD71" s="62" t="str">
        <f t="shared" si="18"/>
        <v>a</v>
      </c>
      <c r="AE71" s="62" t="str">
        <f t="shared" si="18"/>
        <v>a</v>
      </c>
      <c r="AF71" s="62" t="str">
        <f t="shared" si="18"/>
        <v>a</v>
      </c>
      <c r="AG71" s="62" t="str">
        <f t="shared" si="18"/>
        <v>a</v>
      </c>
      <c r="AH71" s="62" t="str">
        <f t="shared" si="18"/>
        <v>a</v>
      </c>
      <c r="AI71" s="62" t="str">
        <f t="shared" si="18"/>
        <v>a</v>
      </c>
      <c r="AJ71" s="63" t="str">
        <f t="shared" si="18"/>
        <v>a</v>
      </c>
      <c r="AK71" s="61">
        <v>1</v>
      </c>
      <c r="AL71" s="62">
        <f t="shared" si="19"/>
        <v>1</v>
      </c>
      <c r="AM71" s="62">
        <f t="shared" si="19"/>
        <v>1</v>
      </c>
      <c r="AN71" s="62">
        <f t="shared" si="19"/>
        <v>1</v>
      </c>
      <c r="AO71" s="62">
        <f t="shared" si="19"/>
        <v>1</v>
      </c>
      <c r="AP71" s="62">
        <f t="shared" si="19"/>
        <v>1</v>
      </c>
      <c r="AQ71" s="62">
        <f t="shared" si="19"/>
        <v>1</v>
      </c>
      <c r="AR71" s="63"/>
      <c r="AS71" s="135"/>
      <c r="AT71" s="136"/>
      <c r="AU71" s="136"/>
      <c r="AV71" s="136"/>
      <c r="AW71" s="136"/>
      <c r="AX71" s="136"/>
      <c r="AY71" s="136"/>
      <c r="AZ71" s="137"/>
      <c r="BA71" s="42">
        <f t="shared" si="12"/>
        <v>15</v>
      </c>
      <c r="BB71" s="9">
        <f t="shared" si="5"/>
        <v>477</v>
      </c>
      <c r="BC71" s="10">
        <f t="shared" si="6"/>
        <v>86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423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62">
        <f t="shared" si="20"/>
        <v>1</v>
      </c>
      <c r="J72" s="62">
        <f t="shared" si="20"/>
        <v>1</v>
      </c>
      <c r="K72" s="62">
        <f t="shared" si="20"/>
        <v>1</v>
      </c>
      <c r="L72" s="63">
        <f t="shared" si="20"/>
        <v>1</v>
      </c>
      <c r="M72" s="135"/>
      <c r="N72" s="136"/>
      <c r="O72" s="136"/>
      <c r="P72" s="136"/>
      <c r="Q72" s="136"/>
      <c r="R72" s="136"/>
      <c r="S72" s="136"/>
      <c r="T72" s="137"/>
      <c r="U72" s="61">
        <v>1</v>
      </c>
      <c r="V72" s="62">
        <f t="shared" si="17"/>
        <v>1</v>
      </c>
      <c r="W72" s="62">
        <f t="shared" si="17"/>
        <v>1</v>
      </c>
      <c r="X72" s="62">
        <f t="shared" si="17"/>
        <v>1</v>
      </c>
      <c r="Y72" s="62">
        <f t="shared" si="17"/>
        <v>1</v>
      </c>
      <c r="Z72" s="62">
        <f t="shared" si="17"/>
        <v>1</v>
      </c>
      <c r="AA72" s="62">
        <f t="shared" si="17"/>
        <v>1</v>
      </c>
      <c r="AB72" s="63">
        <f t="shared" si="17"/>
        <v>1</v>
      </c>
      <c r="AC72" s="61" t="s">
        <v>124</v>
      </c>
      <c r="AD72" s="62" t="str">
        <f t="shared" si="18"/>
        <v>a</v>
      </c>
      <c r="AE72" s="62" t="str">
        <f t="shared" si="18"/>
        <v>a</v>
      </c>
      <c r="AF72" s="62" t="str">
        <f t="shared" si="18"/>
        <v>a</v>
      </c>
      <c r="AG72" s="62" t="str">
        <f t="shared" si="18"/>
        <v>a</v>
      </c>
      <c r="AH72" s="62" t="str">
        <f t="shared" si="18"/>
        <v>a</v>
      </c>
      <c r="AI72" s="62" t="str">
        <f t="shared" si="18"/>
        <v>a</v>
      </c>
      <c r="AJ72" s="63" t="str">
        <f t="shared" si="18"/>
        <v>a</v>
      </c>
      <c r="AK72" s="61" t="s">
        <v>124</v>
      </c>
      <c r="AL72" s="62" t="str">
        <f t="shared" si="19"/>
        <v>a</v>
      </c>
      <c r="AM72" s="62" t="str">
        <f t="shared" si="19"/>
        <v>a</v>
      </c>
      <c r="AN72" s="62" t="str">
        <f t="shared" si="19"/>
        <v>a</v>
      </c>
      <c r="AO72" s="62" t="str">
        <f t="shared" si="19"/>
        <v>a</v>
      </c>
      <c r="AP72" s="62" t="str">
        <f t="shared" si="19"/>
        <v>a</v>
      </c>
      <c r="AQ72" s="62" t="str">
        <f t="shared" si="19"/>
        <v>a</v>
      </c>
      <c r="AR72" s="63"/>
      <c r="AS72" s="135"/>
      <c r="AT72" s="136"/>
      <c r="AU72" s="136"/>
      <c r="AV72" s="136"/>
      <c r="AW72" s="136"/>
      <c r="AX72" s="136"/>
      <c r="AY72" s="136"/>
      <c r="AZ72" s="137"/>
      <c r="BA72" s="37">
        <f t="shared" si="12"/>
        <v>16</v>
      </c>
      <c r="BB72" s="9">
        <f t="shared" si="5"/>
        <v>439</v>
      </c>
      <c r="BC72" s="10">
        <f t="shared" si="6"/>
        <v>79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498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62">
        <f t="shared" si="20"/>
        <v>1</v>
      </c>
      <c r="J73" s="62">
        <f t="shared" si="20"/>
        <v>1</v>
      </c>
      <c r="K73" s="62">
        <f t="shared" si="20"/>
        <v>1</v>
      </c>
      <c r="L73" s="63">
        <f t="shared" si="20"/>
        <v>1</v>
      </c>
      <c r="M73" s="138"/>
      <c r="N73" s="139"/>
      <c r="O73" s="139"/>
      <c r="P73" s="139"/>
      <c r="Q73" s="139"/>
      <c r="R73" s="139"/>
      <c r="S73" s="139"/>
      <c r="T73" s="140"/>
      <c r="U73" s="61">
        <v>1</v>
      </c>
      <c r="V73" s="62">
        <f t="shared" si="17"/>
        <v>1</v>
      </c>
      <c r="W73" s="62">
        <f t="shared" si="17"/>
        <v>1</v>
      </c>
      <c r="X73" s="62">
        <f t="shared" si="17"/>
        <v>1</v>
      </c>
      <c r="Y73" s="62">
        <f t="shared" si="17"/>
        <v>1</v>
      </c>
      <c r="Z73" s="62">
        <f t="shared" si="17"/>
        <v>1</v>
      </c>
      <c r="AA73" s="62">
        <f t="shared" si="17"/>
        <v>1</v>
      </c>
      <c r="AB73" s="63">
        <f t="shared" si="17"/>
        <v>1</v>
      </c>
      <c r="AC73" s="61">
        <v>1</v>
      </c>
      <c r="AD73" s="62">
        <f t="shared" si="18"/>
        <v>1</v>
      </c>
      <c r="AE73" s="62">
        <f t="shared" si="18"/>
        <v>1</v>
      </c>
      <c r="AF73" s="62">
        <f t="shared" si="18"/>
        <v>1</v>
      </c>
      <c r="AG73" s="62">
        <f t="shared" si="18"/>
        <v>1</v>
      </c>
      <c r="AH73" s="62">
        <f t="shared" si="18"/>
        <v>1</v>
      </c>
      <c r="AI73" s="62">
        <f t="shared" si="18"/>
        <v>1</v>
      </c>
      <c r="AJ73" s="63">
        <f t="shared" si="18"/>
        <v>1</v>
      </c>
      <c r="AK73" s="61">
        <v>1</v>
      </c>
      <c r="AL73" s="62">
        <f t="shared" si="19"/>
        <v>1</v>
      </c>
      <c r="AM73" s="62">
        <f t="shared" si="19"/>
        <v>1</v>
      </c>
      <c r="AN73" s="62">
        <f t="shared" si="19"/>
        <v>1</v>
      </c>
      <c r="AO73" s="62">
        <f t="shared" si="19"/>
        <v>1</v>
      </c>
      <c r="AP73" s="62">
        <f t="shared" si="19"/>
        <v>1</v>
      </c>
      <c r="AQ73" s="62">
        <f t="shared" si="19"/>
        <v>1</v>
      </c>
      <c r="AR73" s="63"/>
      <c r="AS73" s="138"/>
      <c r="AT73" s="139"/>
      <c r="AU73" s="139"/>
      <c r="AV73" s="139"/>
      <c r="AW73" s="139"/>
      <c r="AX73" s="139"/>
      <c r="AY73" s="139"/>
      <c r="AZ73" s="140"/>
      <c r="BA73" s="37">
        <f t="shared" si="12"/>
        <v>31</v>
      </c>
      <c r="BB73" s="9">
        <f t="shared" si="5"/>
        <v>529</v>
      </c>
      <c r="BC73" s="10">
        <f t="shared" si="6"/>
        <v>95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6</v>
      </c>
      <c r="F74" s="50">
        <f t="shared" ref="F74:AQ74" si="21">COUNTIF(F10:F73,"a")</f>
        <v>6</v>
      </c>
      <c r="G74" s="50">
        <f t="shared" si="21"/>
        <v>6</v>
      </c>
      <c r="H74" s="50">
        <f t="shared" si="21"/>
        <v>6</v>
      </c>
      <c r="I74" s="50">
        <f t="shared" si="21"/>
        <v>6</v>
      </c>
      <c r="J74" s="50">
        <f t="shared" si="21"/>
        <v>6</v>
      </c>
      <c r="K74" s="50">
        <f t="shared" si="21"/>
        <v>6</v>
      </c>
      <c r="L74" s="50">
        <f t="shared" si="21"/>
        <v>6</v>
      </c>
      <c r="M74" s="147"/>
      <c r="N74" s="148"/>
      <c r="O74" s="148"/>
      <c r="P74" s="148"/>
      <c r="Q74" s="148"/>
      <c r="R74" s="148"/>
      <c r="S74" s="148"/>
      <c r="T74" s="149"/>
      <c r="U74" s="50">
        <f t="shared" si="21"/>
        <v>2</v>
      </c>
      <c r="V74" s="50">
        <f t="shared" si="21"/>
        <v>2</v>
      </c>
      <c r="W74" s="50">
        <f t="shared" si="21"/>
        <v>2</v>
      </c>
      <c r="X74" s="50">
        <f t="shared" si="21"/>
        <v>2</v>
      </c>
      <c r="Y74" s="50">
        <f t="shared" si="21"/>
        <v>2</v>
      </c>
      <c r="Z74" s="50">
        <f t="shared" si="21"/>
        <v>2</v>
      </c>
      <c r="AA74" s="50">
        <f t="shared" si="21"/>
        <v>2</v>
      </c>
      <c r="AB74" s="50">
        <f t="shared" si="21"/>
        <v>2</v>
      </c>
      <c r="AC74" s="50">
        <f t="shared" si="21"/>
        <v>30</v>
      </c>
      <c r="AD74" s="50">
        <f t="shared" si="21"/>
        <v>30</v>
      </c>
      <c r="AE74" s="50">
        <f t="shared" si="21"/>
        <v>30</v>
      </c>
      <c r="AF74" s="50">
        <f t="shared" si="21"/>
        <v>30</v>
      </c>
      <c r="AG74" s="50">
        <f t="shared" si="21"/>
        <v>30</v>
      </c>
      <c r="AH74" s="50">
        <f t="shared" si="21"/>
        <v>30</v>
      </c>
      <c r="AI74" s="50">
        <f t="shared" si="21"/>
        <v>30</v>
      </c>
      <c r="AJ74" s="50">
        <f t="shared" si="21"/>
        <v>30</v>
      </c>
      <c r="AK74" s="50">
        <f t="shared" si="21"/>
        <v>35</v>
      </c>
      <c r="AL74" s="50">
        <f t="shared" si="21"/>
        <v>35</v>
      </c>
      <c r="AM74" s="50">
        <f t="shared" si="21"/>
        <v>35</v>
      </c>
      <c r="AN74" s="50">
        <f t="shared" si="21"/>
        <v>35</v>
      </c>
      <c r="AO74" s="50">
        <f t="shared" si="21"/>
        <v>35</v>
      </c>
      <c r="AP74" s="50">
        <f t="shared" si="21"/>
        <v>35</v>
      </c>
      <c r="AQ74" s="50">
        <f t="shared" si="21"/>
        <v>35</v>
      </c>
      <c r="AR74" s="50"/>
      <c r="AS74" s="147"/>
      <c r="AT74" s="148"/>
      <c r="AU74" s="148"/>
      <c r="AV74" s="148"/>
      <c r="AW74" s="148"/>
      <c r="AX74" s="148"/>
      <c r="AY74" s="148"/>
      <c r="AZ74" s="155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44" t="str">
        <f>E9</f>
        <v>PA</v>
      </c>
      <c r="F75" s="145"/>
      <c r="G75" s="145"/>
      <c r="H75" s="145"/>
      <c r="I75" s="145"/>
      <c r="J75" s="145"/>
      <c r="K75" s="145"/>
      <c r="L75" s="146"/>
      <c r="M75" s="144"/>
      <c r="N75" s="145"/>
      <c r="O75" s="145"/>
      <c r="P75" s="145"/>
      <c r="Q75" s="145"/>
      <c r="R75" s="145"/>
      <c r="S75" s="145"/>
      <c r="T75" s="146"/>
      <c r="U75" s="144" t="str">
        <f t="shared" ref="U75:AQ75" si="22">U9</f>
        <v>BB</v>
      </c>
      <c r="V75" s="145"/>
      <c r="W75" s="145"/>
      <c r="X75" s="145"/>
      <c r="Y75" s="145"/>
      <c r="Z75" s="145"/>
      <c r="AA75" s="145"/>
      <c r="AB75" s="146"/>
      <c r="AC75" s="102" t="str">
        <f t="shared" si="22"/>
        <v>VP</v>
      </c>
      <c r="AD75" s="102" t="str">
        <f t="shared" si="22"/>
        <v>BB</v>
      </c>
      <c r="AE75" s="102" t="str">
        <f t="shared" si="22"/>
        <v>SG</v>
      </c>
      <c r="AF75" s="102" t="str">
        <f t="shared" si="22"/>
        <v>PA</v>
      </c>
      <c r="AG75" s="102" t="str">
        <f t="shared" si="22"/>
        <v>SG</v>
      </c>
      <c r="AH75" s="102" t="str">
        <f t="shared" si="22"/>
        <v>SS</v>
      </c>
      <c r="AI75" s="102" t="str">
        <f t="shared" si="22"/>
        <v>NS</v>
      </c>
      <c r="AJ75" s="102" t="str">
        <f t="shared" si="22"/>
        <v>BB</v>
      </c>
      <c r="AK75" s="102" t="str">
        <f t="shared" si="22"/>
        <v>SG</v>
      </c>
      <c r="AL75" s="102" t="str">
        <f t="shared" si="22"/>
        <v>SG</v>
      </c>
      <c r="AM75" s="102" t="str">
        <f t="shared" si="22"/>
        <v>BB</v>
      </c>
      <c r="AN75" s="102" t="str">
        <f t="shared" si="22"/>
        <v>BB</v>
      </c>
      <c r="AO75" s="102" t="str">
        <f t="shared" si="22"/>
        <v>NS</v>
      </c>
      <c r="AP75" s="102" t="str">
        <f t="shared" si="22"/>
        <v>SG</v>
      </c>
      <c r="AQ75" s="102" t="str">
        <f t="shared" si="22"/>
        <v>PA</v>
      </c>
      <c r="AR75" s="102"/>
      <c r="AS75" s="144"/>
      <c r="AT75" s="145"/>
      <c r="AU75" s="145"/>
      <c r="AV75" s="145"/>
      <c r="AW75" s="145"/>
      <c r="AX75" s="145"/>
      <c r="AY75" s="145"/>
      <c r="AZ75" s="156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4">
    <mergeCell ref="A1:BC1"/>
    <mergeCell ref="A2:BC2"/>
    <mergeCell ref="A3:BC3"/>
    <mergeCell ref="A4:L4"/>
    <mergeCell ref="U4:AC4"/>
    <mergeCell ref="AL4:BC4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S6:AZ6"/>
    <mergeCell ref="A7:A9"/>
    <mergeCell ref="B7:B9"/>
    <mergeCell ref="C7:C8"/>
    <mergeCell ref="D7:D8"/>
    <mergeCell ref="I8:L8"/>
    <mergeCell ref="R8:T8"/>
    <mergeCell ref="U8:X8"/>
    <mergeCell ref="E8:H8"/>
    <mergeCell ref="BB8:BB9"/>
    <mergeCell ref="I9:L9"/>
    <mergeCell ref="R9:T9"/>
    <mergeCell ref="U9:X9"/>
    <mergeCell ref="Y8:AB8"/>
    <mergeCell ref="AS10:AZ42"/>
    <mergeCell ref="AS43:AZ73"/>
    <mergeCell ref="AS74:AZ74"/>
    <mergeCell ref="AS75:AZ75"/>
    <mergeCell ref="BA8:BA9"/>
    <mergeCell ref="A74:D74"/>
    <mergeCell ref="A76:D76"/>
    <mergeCell ref="A79:I79"/>
    <mergeCell ref="A80:H80"/>
    <mergeCell ref="AR80:BC80"/>
    <mergeCell ref="E9:H9"/>
    <mergeCell ref="M10:T42"/>
    <mergeCell ref="M43:T73"/>
    <mergeCell ref="E75:L75"/>
    <mergeCell ref="U75:AB75"/>
    <mergeCell ref="Y9:AB9"/>
    <mergeCell ref="M74:T74"/>
    <mergeCell ref="M75:T75"/>
  </mergeCells>
  <conditionalFormatting sqref="BC1:BC73">
    <cfRule type="cellIs" dxfId="8" priority="1" operator="lessThan">
      <formula>75</formula>
    </cfRule>
  </conditionalFormatting>
  <conditionalFormatting sqref="BC10:BC73">
    <cfRule type="cellIs" dxfId="7" priority="3" operator="lessThan">
      <formula>75</formula>
    </cfRule>
  </conditionalFormatting>
  <conditionalFormatting sqref="BC80">
    <cfRule type="cellIs" dxfId="6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4" orientation="landscape" horizontalDpi="4294967292" verticalDpi="0" r:id="rId1"/>
  <rowBreaks count="1" manualBreakCount="1">
    <brk id="42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6443-5F9C-4DA2-96AD-9ABB1BE9F567}">
  <dimension ref="A1:BC80"/>
  <sheetViews>
    <sheetView tabSelected="1" view="pageBreakPreview" zoomScale="85" zoomScaleNormal="70" zoomScaleSheetLayoutView="85" workbookViewId="0">
      <selection activeCell="I63" sqref="I63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</row>
    <row r="2" spans="1:55" s="51" customFormat="1" ht="21" x14ac:dyDescent="0.35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</row>
    <row r="3" spans="1:55" ht="22.5" x14ac:dyDescent="0.35">
      <c r="A3" s="187" t="s">
        <v>276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</row>
    <row r="4" spans="1:55" ht="20.5" thickBot="1" x14ac:dyDescent="0.45">
      <c r="A4" s="189" t="s">
        <v>268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2"/>
      <c r="N4" s="1"/>
      <c r="O4" s="1"/>
      <c r="P4" s="1"/>
      <c r="Q4" s="1"/>
      <c r="R4" s="1"/>
      <c r="S4" s="1"/>
      <c r="T4" s="1"/>
      <c r="U4" s="190" t="s">
        <v>19</v>
      </c>
      <c r="V4" s="191"/>
      <c r="W4" s="191"/>
      <c r="X4" s="191"/>
      <c r="Y4" s="191"/>
      <c r="Z4" s="191"/>
      <c r="AA4" s="191"/>
      <c r="AB4" s="191"/>
      <c r="AC4" s="191"/>
      <c r="AD4" s="2"/>
      <c r="AE4" s="2"/>
      <c r="AF4" s="1"/>
      <c r="AG4" s="1"/>
      <c r="AH4" s="1"/>
      <c r="AI4" s="1"/>
      <c r="AJ4" s="1"/>
      <c r="AK4" s="1"/>
      <c r="AL4" s="189" t="s">
        <v>127</v>
      </c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</row>
    <row r="5" spans="1:55" ht="16.399999999999999" customHeight="1" thickBot="1" x14ac:dyDescent="0.4">
      <c r="A5" s="183" t="s">
        <v>2</v>
      </c>
      <c r="B5" s="184"/>
      <c r="C5" s="184"/>
      <c r="D5" s="184"/>
      <c r="E5" s="177" t="s">
        <v>269</v>
      </c>
      <c r="F5" s="177"/>
      <c r="G5" s="177"/>
      <c r="H5" s="177"/>
      <c r="I5" s="177"/>
      <c r="J5" s="177"/>
      <c r="K5" s="177"/>
      <c r="L5" s="177"/>
      <c r="M5" s="177" t="s">
        <v>270</v>
      </c>
      <c r="N5" s="177"/>
      <c r="O5" s="177"/>
      <c r="P5" s="177"/>
      <c r="Q5" s="177"/>
      <c r="R5" s="177"/>
      <c r="S5" s="177"/>
      <c r="T5" s="177"/>
      <c r="U5" s="177" t="s">
        <v>271</v>
      </c>
      <c r="V5" s="177"/>
      <c r="W5" s="177"/>
      <c r="X5" s="177"/>
      <c r="Y5" s="177"/>
      <c r="Z5" s="177"/>
      <c r="AA5" s="177"/>
      <c r="AB5" s="177"/>
      <c r="AC5" s="177" t="s">
        <v>272</v>
      </c>
      <c r="AD5" s="177"/>
      <c r="AE5" s="177"/>
      <c r="AF5" s="177"/>
      <c r="AG5" s="177"/>
      <c r="AH5" s="177"/>
      <c r="AI5" s="177"/>
      <c r="AJ5" s="177"/>
      <c r="AK5" s="177" t="s">
        <v>279</v>
      </c>
      <c r="AL5" s="177"/>
      <c r="AM5" s="177"/>
      <c r="AN5" s="177"/>
      <c r="AO5" s="177"/>
      <c r="AP5" s="177"/>
      <c r="AQ5" s="177"/>
      <c r="AR5" s="177"/>
      <c r="AS5" s="177" t="s">
        <v>273</v>
      </c>
      <c r="AT5" s="177"/>
      <c r="AU5" s="177"/>
      <c r="AV5" s="177"/>
      <c r="AW5" s="177"/>
      <c r="AX5" s="177"/>
      <c r="AY5" s="177"/>
      <c r="AZ5" s="178"/>
      <c r="BA5" s="157">
        <v>24</v>
      </c>
      <c r="BB5" s="179">
        <f>D7+BA5</f>
        <v>581</v>
      </c>
      <c r="BC5" s="182" t="s">
        <v>4</v>
      </c>
    </row>
    <row r="6" spans="1:55" ht="15.5" thickBot="1" x14ac:dyDescent="0.4">
      <c r="A6" s="183" t="s">
        <v>5</v>
      </c>
      <c r="B6" s="184"/>
      <c r="C6" s="184"/>
      <c r="D6" s="184"/>
      <c r="E6" s="185" t="s">
        <v>6</v>
      </c>
      <c r="F6" s="162"/>
      <c r="G6" s="162"/>
      <c r="H6" s="162"/>
      <c r="I6" s="162"/>
      <c r="J6" s="162"/>
      <c r="K6" s="162"/>
      <c r="L6" s="186"/>
      <c r="M6" s="184" t="s">
        <v>7</v>
      </c>
      <c r="N6" s="184"/>
      <c r="O6" s="184"/>
      <c r="P6" s="184"/>
      <c r="Q6" s="184"/>
      <c r="R6" s="184"/>
      <c r="S6" s="184"/>
      <c r="T6" s="184"/>
      <c r="U6" s="185" t="s">
        <v>8</v>
      </c>
      <c r="V6" s="162"/>
      <c r="W6" s="162"/>
      <c r="X6" s="162"/>
      <c r="Y6" s="162"/>
      <c r="Z6" s="162"/>
      <c r="AA6" s="162"/>
      <c r="AB6" s="162"/>
      <c r="AC6" s="162" t="s">
        <v>9</v>
      </c>
      <c r="AD6" s="162"/>
      <c r="AE6" s="162"/>
      <c r="AF6" s="162"/>
      <c r="AG6" s="162"/>
      <c r="AH6" s="162"/>
      <c r="AI6" s="162"/>
      <c r="AJ6" s="162"/>
      <c r="AK6" s="162" t="s">
        <v>10</v>
      </c>
      <c r="AL6" s="162"/>
      <c r="AM6" s="162"/>
      <c r="AN6" s="162"/>
      <c r="AO6" s="162"/>
      <c r="AP6" s="162"/>
      <c r="AQ6" s="162"/>
      <c r="AR6" s="162"/>
      <c r="AS6" s="162" t="s">
        <v>11</v>
      </c>
      <c r="AT6" s="162"/>
      <c r="AU6" s="162"/>
      <c r="AV6" s="162"/>
      <c r="AW6" s="162"/>
      <c r="AX6" s="162"/>
      <c r="AY6" s="162"/>
      <c r="AZ6" s="163"/>
      <c r="BA6" s="159"/>
      <c r="BB6" s="180"/>
      <c r="BC6" s="182"/>
    </row>
    <row r="7" spans="1:55" ht="16.5" customHeight="1" thickBot="1" x14ac:dyDescent="0.4">
      <c r="A7" s="164" t="s">
        <v>12</v>
      </c>
      <c r="B7" s="167" t="s">
        <v>13</v>
      </c>
      <c r="C7" s="170"/>
      <c r="D7" s="303">
        <v>557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158"/>
      <c r="BB7" s="181"/>
      <c r="BC7" s="182"/>
    </row>
    <row r="8" spans="1:55" ht="30" customHeight="1" thickBot="1" x14ac:dyDescent="0.4">
      <c r="A8" s="165"/>
      <c r="B8" s="168"/>
      <c r="C8" s="171"/>
      <c r="D8" s="304"/>
      <c r="E8" s="259" t="s">
        <v>96</v>
      </c>
      <c r="F8" s="257"/>
      <c r="G8" s="257"/>
      <c r="H8" s="257"/>
      <c r="I8" s="257"/>
      <c r="J8" s="257"/>
      <c r="K8" s="257"/>
      <c r="L8" s="258"/>
      <c r="M8" s="129" t="s">
        <v>94</v>
      </c>
      <c r="N8" s="130"/>
      <c r="O8" s="130"/>
      <c r="P8" s="130"/>
      <c r="Q8" s="130"/>
      <c r="R8" s="130"/>
      <c r="S8" s="130"/>
      <c r="T8" s="161"/>
      <c r="U8" s="192"/>
      <c r="V8" s="193"/>
      <c r="W8" s="193"/>
      <c r="X8" s="194"/>
      <c r="Y8" s="59"/>
      <c r="Z8" s="59"/>
      <c r="AA8" s="59"/>
      <c r="AB8" s="60"/>
      <c r="AC8" s="58"/>
      <c r="AD8" s="59"/>
      <c r="AE8" s="59"/>
      <c r="AF8" s="59"/>
      <c r="AG8" s="59"/>
      <c r="AH8" s="59"/>
      <c r="AI8" s="59"/>
      <c r="AJ8" s="60"/>
      <c r="AK8" s="58"/>
      <c r="AL8" s="59"/>
      <c r="AM8" s="59"/>
      <c r="AN8" s="59"/>
      <c r="AO8" s="195"/>
      <c r="AP8" s="196"/>
      <c r="AQ8" s="196"/>
      <c r="AR8" s="197"/>
      <c r="AS8" s="73"/>
      <c r="AT8" s="74"/>
      <c r="AU8" s="74"/>
      <c r="AV8" s="74"/>
      <c r="AW8" s="74"/>
      <c r="AX8" s="74"/>
      <c r="AY8" s="74"/>
      <c r="AZ8" s="120"/>
      <c r="BA8" s="157" t="s">
        <v>129</v>
      </c>
      <c r="BB8" s="159" t="s">
        <v>147</v>
      </c>
      <c r="BC8" s="182"/>
    </row>
    <row r="9" spans="1:55" ht="39" customHeight="1" thickBot="1" x14ac:dyDescent="0.4">
      <c r="A9" s="166"/>
      <c r="B9" s="169"/>
      <c r="C9" s="118" t="s">
        <v>14</v>
      </c>
      <c r="D9" s="117" t="s">
        <v>128</v>
      </c>
      <c r="E9" s="259" t="s">
        <v>85</v>
      </c>
      <c r="F9" s="257"/>
      <c r="G9" s="257"/>
      <c r="H9" s="257"/>
      <c r="I9" s="257"/>
      <c r="J9" s="257"/>
      <c r="K9" s="257"/>
      <c r="L9" s="258"/>
      <c r="M9" s="129" t="s">
        <v>286</v>
      </c>
      <c r="N9" s="130"/>
      <c r="O9" s="130"/>
      <c r="P9" s="130"/>
      <c r="Q9" s="130"/>
      <c r="R9" s="130"/>
      <c r="S9" s="130"/>
      <c r="T9" s="161"/>
      <c r="U9" s="129"/>
      <c r="V9" s="130"/>
      <c r="W9" s="130"/>
      <c r="X9" s="131"/>
      <c r="Y9" s="56"/>
      <c r="Z9" s="56"/>
      <c r="AA9" s="56"/>
      <c r="AB9" s="79"/>
      <c r="AC9" s="57"/>
      <c r="AD9" s="56"/>
      <c r="AE9" s="56"/>
      <c r="AF9" s="56"/>
      <c r="AG9" s="56"/>
      <c r="AH9" s="56"/>
      <c r="AI9" s="56"/>
      <c r="AJ9" s="79"/>
      <c r="AK9" s="57"/>
      <c r="AL9" s="56"/>
      <c r="AM9" s="56"/>
      <c r="AN9" s="56"/>
      <c r="AO9" s="198"/>
      <c r="AP9" s="199"/>
      <c r="AQ9" s="199"/>
      <c r="AR9" s="200"/>
      <c r="AS9" s="73"/>
      <c r="AT9" s="74"/>
      <c r="AU9" s="74"/>
      <c r="AV9" s="74"/>
      <c r="AW9" s="74"/>
      <c r="AX9" s="74"/>
      <c r="AY9" s="74"/>
      <c r="AZ9" s="120"/>
      <c r="BA9" s="158"/>
      <c r="BB9" s="158"/>
      <c r="BC9" s="182"/>
    </row>
    <row r="10" spans="1:55" ht="15" customHeight="1" x14ac:dyDescent="0.35">
      <c r="A10" s="29">
        <v>820323205061</v>
      </c>
      <c r="B10" s="30" t="s">
        <v>20</v>
      </c>
      <c r="C10" s="6"/>
      <c r="D10" s="7">
        <v>517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62">
        <f t="shared" si="0"/>
        <v>1</v>
      </c>
      <c r="J10" s="62">
        <f t="shared" si="0"/>
        <v>1</v>
      </c>
      <c r="K10" s="62">
        <f t="shared" si="0"/>
        <v>1</v>
      </c>
      <c r="L10" s="63">
        <f t="shared" si="0"/>
        <v>1</v>
      </c>
      <c r="M10" s="61" t="s">
        <v>124</v>
      </c>
      <c r="N10" s="62" t="str">
        <f t="shared" ref="N10:N73" si="1">M10</f>
        <v>a</v>
      </c>
      <c r="O10" s="62" t="str">
        <f t="shared" ref="O10:O73" si="2">N10</f>
        <v>a</v>
      </c>
      <c r="P10" s="62" t="str">
        <f t="shared" ref="P10:P73" si="3">O10</f>
        <v>a</v>
      </c>
      <c r="Q10" s="62" t="str">
        <f t="shared" ref="Q10:Q73" si="4">P10</f>
        <v>a</v>
      </c>
      <c r="R10" s="62" t="str">
        <f t="shared" ref="R10:R73" si="5">Q10</f>
        <v>a</v>
      </c>
      <c r="S10" s="62" t="str">
        <f t="shared" ref="S10:S73" si="6">R10</f>
        <v>a</v>
      </c>
      <c r="T10" s="63" t="str">
        <f t="shared" ref="T10:T73" si="7">S10</f>
        <v>a</v>
      </c>
      <c r="U10" s="61" t="s">
        <v>124</v>
      </c>
      <c r="V10" s="62" t="str">
        <f t="shared" ref="V10:V73" si="8">U10</f>
        <v>a</v>
      </c>
      <c r="W10" s="62" t="str">
        <f t="shared" ref="W10:W73" si="9">V10</f>
        <v>a</v>
      </c>
      <c r="X10" s="62" t="str">
        <f t="shared" ref="X10:X73" si="10">W10</f>
        <v>a</v>
      </c>
      <c r="Y10" s="62" t="str">
        <f t="shared" ref="Y10:Y73" si="11">X10</f>
        <v>a</v>
      </c>
      <c r="Z10" s="62" t="str">
        <f t="shared" ref="Z10:Z73" si="12">Y10</f>
        <v>a</v>
      </c>
      <c r="AA10" s="62" t="str">
        <f t="shared" ref="AA10:AA73" si="13">Z10</f>
        <v>a</v>
      </c>
      <c r="AB10" s="63" t="str">
        <f t="shared" ref="AB10:AB73" si="14">AA10</f>
        <v>a</v>
      </c>
      <c r="AC10" s="153" t="s">
        <v>274</v>
      </c>
      <c r="AD10" s="133"/>
      <c r="AE10" s="133"/>
      <c r="AF10" s="133"/>
      <c r="AG10" s="133"/>
      <c r="AH10" s="133"/>
      <c r="AI10" s="133"/>
      <c r="AJ10" s="134"/>
      <c r="AK10" s="153" t="s">
        <v>275</v>
      </c>
      <c r="AL10" s="133"/>
      <c r="AM10" s="133"/>
      <c r="AN10" s="133"/>
      <c r="AO10" s="133"/>
      <c r="AP10" s="133"/>
      <c r="AQ10" s="133"/>
      <c r="AR10" s="134"/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15">SUM(E10:AZ10)</f>
        <v>8</v>
      </c>
      <c r="BB10" s="9">
        <f>BA10+D10+C10</f>
        <v>525</v>
      </c>
      <c r="BC10" s="10">
        <f>ROUND((BB10/BB$5)*100,0)</f>
        <v>90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495</v>
      </c>
      <c r="E11" s="61" t="s">
        <v>124</v>
      </c>
      <c r="F11" s="62" t="str">
        <f>E11</f>
        <v>a</v>
      </c>
      <c r="G11" s="62" t="str">
        <f>F11</f>
        <v>a</v>
      </c>
      <c r="H11" s="62" t="str">
        <f>G11</f>
        <v>a</v>
      </c>
      <c r="I11" s="62">
        <v>1</v>
      </c>
      <c r="J11" s="62">
        <f>I11</f>
        <v>1</v>
      </c>
      <c r="K11" s="62">
        <f>J11</f>
        <v>1</v>
      </c>
      <c r="L11" s="63">
        <f>K11</f>
        <v>1</v>
      </c>
      <c r="M11" s="61" t="s">
        <v>124</v>
      </c>
      <c r="N11" s="62" t="str">
        <f t="shared" si="1"/>
        <v>a</v>
      </c>
      <c r="O11" s="62" t="str">
        <f t="shared" si="2"/>
        <v>a</v>
      </c>
      <c r="P11" s="62" t="str">
        <f t="shared" si="3"/>
        <v>a</v>
      </c>
      <c r="Q11" s="62" t="str">
        <f t="shared" si="4"/>
        <v>a</v>
      </c>
      <c r="R11" s="62" t="str">
        <f t="shared" si="5"/>
        <v>a</v>
      </c>
      <c r="S11" s="62" t="str">
        <f t="shared" si="6"/>
        <v>a</v>
      </c>
      <c r="T11" s="63" t="str">
        <f t="shared" si="7"/>
        <v>a</v>
      </c>
      <c r="U11" s="61" t="s">
        <v>124</v>
      </c>
      <c r="V11" s="62" t="str">
        <f t="shared" si="8"/>
        <v>a</v>
      </c>
      <c r="W11" s="62" t="str">
        <f t="shared" si="9"/>
        <v>a</v>
      </c>
      <c r="X11" s="62" t="str">
        <f t="shared" si="10"/>
        <v>a</v>
      </c>
      <c r="Y11" s="62" t="str">
        <f t="shared" si="11"/>
        <v>a</v>
      </c>
      <c r="Z11" s="62" t="str">
        <f t="shared" si="12"/>
        <v>a</v>
      </c>
      <c r="AA11" s="62" t="str">
        <f t="shared" si="13"/>
        <v>a</v>
      </c>
      <c r="AB11" s="63" t="str">
        <f t="shared" si="14"/>
        <v>a</v>
      </c>
      <c r="AC11" s="135"/>
      <c r="AD11" s="302"/>
      <c r="AE11" s="302"/>
      <c r="AF11" s="302"/>
      <c r="AG11" s="302"/>
      <c r="AH11" s="302"/>
      <c r="AI11" s="302"/>
      <c r="AJ11" s="137"/>
      <c r="AK11" s="135"/>
      <c r="AL11" s="302"/>
      <c r="AM11" s="302"/>
      <c r="AN11" s="302"/>
      <c r="AO11" s="302"/>
      <c r="AP11" s="302"/>
      <c r="AQ11" s="302"/>
      <c r="AR11" s="137"/>
      <c r="AS11" s="135"/>
      <c r="AT11" s="302"/>
      <c r="AU11" s="302"/>
      <c r="AV11" s="302"/>
      <c r="AW11" s="302"/>
      <c r="AX11" s="302"/>
      <c r="AY11" s="302"/>
      <c r="AZ11" s="137"/>
      <c r="BA11" s="37">
        <f t="shared" si="15"/>
        <v>4</v>
      </c>
      <c r="BB11" s="9">
        <f t="shared" ref="BB11:BB73" si="16">BA11+D11+C11</f>
        <v>499</v>
      </c>
      <c r="BC11" s="10">
        <f t="shared" ref="BC11:BC73" si="17">ROUND((BB11/BB$5)*100,0)</f>
        <v>86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533</v>
      </c>
      <c r="E12" s="61" t="s">
        <v>124</v>
      </c>
      <c r="F12" s="62" t="str">
        <f t="shared" ref="F12:L27" si="18">E12</f>
        <v>a</v>
      </c>
      <c r="G12" s="62" t="str">
        <f t="shared" si="18"/>
        <v>a</v>
      </c>
      <c r="H12" s="62" t="str">
        <f t="shared" si="18"/>
        <v>a</v>
      </c>
      <c r="I12" s="62" t="str">
        <f t="shared" si="18"/>
        <v>a</v>
      </c>
      <c r="J12" s="62" t="str">
        <f t="shared" si="18"/>
        <v>a</v>
      </c>
      <c r="K12" s="62" t="str">
        <f t="shared" si="18"/>
        <v>a</v>
      </c>
      <c r="L12" s="63" t="str">
        <f t="shared" si="18"/>
        <v>a</v>
      </c>
      <c r="M12" s="61" t="s">
        <v>124</v>
      </c>
      <c r="N12" s="62" t="str">
        <f t="shared" si="1"/>
        <v>a</v>
      </c>
      <c r="O12" s="62" t="str">
        <f t="shared" si="2"/>
        <v>a</v>
      </c>
      <c r="P12" s="62" t="str">
        <f t="shared" si="3"/>
        <v>a</v>
      </c>
      <c r="Q12" s="62" t="str">
        <f t="shared" si="4"/>
        <v>a</v>
      </c>
      <c r="R12" s="62" t="str">
        <f t="shared" si="5"/>
        <v>a</v>
      </c>
      <c r="S12" s="62" t="str">
        <f t="shared" si="6"/>
        <v>a</v>
      </c>
      <c r="T12" s="63" t="str">
        <f t="shared" si="7"/>
        <v>a</v>
      </c>
      <c r="U12" s="61" t="s">
        <v>124</v>
      </c>
      <c r="V12" s="62" t="str">
        <f t="shared" si="8"/>
        <v>a</v>
      </c>
      <c r="W12" s="62" t="str">
        <f t="shared" si="9"/>
        <v>a</v>
      </c>
      <c r="X12" s="62" t="str">
        <f t="shared" si="10"/>
        <v>a</v>
      </c>
      <c r="Y12" s="62" t="str">
        <f t="shared" si="11"/>
        <v>a</v>
      </c>
      <c r="Z12" s="62" t="str">
        <f t="shared" si="12"/>
        <v>a</v>
      </c>
      <c r="AA12" s="62" t="str">
        <f t="shared" si="13"/>
        <v>a</v>
      </c>
      <c r="AB12" s="63" t="str">
        <f t="shared" si="14"/>
        <v>a</v>
      </c>
      <c r="AC12" s="135"/>
      <c r="AD12" s="302"/>
      <c r="AE12" s="302"/>
      <c r="AF12" s="302"/>
      <c r="AG12" s="302"/>
      <c r="AH12" s="302"/>
      <c r="AI12" s="302"/>
      <c r="AJ12" s="137"/>
      <c r="AK12" s="135"/>
      <c r="AL12" s="302"/>
      <c r="AM12" s="302"/>
      <c r="AN12" s="302"/>
      <c r="AO12" s="302"/>
      <c r="AP12" s="302"/>
      <c r="AQ12" s="302"/>
      <c r="AR12" s="137"/>
      <c r="AS12" s="135"/>
      <c r="AT12" s="302"/>
      <c r="AU12" s="302"/>
      <c r="AV12" s="302"/>
      <c r="AW12" s="302"/>
      <c r="AX12" s="302"/>
      <c r="AY12" s="302"/>
      <c r="AZ12" s="137"/>
      <c r="BA12" s="37">
        <f t="shared" si="15"/>
        <v>0</v>
      </c>
      <c r="BB12" s="9">
        <f t="shared" si="16"/>
        <v>533</v>
      </c>
      <c r="BC12" s="10">
        <f t="shared" si="17"/>
        <v>92</v>
      </c>
    </row>
    <row r="13" spans="1:55" ht="15" customHeight="1" x14ac:dyDescent="0.35">
      <c r="A13" s="29">
        <v>820323205064</v>
      </c>
      <c r="B13" s="30" t="s">
        <v>23</v>
      </c>
      <c r="C13" s="11">
        <v>24</v>
      </c>
      <c r="D13" s="7">
        <v>518</v>
      </c>
      <c r="E13" s="61" t="s">
        <v>124</v>
      </c>
      <c r="F13" s="62" t="str">
        <f t="shared" si="18"/>
        <v>a</v>
      </c>
      <c r="G13" s="62" t="str">
        <f t="shared" si="18"/>
        <v>a</v>
      </c>
      <c r="H13" s="62" t="str">
        <f t="shared" si="18"/>
        <v>a</v>
      </c>
      <c r="I13" s="62" t="str">
        <f t="shared" si="18"/>
        <v>a</v>
      </c>
      <c r="J13" s="62" t="str">
        <f t="shared" si="18"/>
        <v>a</v>
      </c>
      <c r="K13" s="62" t="str">
        <f t="shared" si="18"/>
        <v>a</v>
      </c>
      <c r="L13" s="63" t="str">
        <f t="shared" si="18"/>
        <v>a</v>
      </c>
      <c r="M13" s="61" t="s">
        <v>124</v>
      </c>
      <c r="N13" s="62" t="str">
        <f t="shared" si="1"/>
        <v>a</v>
      </c>
      <c r="O13" s="62" t="str">
        <f t="shared" si="2"/>
        <v>a</v>
      </c>
      <c r="P13" s="62" t="str">
        <f t="shared" si="3"/>
        <v>a</v>
      </c>
      <c r="Q13" s="62" t="str">
        <f t="shared" si="4"/>
        <v>a</v>
      </c>
      <c r="R13" s="62" t="str">
        <f t="shared" si="5"/>
        <v>a</v>
      </c>
      <c r="S13" s="62" t="str">
        <f t="shared" si="6"/>
        <v>a</v>
      </c>
      <c r="T13" s="63" t="str">
        <f t="shared" si="7"/>
        <v>a</v>
      </c>
      <c r="U13" s="61" t="s">
        <v>124</v>
      </c>
      <c r="V13" s="62" t="str">
        <f t="shared" si="8"/>
        <v>a</v>
      </c>
      <c r="W13" s="62" t="str">
        <f t="shared" si="9"/>
        <v>a</v>
      </c>
      <c r="X13" s="62" t="str">
        <f t="shared" si="10"/>
        <v>a</v>
      </c>
      <c r="Y13" s="62" t="str">
        <f t="shared" si="11"/>
        <v>a</v>
      </c>
      <c r="Z13" s="62" t="str">
        <f t="shared" si="12"/>
        <v>a</v>
      </c>
      <c r="AA13" s="62" t="str">
        <f t="shared" si="13"/>
        <v>a</v>
      </c>
      <c r="AB13" s="63" t="str">
        <f t="shared" si="14"/>
        <v>a</v>
      </c>
      <c r="AC13" s="135"/>
      <c r="AD13" s="302"/>
      <c r="AE13" s="302"/>
      <c r="AF13" s="302"/>
      <c r="AG13" s="302"/>
      <c r="AH13" s="302"/>
      <c r="AI13" s="302"/>
      <c r="AJ13" s="137"/>
      <c r="AK13" s="135"/>
      <c r="AL13" s="302"/>
      <c r="AM13" s="302"/>
      <c r="AN13" s="302"/>
      <c r="AO13" s="302"/>
      <c r="AP13" s="302"/>
      <c r="AQ13" s="302"/>
      <c r="AR13" s="137"/>
      <c r="AS13" s="135"/>
      <c r="AT13" s="302"/>
      <c r="AU13" s="302"/>
      <c r="AV13" s="302"/>
      <c r="AW13" s="302"/>
      <c r="AX13" s="302"/>
      <c r="AY13" s="302"/>
      <c r="AZ13" s="137"/>
      <c r="BA13" s="37">
        <f t="shared" si="15"/>
        <v>0</v>
      </c>
      <c r="BB13" s="9">
        <f t="shared" si="16"/>
        <v>542</v>
      </c>
      <c r="BC13" s="10">
        <f t="shared" si="17"/>
        <v>93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489</v>
      </c>
      <c r="E14" s="61">
        <v>1</v>
      </c>
      <c r="F14" s="62">
        <f t="shared" si="18"/>
        <v>1</v>
      </c>
      <c r="G14" s="62">
        <f t="shared" si="18"/>
        <v>1</v>
      </c>
      <c r="H14" s="62">
        <f t="shared" si="18"/>
        <v>1</v>
      </c>
      <c r="I14" s="62">
        <f t="shared" si="18"/>
        <v>1</v>
      </c>
      <c r="J14" s="62">
        <f t="shared" si="18"/>
        <v>1</v>
      </c>
      <c r="K14" s="62">
        <f t="shared" si="18"/>
        <v>1</v>
      </c>
      <c r="L14" s="63">
        <f t="shared" si="18"/>
        <v>1</v>
      </c>
      <c r="M14" s="61">
        <v>1</v>
      </c>
      <c r="N14" s="62">
        <f t="shared" si="1"/>
        <v>1</v>
      </c>
      <c r="O14" s="62">
        <f t="shared" si="2"/>
        <v>1</v>
      </c>
      <c r="P14" s="62">
        <f t="shared" si="3"/>
        <v>1</v>
      </c>
      <c r="Q14" s="62">
        <f t="shared" si="4"/>
        <v>1</v>
      </c>
      <c r="R14" s="62">
        <f t="shared" si="5"/>
        <v>1</v>
      </c>
      <c r="S14" s="62">
        <f t="shared" si="6"/>
        <v>1</v>
      </c>
      <c r="T14" s="63">
        <f t="shared" si="7"/>
        <v>1</v>
      </c>
      <c r="U14" s="61" t="s">
        <v>124</v>
      </c>
      <c r="V14" s="62" t="str">
        <f t="shared" si="8"/>
        <v>a</v>
      </c>
      <c r="W14" s="62" t="str">
        <f t="shared" si="9"/>
        <v>a</v>
      </c>
      <c r="X14" s="62" t="str">
        <f t="shared" si="10"/>
        <v>a</v>
      </c>
      <c r="Y14" s="62" t="str">
        <f t="shared" si="11"/>
        <v>a</v>
      </c>
      <c r="Z14" s="62" t="str">
        <f t="shared" si="12"/>
        <v>a</v>
      </c>
      <c r="AA14" s="62" t="str">
        <f t="shared" si="13"/>
        <v>a</v>
      </c>
      <c r="AB14" s="63" t="str">
        <f t="shared" si="14"/>
        <v>a</v>
      </c>
      <c r="AC14" s="135"/>
      <c r="AD14" s="302"/>
      <c r="AE14" s="302"/>
      <c r="AF14" s="302"/>
      <c r="AG14" s="302"/>
      <c r="AH14" s="302"/>
      <c r="AI14" s="302"/>
      <c r="AJ14" s="137"/>
      <c r="AK14" s="135"/>
      <c r="AL14" s="302"/>
      <c r="AM14" s="302"/>
      <c r="AN14" s="302"/>
      <c r="AO14" s="302"/>
      <c r="AP14" s="302"/>
      <c r="AQ14" s="302"/>
      <c r="AR14" s="137"/>
      <c r="AS14" s="135"/>
      <c r="AT14" s="302"/>
      <c r="AU14" s="302"/>
      <c r="AV14" s="302"/>
      <c r="AW14" s="302"/>
      <c r="AX14" s="302"/>
      <c r="AY14" s="302"/>
      <c r="AZ14" s="137"/>
      <c r="BA14" s="37">
        <f t="shared" si="15"/>
        <v>16</v>
      </c>
      <c r="BB14" s="9">
        <f t="shared" si="16"/>
        <v>505</v>
      </c>
      <c r="BC14" s="10">
        <f t="shared" si="17"/>
        <v>87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432</v>
      </c>
      <c r="E15" s="61">
        <v>1</v>
      </c>
      <c r="F15" s="62">
        <f t="shared" si="18"/>
        <v>1</v>
      </c>
      <c r="G15" s="62">
        <f t="shared" si="18"/>
        <v>1</v>
      </c>
      <c r="H15" s="62">
        <f t="shared" si="18"/>
        <v>1</v>
      </c>
      <c r="I15" s="62">
        <f t="shared" si="18"/>
        <v>1</v>
      </c>
      <c r="J15" s="62">
        <f t="shared" si="18"/>
        <v>1</v>
      </c>
      <c r="K15" s="62">
        <f t="shared" si="18"/>
        <v>1</v>
      </c>
      <c r="L15" s="63">
        <f t="shared" si="18"/>
        <v>1</v>
      </c>
      <c r="M15" s="61" t="s">
        <v>124</v>
      </c>
      <c r="N15" s="62" t="str">
        <f t="shared" si="1"/>
        <v>a</v>
      </c>
      <c r="O15" s="62" t="str">
        <f t="shared" si="2"/>
        <v>a</v>
      </c>
      <c r="P15" s="62" t="str">
        <f t="shared" si="3"/>
        <v>a</v>
      </c>
      <c r="Q15" s="62" t="str">
        <f t="shared" si="4"/>
        <v>a</v>
      </c>
      <c r="R15" s="62" t="str">
        <f t="shared" si="5"/>
        <v>a</v>
      </c>
      <c r="S15" s="62" t="str">
        <f t="shared" si="6"/>
        <v>a</v>
      </c>
      <c r="T15" s="63" t="str">
        <f t="shared" si="7"/>
        <v>a</v>
      </c>
      <c r="U15" s="61" t="s">
        <v>124</v>
      </c>
      <c r="V15" s="62" t="str">
        <f t="shared" si="8"/>
        <v>a</v>
      </c>
      <c r="W15" s="62" t="str">
        <f t="shared" si="9"/>
        <v>a</v>
      </c>
      <c r="X15" s="62" t="str">
        <f t="shared" si="10"/>
        <v>a</v>
      </c>
      <c r="Y15" s="62" t="str">
        <f t="shared" si="11"/>
        <v>a</v>
      </c>
      <c r="Z15" s="62" t="str">
        <f t="shared" si="12"/>
        <v>a</v>
      </c>
      <c r="AA15" s="62" t="str">
        <f t="shared" si="13"/>
        <v>a</v>
      </c>
      <c r="AB15" s="63" t="str">
        <f t="shared" si="14"/>
        <v>a</v>
      </c>
      <c r="AC15" s="135"/>
      <c r="AD15" s="302"/>
      <c r="AE15" s="302"/>
      <c r="AF15" s="302"/>
      <c r="AG15" s="302"/>
      <c r="AH15" s="302"/>
      <c r="AI15" s="302"/>
      <c r="AJ15" s="137"/>
      <c r="AK15" s="135"/>
      <c r="AL15" s="302"/>
      <c r="AM15" s="302"/>
      <c r="AN15" s="302"/>
      <c r="AO15" s="302"/>
      <c r="AP15" s="302"/>
      <c r="AQ15" s="302"/>
      <c r="AR15" s="137"/>
      <c r="AS15" s="135"/>
      <c r="AT15" s="302"/>
      <c r="AU15" s="302"/>
      <c r="AV15" s="302"/>
      <c r="AW15" s="302"/>
      <c r="AX15" s="302"/>
      <c r="AY15" s="302"/>
      <c r="AZ15" s="137"/>
      <c r="BA15" s="37">
        <f t="shared" si="15"/>
        <v>8</v>
      </c>
      <c r="BB15" s="9">
        <f t="shared" si="16"/>
        <v>440</v>
      </c>
      <c r="BC15" s="10">
        <f t="shared" si="17"/>
        <v>76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474</v>
      </c>
      <c r="E16" s="61">
        <v>1</v>
      </c>
      <c r="F16" s="62">
        <f t="shared" si="18"/>
        <v>1</v>
      </c>
      <c r="G16" s="62">
        <f t="shared" si="18"/>
        <v>1</v>
      </c>
      <c r="H16" s="62">
        <f t="shared" si="18"/>
        <v>1</v>
      </c>
      <c r="I16" s="62">
        <f t="shared" si="18"/>
        <v>1</v>
      </c>
      <c r="J16" s="62">
        <f t="shared" si="18"/>
        <v>1</v>
      </c>
      <c r="K16" s="62">
        <f t="shared" si="18"/>
        <v>1</v>
      </c>
      <c r="L16" s="63">
        <f t="shared" si="18"/>
        <v>1</v>
      </c>
      <c r="M16" s="61" t="s">
        <v>124</v>
      </c>
      <c r="N16" s="62" t="str">
        <f t="shared" si="1"/>
        <v>a</v>
      </c>
      <c r="O16" s="62" t="str">
        <f t="shared" si="2"/>
        <v>a</v>
      </c>
      <c r="P16" s="62" t="str">
        <f t="shared" si="3"/>
        <v>a</v>
      </c>
      <c r="Q16" s="62" t="str">
        <f t="shared" si="4"/>
        <v>a</v>
      </c>
      <c r="R16" s="62" t="str">
        <f t="shared" si="5"/>
        <v>a</v>
      </c>
      <c r="S16" s="62" t="str">
        <f t="shared" si="6"/>
        <v>a</v>
      </c>
      <c r="T16" s="63" t="str">
        <f t="shared" si="7"/>
        <v>a</v>
      </c>
      <c r="U16" s="61" t="s">
        <v>124</v>
      </c>
      <c r="V16" s="62" t="str">
        <f t="shared" si="8"/>
        <v>a</v>
      </c>
      <c r="W16" s="62" t="str">
        <f t="shared" si="9"/>
        <v>a</v>
      </c>
      <c r="X16" s="62" t="str">
        <f t="shared" si="10"/>
        <v>a</v>
      </c>
      <c r="Y16" s="62" t="str">
        <f t="shared" si="11"/>
        <v>a</v>
      </c>
      <c r="Z16" s="62" t="str">
        <f t="shared" si="12"/>
        <v>a</v>
      </c>
      <c r="AA16" s="62" t="str">
        <f t="shared" si="13"/>
        <v>a</v>
      </c>
      <c r="AB16" s="63" t="str">
        <f t="shared" si="14"/>
        <v>a</v>
      </c>
      <c r="AC16" s="135"/>
      <c r="AD16" s="302"/>
      <c r="AE16" s="302"/>
      <c r="AF16" s="302"/>
      <c r="AG16" s="302"/>
      <c r="AH16" s="302"/>
      <c r="AI16" s="302"/>
      <c r="AJ16" s="137"/>
      <c r="AK16" s="135"/>
      <c r="AL16" s="302"/>
      <c r="AM16" s="302"/>
      <c r="AN16" s="302"/>
      <c r="AO16" s="302"/>
      <c r="AP16" s="302"/>
      <c r="AQ16" s="302"/>
      <c r="AR16" s="137"/>
      <c r="AS16" s="135"/>
      <c r="AT16" s="302"/>
      <c r="AU16" s="302"/>
      <c r="AV16" s="302"/>
      <c r="AW16" s="302"/>
      <c r="AX16" s="302"/>
      <c r="AY16" s="302"/>
      <c r="AZ16" s="137"/>
      <c r="BA16" s="37">
        <f t="shared" si="15"/>
        <v>8</v>
      </c>
      <c r="BB16" s="9">
        <f t="shared" si="16"/>
        <v>482</v>
      </c>
      <c r="BC16" s="10">
        <f t="shared" si="17"/>
        <v>83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520</v>
      </c>
      <c r="E17" s="61">
        <v>1</v>
      </c>
      <c r="F17" s="62">
        <f t="shared" si="18"/>
        <v>1</v>
      </c>
      <c r="G17" s="62">
        <f t="shared" si="18"/>
        <v>1</v>
      </c>
      <c r="H17" s="62">
        <f t="shared" si="18"/>
        <v>1</v>
      </c>
      <c r="I17" s="62">
        <f t="shared" si="18"/>
        <v>1</v>
      </c>
      <c r="J17" s="62">
        <f t="shared" si="18"/>
        <v>1</v>
      </c>
      <c r="K17" s="62">
        <f t="shared" si="18"/>
        <v>1</v>
      </c>
      <c r="L17" s="63">
        <f t="shared" si="18"/>
        <v>1</v>
      </c>
      <c r="M17" s="61" t="s">
        <v>124</v>
      </c>
      <c r="N17" s="62" t="str">
        <f t="shared" si="1"/>
        <v>a</v>
      </c>
      <c r="O17" s="62" t="str">
        <f t="shared" si="2"/>
        <v>a</v>
      </c>
      <c r="P17" s="62" t="str">
        <f t="shared" si="3"/>
        <v>a</v>
      </c>
      <c r="Q17" s="62" t="str">
        <f t="shared" si="4"/>
        <v>a</v>
      </c>
      <c r="R17" s="62" t="str">
        <f t="shared" si="5"/>
        <v>a</v>
      </c>
      <c r="S17" s="62" t="str">
        <f t="shared" si="6"/>
        <v>a</v>
      </c>
      <c r="T17" s="63" t="str">
        <f t="shared" si="7"/>
        <v>a</v>
      </c>
      <c r="U17" s="61" t="s">
        <v>124</v>
      </c>
      <c r="V17" s="62" t="str">
        <f t="shared" si="8"/>
        <v>a</v>
      </c>
      <c r="W17" s="62" t="str">
        <f t="shared" si="9"/>
        <v>a</v>
      </c>
      <c r="X17" s="62" t="str">
        <f t="shared" si="10"/>
        <v>a</v>
      </c>
      <c r="Y17" s="62" t="str">
        <f t="shared" si="11"/>
        <v>a</v>
      </c>
      <c r="Z17" s="62" t="str">
        <f t="shared" si="12"/>
        <v>a</v>
      </c>
      <c r="AA17" s="62" t="str">
        <f t="shared" si="13"/>
        <v>a</v>
      </c>
      <c r="AB17" s="63" t="str">
        <f t="shared" si="14"/>
        <v>a</v>
      </c>
      <c r="AC17" s="135"/>
      <c r="AD17" s="302"/>
      <c r="AE17" s="302"/>
      <c r="AF17" s="302"/>
      <c r="AG17" s="302"/>
      <c r="AH17" s="302"/>
      <c r="AI17" s="302"/>
      <c r="AJ17" s="137"/>
      <c r="AK17" s="135"/>
      <c r="AL17" s="302"/>
      <c r="AM17" s="302"/>
      <c r="AN17" s="302"/>
      <c r="AO17" s="302"/>
      <c r="AP17" s="302"/>
      <c r="AQ17" s="302"/>
      <c r="AR17" s="137"/>
      <c r="AS17" s="135"/>
      <c r="AT17" s="302"/>
      <c r="AU17" s="302"/>
      <c r="AV17" s="302"/>
      <c r="AW17" s="302"/>
      <c r="AX17" s="302"/>
      <c r="AY17" s="302"/>
      <c r="AZ17" s="137"/>
      <c r="BA17" s="37">
        <f t="shared" si="15"/>
        <v>8</v>
      </c>
      <c r="BB17" s="9">
        <f t="shared" si="16"/>
        <v>528</v>
      </c>
      <c r="BC17" s="10">
        <f t="shared" si="17"/>
        <v>91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444</v>
      </c>
      <c r="E18" s="61">
        <v>1</v>
      </c>
      <c r="F18" s="62">
        <f t="shared" si="18"/>
        <v>1</v>
      </c>
      <c r="G18" s="62">
        <f t="shared" si="18"/>
        <v>1</v>
      </c>
      <c r="H18" s="62">
        <f t="shared" si="18"/>
        <v>1</v>
      </c>
      <c r="I18" s="62">
        <f t="shared" si="18"/>
        <v>1</v>
      </c>
      <c r="J18" s="62">
        <f t="shared" si="18"/>
        <v>1</v>
      </c>
      <c r="K18" s="62">
        <f t="shared" si="18"/>
        <v>1</v>
      </c>
      <c r="L18" s="63">
        <f t="shared" si="18"/>
        <v>1</v>
      </c>
      <c r="M18" s="61" t="s">
        <v>124</v>
      </c>
      <c r="N18" s="62" t="str">
        <f t="shared" si="1"/>
        <v>a</v>
      </c>
      <c r="O18" s="62" t="str">
        <f t="shared" si="2"/>
        <v>a</v>
      </c>
      <c r="P18" s="62" t="str">
        <f t="shared" si="3"/>
        <v>a</v>
      </c>
      <c r="Q18" s="62" t="str">
        <f t="shared" si="4"/>
        <v>a</v>
      </c>
      <c r="R18" s="62" t="str">
        <f t="shared" si="5"/>
        <v>a</v>
      </c>
      <c r="S18" s="62" t="str">
        <f t="shared" si="6"/>
        <v>a</v>
      </c>
      <c r="T18" s="63" t="str">
        <f t="shared" si="7"/>
        <v>a</v>
      </c>
      <c r="U18" s="61" t="s">
        <v>124</v>
      </c>
      <c r="V18" s="62" t="str">
        <f t="shared" si="8"/>
        <v>a</v>
      </c>
      <c r="W18" s="62" t="str">
        <f t="shared" si="9"/>
        <v>a</v>
      </c>
      <c r="X18" s="62" t="str">
        <f t="shared" si="10"/>
        <v>a</v>
      </c>
      <c r="Y18" s="62" t="str">
        <f t="shared" si="11"/>
        <v>a</v>
      </c>
      <c r="Z18" s="62" t="str">
        <f t="shared" si="12"/>
        <v>a</v>
      </c>
      <c r="AA18" s="62" t="str">
        <f t="shared" si="13"/>
        <v>a</v>
      </c>
      <c r="AB18" s="63" t="str">
        <f t="shared" si="14"/>
        <v>a</v>
      </c>
      <c r="AC18" s="135"/>
      <c r="AD18" s="302"/>
      <c r="AE18" s="302"/>
      <c r="AF18" s="302"/>
      <c r="AG18" s="302"/>
      <c r="AH18" s="302"/>
      <c r="AI18" s="302"/>
      <c r="AJ18" s="137"/>
      <c r="AK18" s="135"/>
      <c r="AL18" s="302"/>
      <c r="AM18" s="302"/>
      <c r="AN18" s="302"/>
      <c r="AO18" s="302"/>
      <c r="AP18" s="302"/>
      <c r="AQ18" s="302"/>
      <c r="AR18" s="137"/>
      <c r="AS18" s="135"/>
      <c r="AT18" s="302"/>
      <c r="AU18" s="302"/>
      <c r="AV18" s="302"/>
      <c r="AW18" s="302"/>
      <c r="AX18" s="302"/>
      <c r="AY18" s="302"/>
      <c r="AZ18" s="137"/>
      <c r="BA18" s="37">
        <f t="shared" si="15"/>
        <v>8</v>
      </c>
      <c r="BB18" s="9">
        <f t="shared" si="16"/>
        <v>452</v>
      </c>
      <c r="BC18" s="10">
        <f t="shared" si="17"/>
        <v>78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483</v>
      </c>
      <c r="E19" s="61">
        <v>1</v>
      </c>
      <c r="F19" s="62">
        <f t="shared" si="18"/>
        <v>1</v>
      </c>
      <c r="G19" s="62">
        <f t="shared" si="18"/>
        <v>1</v>
      </c>
      <c r="H19" s="62">
        <f t="shared" si="18"/>
        <v>1</v>
      </c>
      <c r="I19" s="62">
        <f t="shared" si="18"/>
        <v>1</v>
      </c>
      <c r="J19" s="62">
        <f t="shared" si="18"/>
        <v>1</v>
      </c>
      <c r="K19" s="62">
        <f t="shared" si="18"/>
        <v>1</v>
      </c>
      <c r="L19" s="63">
        <f t="shared" si="18"/>
        <v>1</v>
      </c>
      <c r="M19" s="61" t="s">
        <v>124</v>
      </c>
      <c r="N19" s="62" t="str">
        <f t="shared" si="1"/>
        <v>a</v>
      </c>
      <c r="O19" s="62" t="str">
        <f t="shared" si="2"/>
        <v>a</v>
      </c>
      <c r="P19" s="62" t="str">
        <f t="shared" si="3"/>
        <v>a</v>
      </c>
      <c r="Q19" s="62" t="str">
        <f t="shared" si="4"/>
        <v>a</v>
      </c>
      <c r="R19" s="62" t="str">
        <f t="shared" si="5"/>
        <v>a</v>
      </c>
      <c r="S19" s="62" t="str">
        <f t="shared" si="6"/>
        <v>a</v>
      </c>
      <c r="T19" s="63" t="str">
        <f t="shared" si="7"/>
        <v>a</v>
      </c>
      <c r="U19" s="61" t="s">
        <v>124</v>
      </c>
      <c r="V19" s="62" t="str">
        <f t="shared" si="8"/>
        <v>a</v>
      </c>
      <c r="W19" s="62" t="str">
        <f t="shared" si="9"/>
        <v>a</v>
      </c>
      <c r="X19" s="62" t="str">
        <f t="shared" si="10"/>
        <v>a</v>
      </c>
      <c r="Y19" s="62" t="str">
        <f t="shared" si="11"/>
        <v>a</v>
      </c>
      <c r="Z19" s="62" t="str">
        <f t="shared" si="12"/>
        <v>a</v>
      </c>
      <c r="AA19" s="62" t="str">
        <f t="shared" si="13"/>
        <v>a</v>
      </c>
      <c r="AB19" s="63" t="str">
        <f t="shared" si="14"/>
        <v>a</v>
      </c>
      <c r="AC19" s="135"/>
      <c r="AD19" s="302"/>
      <c r="AE19" s="302"/>
      <c r="AF19" s="302"/>
      <c r="AG19" s="302"/>
      <c r="AH19" s="302"/>
      <c r="AI19" s="302"/>
      <c r="AJ19" s="137"/>
      <c r="AK19" s="135"/>
      <c r="AL19" s="302"/>
      <c r="AM19" s="302"/>
      <c r="AN19" s="302"/>
      <c r="AO19" s="302"/>
      <c r="AP19" s="302"/>
      <c r="AQ19" s="302"/>
      <c r="AR19" s="137"/>
      <c r="AS19" s="135"/>
      <c r="AT19" s="302"/>
      <c r="AU19" s="302"/>
      <c r="AV19" s="302"/>
      <c r="AW19" s="302"/>
      <c r="AX19" s="302"/>
      <c r="AY19" s="302"/>
      <c r="AZ19" s="137"/>
      <c r="BA19" s="37">
        <f t="shared" si="15"/>
        <v>8</v>
      </c>
      <c r="BB19" s="9">
        <f t="shared" si="16"/>
        <v>491</v>
      </c>
      <c r="BC19" s="10">
        <f t="shared" si="17"/>
        <v>85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517</v>
      </c>
      <c r="E20" s="61">
        <v>1</v>
      </c>
      <c r="F20" s="62">
        <f t="shared" si="18"/>
        <v>1</v>
      </c>
      <c r="G20" s="62">
        <f t="shared" si="18"/>
        <v>1</v>
      </c>
      <c r="H20" s="62">
        <f t="shared" si="18"/>
        <v>1</v>
      </c>
      <c r="I20" s="62">
        <f t="shared" si="18"/>
        <v>1</v>
      </c>
      <c r="J20" s="62">
        <f t="shared" si="18"/>
        <v>1</v>
      </c>
      <c r="K20" s="62">
        <f t="shared" si="18"/>
        <v>1</v>
      </c>
      <c r="L20" s="63">
        <f t="shared" si="18"/>
        <v>1</v>
      </c>
      <c r="M20" s="61" t="s">
        <v>124</v>
      </c>
      <c r="N20" s="62" t="str">
        <f t="shared" si="1"/>
        <v>a</v>
      </c>
      <c r="O20" s="62" t="str">
        <f t="shared" si="2"/>
        <v>a</v>
      </c>
      <c r="P20" s="62" t="str">
        <f t="shared" si="3"/>
        <v>a</v>
      </c>
      <c r="Q20" s="62" t="str">
        <f t="shared" si="4"/>
        <v>a</v>
      </c>
      <c r="R20" s="62" t="str">
        <f t="shared" si="5"/>
        <v>a</v>
      </c>
      <c r="S20" s="62" t="str">
        <f t="shared" si="6"/>
        <v>a</v>
      </c>
      <c r="T20" s="63" t="str">
        <f t="shared" si="7"/>
        <v>a</v>
      </c>
      <c r="U20" s="61" t="s">
        <v>124</v>
      </c>
      <c r="V20" s="62" t="str">
        <f t="shared" si="8"/>
        <v>a</v>
      </c>
      <c r="W20" s="62" t="str">
        <f t="shared" si="9"/>
        <v>a</v>
      </c>
      <c r="X20" s="62" t="str">
        <f t="shared" si="10"/>
        <v>a</v>
      </c>
      <c r="Y20" s="62" t="str">
        <f t="shared" si="11"/>
        <v>a</v>
      </c>
      <c r="Z20" s="62" t="str">
        <f t="shared" si="12"/>
        <v>a</v>
      </c>
      <c r="AA20" s="62" t="str">
        <f t="shared" si="13"/>
        <v>a</v>
      </c>
      <c r="AB20" s="63" t="str">
        <f t="shared" si="14"/>
        <v>a</v>
      </c>
      <c r="AC20" s="135"/>
      <c r="AD20" s="302"/>
      <c r="AE20" s="302"/>
      <c r="AF20" s="302"/>
      <c r="AG20" s="302"/>
      <c r="AH20" s="302"/>
      <c r="AI20" s="302"/>
      <c r="AJ20" s="137"/>
      <c r="AK20" s="135"/>
      <c r="AL20" s="302"/>
      <c r="AM20" s="302"/>
      <c r="AN20" s="302"/>
      <c r="AO20" s="302"/>
      <c r="AP20" s="302"/>
      <c r="AQ20" s="302"/>
      <c r="AR20" s="137"/>
      <c r="AS20" s="135"/>
      <c r="AT20" s="302"/>
      <c r="AU20" s="302"/>
      <c r="AV20" s="302"/>
      <c r="AW20" s="302"/>
      <c r="AX20" s="302"/>
      <c r="AY20" s="302"/>
      <c r="AZ20" s="137"/>
      <c r="BA20" s="37">
        <f t="shared" si="15"/>
        <v>8</v>
      </c>
      <c r="BB20" s="9">
        <f t="shared" si="16"/>
        <v>525</v>
      </c>
      <c r="BC20" s="10">
        <f t="shared" si="17"/>
        <v>90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529</v>
      </c>
      <c r="E21" s="61">
        <v>1</v>
      </c>
      <c r="F21" s="62">
        <f t="shared" si="18"/>
        <v>1</v>
      </c>
      <c r="G21" s="62">
        <f t="shared" si="18"/>
        <v>1</v>
      </c>
      <c r="H21" s="62">
        <f t="shared" si="18"/>
        <v>1</v>
      </c>
      <c r="I21" s="62">
        <f t="shared" si="18"/>
        <v>1</v>
      </c>
      <c r="J21" s="62">
        <f t="shared" si="18"/>
        <v>1</v>
      </c>
      <c r="K21" s="62">
        <f t="shared" si="18"/>
        <v>1</v>
      </c>
      <c r="L21" s="63">
        <f t="shared" si="18"/>
        <v>1</v>
      </c>
      <c r="M21" s="61" t="s">
        <v>124</v>
      </c>
      <c r="N21" s="62" t="str">
        <f t="shared" si="1"/>
        <v>a</v>
      </c>
      <c r="O21" s="62" t="str">
        <f t="shared" si="2"/>
        <v>a</v>
      </c>
      <c r="P21" s="62" t="str">
        <f t="shared" si="3"/>
        <v>a</v>
      </c>
      <c r="Q21" s="62" t="str">
        <f t="shared" si="4"/>
        <v>a</v>
      </c>
      <c r="R21" s="62" t="str">
        <f t="shared" si="5"/>
        <v>a</v>
      </c>
      <c r="S21" s="62" t="str">
        <f t="shared" si="6"/>
        <v>a</v>
      </c>
      <c r="T21" s="63" t="str">
        <f t="shared" si="7"/>
        <v>a</v>
      </c>
      <c r="U21" s="61" t="s">
        <v>124</v>
      </c>
      <c r="V21" s="62" t="str">
        <f t="shared" si="8"/>
        <v>a</v>
      </c>
      <c r="W21" s="62" t="str">
        <f t="shared" si="9"/>
        <v>a</v>
      </c>
      <c r="X21" s="62" t="str">
        <f t="shared" si="10"/>
        <v>a</v>
      </c>
      <c r="Y21" s="62" t="str">
        <f t="shared" si="11"/>
        <v>a</v>
      </c>
      <c r="Z21" s="62" t="str">
        <f t="shared" si="12"/>
        <v>a</v>
      </c>
      <c r="AA21" s="62" t="str">
        <f t="shared" si="13"/>
        <v>a</v>
      </c>
      <c r="AB21" s="63" t="str">
        <f t="shared" si="14"/>
        <v>a</v>
      </c>
      <c r="AC21" s="135"/>
      <c r="AD21" s="302"/>
      <c r="AE21" s="302"/>
      <c r="AF21" s="302"/>
      <c r="AG21" s="302"/>
      <c r="AH21" s="302"/>
      <c r="AI21" s="302"/>
      <c r="AJ21" s="137"/>
      <c r="AK21" s="135"/>
      <c r="AL21" s="302"/>
      <c r="AM21" s="302"/>
      <c r="AN21" s="302"/>
      <c r="AO21" s="302"/>
      <c r="AP21" s="302"/>
      <c r="AQ21" s="302"/>
      <c r="AR21" s="137"/>
      <c r="AS21" s="135"/>
      <c r="AT21" s="302"/>
      <c r="AU21" s="302"/>
      <c r="AV21" s="302"/>
      <c r="AW21" s="302"/>
      <c r="AX21" s="302"/>
      <c r="AY21" s="302"/>
      <c r="AZ21" s="137"/>
      <c r="BA21" s="37">
        <f t="shared" si="15"/>
        <v>8</v>
      </c>
      <c r="BB21" s="9">
        <f t="shared" si="16"/>
        <v>537</v>
      </c>
      <c r="BC21" s="10">
        <f t="shared" si="17"/>
        <v>92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526</v>
      </c>
      <c r="E22" s="61">
        <v>1</v>
      </c>
      <c r="F22" s="62">
        <f t="shared" si="18"/>
        <v>1</v>
      </c>
      <c r="G22" s="62">
        <f t="shared" si="18"/>
        <v>1</v>
      </c>
      <c r="H22" s="62">
        <f t="shared" si="18"/>
        <v>1</v>
      </c>
      <c r="I22" s="62">
        <f t="shared" si="18"/>
        <v>1</v>
      </c>
      <c r="J22" s="62">
        <f t="shared" si="18"/>
        <v>1</v>
      </c>
      <c r="K22" s="62">
        <f t="shared" si="18"/>
        <v>1</v>
      </c>
      <c r="L22" s="63">
        <f t="shared" si="18"/>
        <v>1</v>
      </c>
      <c r="M22" s="61" t="s">
        <v>124</v>
      </c>
      <c r="N22" s="62" t="str">
        <f t="shared" si="1"/>
        <v>a</v>
      </c>
      <c r="O22" s="62" t="str">
        <f t="shared" si="2"/>
        <v>a</v>
      </c>
      <c r="P22" s="62" t="str">
        <f t="shared" si="3"/>
        <v>a</v>
      </c>
      <c r="Q22" s="62" t="str">
        <f t="shared" si="4"/>
        <v>a</v>
      </c>
      <c r="R22" s="62" t="str">
        <f t="shared" si="5"/>
        <v>a</v>
      </c>
      <c r="S22" s="62" t="str">
        <f t="shared" si="6"/>
        <v>a</v>
      </c>
      <c r="T22" s="63" t="str">
        <f t="shared" si="7"/>
        <v>a</v>
      </c>
      <c r="U22" s="61" t="s">
        <v>124</v>
      </c>
      <c r="V22" s="62" t="str">
        <f t="shared" si="8"/>
        <v>a</v>
      </c>
      <c r="W22" s="62" t="str">
        <f t="shared" si="9"/>
        <v>a</v>
      </c>
      <c r="X22" s="62" t="str">
        <f t="shared" si="10"/>
        <v>a</v>
      </c>
      <c r="Y22" s="62" t="str">
        <f t="shared" si="11"/>
        <v>a</v>
      </c>
      <c r="Z22" s="62" t="str">
        <f t="shared" si="12"/>
        <v>a</v>
      </c>
      <c r="AA22" s="62" t="str">
        <f t="shared" si="13"/>
        <v>a</v>
      </c>
      <c r="AB22" s="63" t="str">
        <f t="shared" si="14"/>
        <v>a</v>
      </c>
      <c r="AC22" s="135"/>
      <c r="AD22" s="302"/>
      <c r="AE22" s="302"/>
      <c r="AF22" s="302"/>
      <c r="AG22" s="302"/>
      <c r="AH22" s="302"/>
      <c r="AI22" s="302"/>
      <c r="AJ22" s="137"/>
      <c r="AK22" s="135"/>
      <c r="AL22" s="302"/>
      <c r="AM22" s="302"/>
      <c r="AN22" s="302"/>
      <c r="AO22" s="302"/>
      <c r="AP22" s="302"/>
      <c r="AQ22" s="302"/>
      <c r="AR22" s="137"/>
      <c r="AS22" s="135"/>
      <c r="AT22" s="302"/>
      <c r="AU22" s="302"/>
      <c r="AV22" s="302"/>
      <c r="AW22" s="302"/>
      <c r="AX22" s="302"/>
      <c r="AY22" s="302"/>
      <c r="AZ22" s="137"/>
      <c r="BA22" s="37">
        <f t="shared" si="15"/>
        <v>8</v>
      </c>
      <c r="BB22" s="9">
        <f t="shared" si="16"/>
        <v>534</v>
      </c>
      <c r="BC22" s="10">
        <f t="shared" si="17"/>
        <v>92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536</v>
      </c>
      <c r="E23" s="61">
        <v>1</v>
      </c>
      <c r="F23" s="62">
        <f t="shared" si="18"/>
        <v>1</v>
      </c>
      <c r="G23" s="62">
        <f t="shared" si="18"/>
        <v>1</v>
      </c>
      <c r="H23" s="62">
        <f t="shared" si="18"/>
        <v>1</v>
      </c>
      <c r="I23" s="62">
        <f t="shared" si="18"/>
        <v>1</v>
      </c>
      <c r="J23" s="62">
        <f t="shared" si="18"/>
        <v>1</v>
      </c>
      <c r="K23" s="62">
        <f t="shared" si="18"/>
        <v>1</v>
      </c>
      <c r="L23" s="63">
        <f t="shared" si="18"/>
        <v>1</v>
      </c>
      <c r="M23" s="61" t="s">
        <v>124</v>
      </c>
      <c r="N23" s="62" t="str">
        <f t="shared" si="1"/>
        <v>a</v>
      </c>
      <c r="O23" s="62" t="str">
        <f t="shared" si="2"/>
        <v>a</v>
      </c>
      <c r="P23" s="62" t="str">
        <f t="shared" si="3"/>
        <v>a</v>
      </c>
      <c r="Q23" s="62" t="str">
        <f t="shared" si="4"/>
        <v>a</v>
      </c>
      <c r="R23" s="62" t="str">
        <f t="shared" si="5"/>
        <v>a</v>
      </c>
      <c r="S23" s="62" t="str">
        <f t="shared" si="6"/>
        <v>a</v>
      </c>
      <c r="T23" s="63" t="str">
        <f t="shared" si="7"/>
        <v>a</v>
      </c>
      <c r="U23" s="61" t="s">
        <v>124</v>
      </c>
      <c r="V23" s="62" t="str">
        <f t="shared" si="8"/>
        <v>a</v>
      </c>
      <c r="W23" s="62" t="str">
        <f t="shared" si="9"/>
        <v>a</v>
      </c>
      <c r="X23" s="62" t="str">
        <f t="shared" si="10"/>
        <v>a</v>
      </c>
      <c r="Y23" s="62" t="str">
        <f t="shared" si="11"/>
        <v>a</v>
      </c>
      <c r="Z23" s="62" t="str">
        <f t="shared" si="12"/>
        <v>a</v>
      </c>
      <c r="AA23" s="62" t="str">
        <f t="shared" si="13"/>
        <v>a</v>
      </c>
      <c r="AB23" s="63" t="str">
        <f t="shared" si="14"/>
        <v>a</v>
      </c>
      <c r="AC23" s="135"/>
      <c r="AD23" s="302"/>
      <c r="AE23" s="302"/>
      <c r="AF23" s="302"/>
      <c r="AG23" s="302"/>
      <c r="AH23" s="302"/>
      <c r="AI23" s="302"/>
      <c r="AJ23" s="137"/>
      <c r="AK23" s="135"/>
      <c r="AL23" s="302"/>
      <c r="AM23" s="302"/>
      <c r="AN23" s="302"/>
      <c r="AO23" s="302"/>
      <c r="AP23" s="302"/>
      <c r="AQ23" s="302"/>
      <c r="AR23" s="137"/>
      <c r="AS23" s="135"/>
      <c r="AT23" s="302"/>
      <c r="AU23" s="302"/>
      <c r="AV23" s="302"/>
      <c r="AW23" s="302"/>
      <c r="AX23" s="302"/>
      <c r="AY23" s="302"/>
      <c r="AZ23" s="137"/>
      <c r="BA23" s="37">
        <f t="shared" si="15"/>
        <v>8</v>
      </c>
      <c r="BB23" s="9">
        <f t="shared" si="16"/>
        <v>544</v>
      </c>
      <c r="BC23" s="10">
        <f t="shared" si="17"/>
        <v>94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488</v>
      </c>
      <c r="E24" s="61">
        <v>1</v>
      </c>
      <c r="F24" s="62">
        <f t="shared" si="18"/>
        <v>1</v>
      </c>
      <c r="G24" s="62">
        <f t="shared" si="18"/>
        <v>1</v>
      </c>
      <c r="H24" s="62">
        <f t="shared" si="18"/>
        <v>1</v>
      </c>
      <c r="I24" s="62">
        <f t="shared" si="18"/>
        <v>1</v>
      </c>
      <c r="J24" s="62">
        <f t="shared" si="18"/>
        <v>1</v>
      </c>
      <c r="K24" s="62">
        <f t="shared" si="18"/>
        <v>1</v>
      </c>
      <c r="L24" s="63">
        <f t="shared" si="18"/>
        <v>1</v>
      </c>
      <c r="M24" s="61" t="s">
        <v>124</v>
      </c>
      <c r="N24" s="62" t="str">
        <f t="shared" si="1"/>
        <v>a</v>
      </c>
      <c r="O24" s="62" t="str">
        <f t="shared" si="2"/>
        <v>a</v>
      </c>
      <c r="P24" s="62" t="str">
        <f t="shared" si="3"/>
        <v>a</v>
      </c>
      <c r="Q24" s="62" t="str">
        <f t="shared" si="4"/>
        <v>a</v>
      </c>
      <c r="R24" s="62" t="str">
        <f t="shared" si="5"/>
        <v>a</v>
      </c>
      <c r="S24" s="62" t="str">
        <f t="shared" si="6"/>
        <v>a</v>
      </c>
      <c r="T24" s="63" t="str">
        <f t="shared" si="7"/>
        <v>a</v>
      </c>
      <c r="U24" s="61" t="s">
        <v>124</v>
      </c>
      <c r="V24" s="62" t="str">
        <f t="shared" si="8"/>
        <v>a</v>
      </c>
      <c r="W24" s="62" t="str">
        <f t="shared" si="9"/>
        <v>a</v>
      </c>
      <c r="X24" s="62" t="str">
        <f t="shared" si="10"/>
        <v>a</v>
      </c>
      <c r="Y24" s="62" t="str">
        <f t="shared" si="11"/>
        <v>a</v>
      </c>
      <c r="Z24" s="62" t="str">
        <f t="shared" si="12"/>
        <v>a</v>
      </c>
      <c r="AA24" s="62" t="str">
        <f t="shared" si="13"/>
        <v>a</v>
      </c>
      <c r="AB24" s="63" t="str">
        <f t="shared" si="14"/>
        <v>a</v>
      </c>
      <c r="AC24" s="135"/>
      <c r="AD24" s="302"/>
      <c r="AE24" s="302"/>
      <c r="AF24" s="302"/>
      <c r="AG24" s="302"/>
      <c r="AH24" s="302"/>
      <c r="AI24" s="302"/>
      <c r="AJ24" s="137"/>
      <c r="AK24" s="135"/>
      <c r="AL24" s="302"/>
      <c r="AM24" s="302"/>
      <c r="AN24" s="302"/>
      <c r="AO24" s="302"/>
      <c r="AP24" s="302"/>
      <c r="AQ24" s="302"/>
      <c r="AR24" s="137"/>
      <c r="AS24" s="135"/>
      <c r="AT24" s="302"/>
      <c r="AU24" s="302"/>
      <c r="AV24" s="302"/>
      <c r="AW24" s="302"/>
      <c r="AX24" s="302"/>
      <c r="AY24" s="302"/>
      <c r="AZ24" s="137"/>
      <c r="BA24" s="37">
        <f t="shared" si="15"/>
        <v>8</v>
      </c>
      <c r="BB24" s="9">
        <f t="shared" si="16"/>
        <v>496</v>
      </c>
      <c r="BC24" s="10">
        <f t="shared" si="17"/>
        <v>85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486</v>
      </c>
      <c r="E25" s="61" t="s">
        <v>124</v>
      </c>
      <c r="F25" s="62" t="str">
        <f t="shared" si="18"/>
        <v>a</v>
      </c>
      <c r="G25" s="62" t="str">
        <f t="shared" si="18"/>
        <v>a</v>
      </c>
      <c r="H25" s="62" t="str">
        <f t="shared" si="18"/>
        <v>a</v>
      </c>
      <c r="I25" s="62" t="str">
        <f t="shared" si="18"/>
        <v>a</v>
      </c>
      <c r="J25" s="62" t="str">
        <f t="shared" si="18"/>
        <v>a</v>
      </c>
      <c r="K25" s="62" t="str">
        <f t="shared" si="18"/>
        <v>a</v>
      </c>
      <c r="L25" s="63" t="str">
        <f t="shared" si="18"/>
        <v>a</v>
      </c>
      <c r="M25" s="61" t="s">
        <v>124</v>
      </c>
      <c r="N25" s="62" t="str">
        <f t="shared" si="1"/>
        <v>a</v>
      </c>
      <c r="O25" s="62" t="str">
        <f t="shared" si="2"/>
        <v>a</v>
      </c>
      <c r="P25" s="62" t="str">
        <f t="shared" si="3"/>
        <v>a</v>
      </c>
      <c r="Q25" s="62" t="str">
        <f t="shared" si="4"/>
        <v>a</v>
      </c>
      <c r="R25" s="62" t="str">
        <f t="shared" si="5"/>
        <v>a</v>
      </c>
      <c r="S25" s="62" t="str">
        <f t="shared" si="6"/>
        <v>a</v>
      </c>
      <c r="T25" s="63" t="str">
        <f t="shared" si="7"/>
        <v>a</v>
      </c>
      <c r="U25" s="61" t="s">
        <v>124</v>
      </c>
      <c r="V25" s="62" t="str">
        <f t="shared" si="8"/>
        <v>a</v>
      </c>
      <c r="W25" s="62" t="str">
        <f t="shared" si="9"/>
        <v>a</v>
      </c>
      <c r="X25" s="62" t="str">
        <f t="shared" si="10"/>
        <v>a</v>
      </c>
      <c r="Y25" s="62" t="str">
        <f t="shared" si="11"/>
        <v>a</v>
      </c>
      <c r="Z25" s="62" t="str">
        <f t="shared" si="12"/>
        <v>a</v>
      </c>
      <c r="AA25" s="62" t="str">
        <f t="shared" si="13"/>
        <v>a</v>
      </c>
      <c r="AB25" s="63" t="str">
        <f t="shared" si="14"/>
        <v>a</v>
      </c>
      <c r="AC25" s="135"/>
      <c r="AD25" s="302"/>
      <c r="AE25" s="302"/>
      <c r="AF25" s="302"/>
      <c r="AG25" s="302"/>
      <c r="AH25" s="302"/>
      <c r="AI25" s="302"/>
      <c r="AJ25" s="137"/>
      <c r="AK25" s="135"/>
      <c r="AL25" s="302"/>
      <c r="AM25" s="302"/>
      <c r="AN25" s="302"/>
      <c r="AO25" s="302"/>
      <c r="AP25" s="302"/>
      <c r="AQ25" s="302"/>
      <c r="AR25" s="137"/>
      <c r="AS25" s="135"/>
      <c r="AT25" s="302"/>
      <c r="AU25" s="302"/>
      <c r="AV25" s="302"/>
      <c r="AW25" s="302"/>
      <c r="AX25" s="302"/>
      <c r="AY25" s="302"/>
      <c r="AZ25" s="137"/>
      <c r="BA25" s="37">
        <f t="shared" si="15"/>
        <v>0</v>
      </c>
      <c r="BB25" s="9">
        <f t="shared" si="16"/>
        <v>486</v>
      </c>
      <c r="BC25" s="10">
        <f t="shared" si="17"/>
        <v>84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483</v>
      </c>
      <c r="E26" s="61" t="s">
        <v>124</v>
      </c>
      <c r="F26" s="62" t="str">
        <f t="shared" si="18"/>
        <v>a</v>
      </c>
      <c r="G26" s="62" t="str">
        <f t="shared" si="18"/>
        <v>a</v>
      </c>
      <c r="H26" s="62" t="str">
        <f t="shared" si="18"/>
        <v>a</v>
      </c>
      <c r="I26" s="62" t="str">
        <f t="shared" si="18"/>
        <v>a</v>
      </c>
      <c r="J26" s="62" t="str">
        <f t="shared" si="18"/>
        <v>a</v>
      </c>
      <c r="K26" s="62" t="str">
        <f t="shared" si="18"/>
        <v>a</v>
      </c>
      <c r="L26" s="63" t="str">
        <f t="shared" si="18"/>
        <v>a</v>
      </c>
      <c r="M26" s="61" t="s">
        <v>124</v>
      </c>
      <c r="N26" s="62" t="str">
        <f t="shared" si="1"/>
        <v>a</v>
      </c>
      <c r="O26" s="62" t="str">
        <f t="shared" si="2"/>
        <v>a</v>
      </c>
      <c r="P26" s="62" t="str">
        <f t="shared" si="3"/>
        <v>a</v>
      </c>
      <c r="Q26" s="62" t="str">
        <f t="shared" si="4"/>
        <v>a</v>
      </c>
      <c r="R26" s="62" t="str">
        <f t="shared" si="5"/>
        <v>a</v>
      </c>
      <c r="S26" s="62" t="str">
        <f t="shared" si="6"/>
        <v>a</v>
      </c>
      <c r="T26" s="63" t="str">
        <f t="shared" si="7"/>
        <v>a</v>
      </c>
      <c r="U26" s="61" t="s">
        <v>124</v>
      </c>
      <c r="V26" s="62" t="str">
        <f t="shared" si="8"/>
        <v>a</v>
      </c>
      <c r="W26" s="62" t="str">
        <f t="shared" si="9"/>
        <v>a</v>
      </c>
      <c r="X26" s="62" t="str">
        <f t="shared" si="10"/>
        <v>a</v>
      </c>
      <c r="Y26" s="62" t="str">
        <f t="shared" si="11"/>
        <v>a</v>
      </c>
      <c r="Z26" s="62" t="str">
        <f t="shared" si="12"/>
        <v>a</v>
      </c>
      <c r="AA26" s="62" t="str">
        <f t="shared" si="13"/>
        <v>a</v>
      </c>
      <c r="AB26" s="63" t="str">
        <f t="shared" si="14"/>
        <v>a</v>
      </c>
      <c r="AC26" s="135"/>
      <c r="AD26" s="302"/>
      <c r="AE26" s="302"/>
      <c r="AF26" s="302"/>
      <c r="AG26" s="302"/>
      <c r="AH26" s="302"/>
      <c r="AI26" s="302"/>
      <c r="AJ26" s="137"/>
      <c r="AK26" s="135"/>
      <c r="AL26" s="302"/>
      <c r="AM26" s="302"/>
      <c r="AN26" s="302"/>
      <c r="AO26" s="302"/>
      <c r="AP26" s="302"/>
      <c r="AQ26" s="302"/>
      <c r="AR26" s="137"/>
      <c r="AS26" s="135"/>
      <c r="AT26" s="302"/>
      <c r="AU26" s="302"/>
      <c r="AV26" s="302"/>
      <c r="AW26" s="302"/>
      <c r="AX26" s="302"/>
      <c r="AY26" s="302"/>
      <c r="AZ26" s="137"/>
      <c r="BA26" s="37">
        <f t="shared" si="15"/>
        <v>0</v>
      </c>
      <c r="BB26" s="9">
        <f t="shared" si="16"/>
        <v>483</v>
      </c>
      <c r="BC26" s="10">
        <f t="shared" si="17"/>
        <v>83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525</v>
      </c>
      <c r="E27" s="61" t="s">
        <v>124</v>
      </c>
      <c r="F27" s="62" t="str">
        <f t="shared" si="18"/>
        <v>a</v>
      </c>
      <c r="G27" s="62" t="str">
        <f t="shared" si="18"/>
        <v>a</v>
      </c>
      <c r="H27" s="62" t="str">
        <f t="shared" si="18"/>
        <v>a</v>
      </c>
      <c r="I27" s="62" t="str">
        <f t="shared" si="18"/>
        <v>a</v>
      </c>
      <c r="J27" s="62" t="str">
        <f t="shared" si="18"/>
        <v>a</v>
      </c>
      <c r="K27" s="62" t="str">
        <f t="shared" si="18"/>
        <v>a</v>
      </c>
      <c r="L27" s="63" t="str">
        <f t="shared" si="18"/>
        <v>a</v>
      </c>
      <c r="M27" s="61" t="s">
        <v>124</v>
      </c>
      <c r="N27" s="62" t="str">
        <f t="shared" si="1"/>
        <v>a</v>
      </c>
      <c r="O27" s="62" t="str">
        <f t="shared" si="2"/>
        <v>a</v>
      </c>
      <c r="P27" s="62" t="str">
        <f t="shared" si="3"/>
        <v>a</v>
      </c>
      <c r="Q27" s="62" t="str">
        <f t="shared" si="4"/>
        <v>a</v>
      </c>
      <c r="R27" s="62" t="str">
        <f t="shared" si="5"/>
        <v>a</v>
      </c>
      <c r="S27" s="62" t="str">
        <f t="shared" si="6"/>
        <v>a</v>
      </c>
      <c r="T27" s="63" t="str">
        <f t="shared" si="7"/>
        <v>a</v>
      </c>
      <c r="U27" s="61" t="s">
        <v>124</v>
      </c>
      <c r="V27" s="62" t="str">
        <f t="shared" si="8"/>
        <v>a</v>
      </c>
      <c r="W27" s="62" t="str">
        <f t="shared" si="9"/>
        <v>a</v>
      </c>
      <c r="X27" s="62" t="str">
        <f t="shared" si="10"/>
        <v>a</v>
      </c>
      <c r="Y27" s="62" t="str">
        <f t="shared" si="11"/>
        <v>a</v>
      </c>
      <c r="Z27" s="62" t="str">
        <f t="shared" si="12"/>
        <v>a</v>
      </c>
      <c r="AA27" s="62" t="str">
        <f t="shared" si="13"/>
        <v>a</v>
      </c>
      <c r="AB27" s="63" t="str">
        <f t="shared" si="14"/>
        <v>a</v>
      </c>
      <c r="AC27" s="135"/>
      <c r="AD27" s="302"/>
      <c r="AE27" s="302"/>
      <c r="AF27" s="302"/>
      <c r="AG27" s="302"/>
      <c r="AH27" s="302"/>
      <c r="AI27" s="302"/>
      <c r="AJ27" s="137"/>
      <c r="AK27" s="135"/>
      <c r="AL27" s="302"/>
      <c r="AM27" s="302"/>
      <c r="AN27" s="302"/>
      <c r="AO27" s="302"/>
      <c r="AP27" s="302"/>
      <c r="AQ27" s="302"/>
      <c r="AR27" s="137"/>
      <c r="AS27" s="135"/>
      <c r="AT27" s="302"/>
      <c r="AU27" s="302"/>
      <c r="AV27" s="302"/>
      <c r="AW27" s="302"/>
      <c r="AX27" s="302"/>
      <c r="AY27" s="302"/>
      <c r="AZ27" s="137"/>
      <c r="BA27" s="37">
        <f t="shared" si="15"/>
        <v>0</v>
      </c>
      <c r="BB27" s="9">
        <f t="shared" si="16"/>
        <v>525</v>
      </c>
      <c r="BC27" s="10">
        <f t="shared" si="17"/>
        <v>90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517</v>
      </c>
      <c r="E28" s="61">
        <v>1</v>
      </c>
      <c r="F28" s="62">
        <f t="shared" ref="F28:L43" si="19">E28</f>
        <v>1</v>
      </c>
      <c r="G28" s="62">
        <f t="shared" si="19"/>
        <v>1</v>
      </c>
      <c r="H28" s="62">
        <f t="shared" si="19"/>
        <v>1</v>
      </c>
      <c r="I28" s="62">
        <f t="shared" si="19"/>
        <v>1</v>
      </c>
      <c r="J28" s="62">
        <f t="shared" si="19"/>
        <v>1</v>
      </c>
      <c r="K28" s="62">
        <f t="shared" si="19"/>
        <v>1</v>
      </c>
      <c r="L28" s="63">
        <f t="shared" si="19"/>
        <v>1</v>
      </c>
      <c r="M28" s="61" t="s">
        <v>124</v>
      </c>
      <c r="N28" s="62" t="str">
        <f t="shared" si="1"/>
        <v>a</v>
      </c>
      <c r="O28" s="62" t="str">
        <f t="shared" si="2"/>
        <v>a</v>
      </c>
      <c r="P28" s="62" t="str">
        <f t="shared" si="3"/>
        <v>a</v>
      </c>
      <c r="Q28" s="62" t="str">
        <f t="shared" si="4"/>
        <v>a</v>
      </c>
      <c r="R28" s="62" t="str">
        <f t="shared" si="5"/>
        <v>a</v>
      </c>
      <c r="S28" s="62" t="str">
        <f t="shared" si="6"/>
        <v>a</v>
      </c>
      <c r="T28" s="63" t="str">
        <f t="shared" si="7"/>
        <v>a</v>
      </c>
      <c r="U28" s="61" t="s">
        <v>124</v>
      </c>
      <c r="V28" s="62" t="str">
        <f t="shared" si="8"/>
        <v>a</v>
      </c>
      <c r="W28" s="62" t="str">
        <f t="shared" si="9"/>
        <v>a</v>
      </c>
      <c r="X28" s="62" t="str">
        <f t="shared" si="10"/>
        <v>a</v>
      </c>
      <c r="Y28" s="62" t="str">
        <f t="shared" si="11"/>
        <v>a</v>
      </c>
      <c r="Z28" s="62" t="str">
        <f t="shared" si="12"/>
        <v>a</v>
      </c>
      <c r="AA28" s="62" t="str">
        <f t="shared" si="13"/>
        <v>a</v>
      </c>
      <c r="AB28" s="63" t="str">
        <f t="shared" si="14"/>
        <v>a</v>
      </c>
      <c r="AC28" s="135"/>
      <c r="AD28" s="302"/>
      <c r="AE28" s="302"/>
      <c r="AF28" s="302"/>
      <c r="AG28" s="302"/>
      <c r="AH28" s="302"/>
      <c r="AI28" s="302"/>
      <c r="AJ28" s="137"/>
      <c r="AK28" s="135"/>
      <c r="AL28" s="302"/>
      <c r="AM28" s="302"/>
      <c r="AN28" s="302"/>
      <c r="AO28" s="302"/>
      <c r="AP28" s="302"/>
      <c r="AQ28" s="302"/>
      <c r="AR28" s="137"/>
      <c r="AS28" s="135"/>
      <c r="AT28" s="302"/>
      <c r="AU28" s="302"/>
      <c r="AV28" s="302"/>
      <c r="AW28" s="302"/>
      <c r="AX28" s="302"/>
      <c r="AY28" s="302"/>
      <c r="AZ28" s="137"/>
      <c r="BA28" s="37">
        <f t="shared" si="15"/>
        <v>8</v>
      </c>
      <c r="BB28" s="9">
        <f t="shared" si="16"/>
        <v>525</v>
      </c>
      <c r="BC28" s="10">
        <f t="shared" si="17"/>
        <v>90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456</v>
      </c>
      <c r="E29" s="61" t="s">
        <v>124</v>
      </c>
      <c r="F29" s="62" t="str">
        <f t="shared" si="19"/>
        <v>a</v>
      </c>
      <c r="G29" s="62" t="str">
        <f t="shared" si="19"/>
        <v>a</v>
      </c>
      <c r="H29" s="62" t="str">
        <f t="shared" si="19"/>
        <v>a</v>
      </c>
      <c r="I29" s="62" t="str">
        <f t="shared" si="19"/>
        <v>a</v>
      </c>
      <c r="J29" s="62" t="str">
        <f t="shared" si="19"/>
        <v>a</v>
      </c>
      <c r="K29" s="62" t="str">
        <f t="shared" si="19"/>
        <v>a</v>
      </c>
      <c r="L29" s="63" t="str">
        <f t="shared" si="19"/>
        <v>a</v>
      </c>
      <c r="M29" s="61" t="s">
        <v>124</v>
      </c>
      <c r="N29" s="62" t="str">
        <f t="shared" si="1"/>
        <v>a</v>
      </c>
      <c r="O29" s="62" t="str">
        <f t="shared" si="2"/>
        <v>a</v>
      </c>
      <c r="P29" s="62" t="str">
        <f t="shared" si="3"/>
        <v>a</v>
      </c>
      <c r="Q29" s="62" t="str">
        <f t="shared" si="4"/>
        <v>a</v>
      </c>
      <c r="R29" s="62" t="str">
        <f t="shared" si="5"/>
        <v>a</v>
      </c>
      <c r="S29" s="62" t="str">
        <f t="shared" si="6"/>
        <v>a</v>
      </c>
      <c r="T29" s="63" t="str">
        <f t="shared" si="7"/>
        <v>a</v>
      </c>
      <c r="U29" s="61" t="s">
        <v>124</v>
      </c>
      <c r="V29" s="62" t="str">
        <f t="shared" si="8"/>
        <v>a</v>
      </c>
      <c r="W29" s="62" t="str">
        <f t="shared" si="9"/>
        <v>a</v>
      </c>
      <c r="X29" s="62" t="str">
        <f t="shared" si="10"/>
        <v>a</v>
      </c>
      <c r="Y29" s="62" t="str">
        <f t="shared" si="11"/>
        <v>a</v>
      </c>
      <c r="Z29" s="62" t="str">
        <f t="shared" si="12"/>
        <v>a</v>
      </c>
      <c r="AA29" s="62" t="str">
        <f t="shared" si="13"/>
        <v>a</v>
      </c>
      <c r="AB29" s="63" t="str">
        <f t="shared" si="14"/>
        <v>a</v>
      </c>
      <c r="AC29" s="135"/>
      <c r="AD29" s="302"/>
      <c r="AE29" s="302"/>
      <c r="AF29" s="302"/>
      <c r="AG29" s="302"/>
      <c r="AH29" s="302"/>
      <c r="AI29" s="302"/>
      <c r="AJ29" s="137"/>
      <c r="AK29" s="135"/>
      <c r="AL29" s="302"/>
      <c r="AM29" s="302"/>
      <c r="AN29" s="302"/>
      <c r="AO29" s="302"/>
      <c r="AP29" s="302"/>
      <c r="AQ29" s="302"/>
      <c r="AR29" s="137"/>
      <c r="AS29" s="135"/>
      <c r="AT29" s="302"/>
      <c r="AU29" s="302"/>
      <c r="AV29" s="302"/>
      <c r="AW29" s="302"/>
      <c r="AX29" s="302"/>
      <c r="AY29" s="302"/>
      <c r="AZ29" s="137"/>
      <c r="BA29" s="37">
        <f t="shared" si="15"/>
        <v>0</v>
      </c>
      <c r="BB29" s="9">
        <f t="shared" si="16"/>
        <v>456</v>
      </c>
      <c r="BC29" s="10">
        <f t="shared" si="17"/>
        <v>78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495</v>
      </c>
      <c r="E30" s="61" t="s">
        <v>124</v>
      </c>
      <c r="F30" s="62" t="str">
        <f t="shared" si="19"/>
        <v>a</v>
      </c>
      <c r="G30" s="62" t="str">
        <f t="shared" si="19"/>
        <v>a</v>
      </c>
      <c r="H30" s="62" t="str">
        <f t="shared" si="19"/>
        <v>a</v>
      </c>
      <c r="I30" s="62" t="str">
        <f t="shared" si="19"/>
        <v>a</v>
      </c>
      <c r="J30" s="62" t="str">
        <f t="shared" si="19"/>
        <v>a</v>
      </c>
      <c r="K30" s="62" t="str">
        <f t="shared" si="19"/>
        <v>a</v>
      </c>
      <c r="L30" s="63" t="str">
        <f t="shared" si="19"/>
        <v>a</v>
      </c>
      <c r="M30" s="61" t="s">
        <v>124</v>
      </c>
      <c r="N30" s="62" t="str">
        <f t="shared" si="1"/>
        <v>a</v>
      </c>
      <c r="O30" s="62" t="str">
        <f t="shared" si="2"/>
        <v>a</v>
      </c>
      <c r="P30" s="62" t="str">
        <f t="shared" si="3"/>
        <v>a</v>
      </c>
      <c r="Q30" s="62" t="str">
        <f t="shared" si="4"/>
        <v>a</v>
      </c>
      <c r="R30" s="62" t="str">
        <f t="shared" si="5"/>
        <v>a</v>
      </c>
      <c r="S30" s="62" t="str">
        <f t="shared" si="6"/>
        <v>a</v>
      </c>
      <c r="T30" s="63" t="str">
        <f t="shared" si="7"/>
        <v>a</v>
      </c>
      <c r="U30" s="61" t="s">
        <v>124</v>
      </c>
      <c r="V30" s="62" t="str">
        <f t="shared" si="8"/>
        <v>a</v>
      </c>
      <c r="W30" s="62" t="str">
        <f t="shared" si="9"/>
        <v>a</v>
      </c>
      <c r="X30" s="62" t="str">
        <f t="shared" si="10"/>
        <v>a</v>
      </c>
      <c r="Y30" s="62" t="str">
        <f t="shared" si="11"/>
        <v>a</v>
      </c>
      <c r="Z30" s="62" t="str">
        <f t="shared" si="12"/>
        <v>a</v>
      </c>
      <c r="AA30" s="62" t="str">
        <f t="shared" si="13"/>
        <v>a</v>
      </c>
      <c r="AB30" s="63" t="str">
        <f t="shared" si="14"/>
        <v>a</v>
      </c>
      <c r="AC30" s="135"/>
      <c r="AD30" s="302"/>
      <c r="AE30" s="302"/>
      <c r="AF30" s="302"/>
      <c r="AG30" s="302"/>
      <c r="AH30" s="302"/>
      <c r="AI30" s="302"/>
      <c r="AJ30" s="137"/>
      <c r="AK30" s="135"/>
      <c r="AL30" s="302"/>
      <c r="AM30" s="302"/>
      <c r="AN30" s="302"/>
      <c r="AO30" s="302"/>
      <c r="AP30" s="302"/>
      <c r="AQ30" s="302"/>
      <c r="AR30" s="137"/>
      <c r="AS30" s="135"/>
      <c r="AT30" s="302"/>
      <c r="AU30" s="302"/>
      <c r="AV30" s="302"/>
      <c r="AW30" s="302"/>
      <c r="AX30" s="302"/>
      <c r="AY30" s="302"/>
      <c r="AZ30" s="137"/>
      <c r="BA30" s="37">
        <f t="shared" si="15"/>
        <v>0</v>
      </c>
      <c r="BB30" s="9">
        <f t="shared" si="16"/>
        <v>495</v>
      </c>
      <c r="BC30" s="10">
        <f t="shared" si="17"/>
        <v>85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501</v>
      </c>
      <c r="E31" s="61" t="s">
        <v>124</v>
      </c>
      <c r="F31" s="62" t="str">
        <f t="shared" si="19"/>
        <v>a</v>
      </c>
      <c r="G31" s="62" t="str">
        <f t="shared" si="19"/>
        <v>a</v>
      </c>
      <c r="H31" s="62" t="str">
        <f t="shared" si="19"/>
        <v>a</v>
      </c>
      <c r="I31" s="62" t="str">
        <f t="shared" si="19"/>
        <v>a</v>
      </c>
      <c r="J31" s="62" t="str">
        <f t="shared" si="19"/>
        <v>a</v>
      </c>
      <c r="K31" s="62" t="str">
        <f t="shared" si="19"/>
        <v>a</v>
      </c>
      <c r="L31" s="63" t="str">
        <f t="shared" si="19"/>
        <v>a</v>
      </c>
      <c r="M31" s="61">
        <v>1</v>
      </c>
      <c r="N31" s="62">
        <f t="shared" si="1"/>
        <v>1</v>
      </c>
      <c r="O31" s="62">
        <f t="shared" si="2"/>
        <v>1</v>
      </c>
      <c r="P31" s="62">
        <f t="shared" si="3"/>
        <v>1</v>
      </c>
      <c r="Q31" s="62">
        <f t="shared" si="4"/>
        <v>1</v>
      </c>
      <c r="R31" s="62">
        <f t="shared" si="5"/>
        <v>1</v>
      </c>
      <c r="S31" s="62">
        <f t="shared" si="6"/>
        <v>1</v>
      </c>
      <c r="T31" s="63">
        <f t="shared" si="7"/>
        <v>1</v>
      </c>
      <c r="U31" s="61" t="s">
        <v>124</v>
      </c>
      <c r="V31" s="62" t="str">
        <f t="shared" si="8"/>
        <v>a</v>
      </c>
      <c r="W31" s="62" t="str">
        <f t="shared" si="9"/>
        <v>a</v>
      </c>
      <c r="X31" s="62" t="str">
        <f t="shared" si="10"/>
        <v>a</v>
      </c>
      <c r="Y31" s="62" t="str">
        <f t="shared" si="11"/>
        <v>a</v>
      </c>
      <c r="Z31" s="62" t="str">
        <f t="shared" si="12"/>
        <v>a</v>
      </c>
      <c r="AA31" s="62" t="str">
        <f t="shared" si="13"/>
        <v>a</v>
      </c>
      <c r="AB31" s="63" t="str">
        <f t="shared" si="14"/>
        <v>a</v>
      </c>
      <c r="AC31" s="135"/>
      <c r="AD31" s="302"/>
      <c r="AE31" s="302"/>
      <c r="AF31" s="302"/>
      <c r="AG31" s="302"/>
      <c r="AH31" s="302"/>
      <c r="AI31" s="302"/>
      <c r="AJ31" s="137"/>
      <c r="AK31" s="135"/>
      <c r="AL31" s="302"/>
      <c r="AM31" s="302"/>
      <c r="AN31" s="302"/>
      <c r="AO31" s="302"/>
      <c r="AP31" s="302"/>
      <c r="AQ31" s="302"/>
      <c r="AR31" s="137"/>
      <c r="AS31" s="135"/>
      <c r="AT31" s="302"/>
      <c r="AU31" s="302"/>
      <c r="AV31" s="302"/>
      <c r="AW31" s="302"/>
      <c r="AX31" s="302"/>
      <c r="AY31" s="302"/>
      <c r="AZ31" s="137"/>
      <c r="BA31" s="37">
        <f t="shared" si="15"/>
        <v>8</v>
      </c>
      <c r="BB31" s="9">
        <f t="shared" si="16"/>
        <v>509</v>
      </c>
      <c r="BC31" s="10">
        <f t="shared" si="17"/>
        <v>88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492</v>
      </c>
      <c r="E32" s="61" t="s">
        <v>124</v>
      </c>
      <c r="F32" s="62" t="str">
        <f t="shared" si="19"/>
        <v>a</v>
      </c>
      <c r="G32" s="62" t="str">
        <f t="shared" si="19"/>
        <v>a</v>
      </c>
      <c r="H32" s="62" t="str">
        <f t="shared" si="19"/>
        <v>a</v>
      </c>
      <c r="I32" s="62" t="str">
        <f t="shared" si="19"/>
        <v>a</v>
      </c>
      <c r="J32" s="62" t="str">
        <f t="shared" si="19"/>
        <v>a</v>
      </c>
      <c r="K32" s="62" t="str">
        <f t="shared" si="19"/>
        <v>a</v>
      </c>
      <c r="L32" s="63" t="str">
        <f t="shared" si="19"/>
        <v>a</v>
      </c>
      <c r="M32" s="61" t="s">
        <v>124</v>
      </c>
      <c r="N32" s="62" t="str">
        <f t="shared" si="1"/>
        <v>a</v>
      </c>
      <c r="O32" s="62" t="str">
        <f t="shared" si="2"/>
        <v>a</v>
      </c>
      <c r="P32" s="62" t="str">
        <f t="shared" si="3"/>
        <v>a</v>
      </c>
      <c r="Q32" s="62" t="str">
        <f t="shared" si="4"/>
        <v>a</v>
      </c>
      <c r="R32" s="62" t="str">
        <f t="shared" si="5"/>
        <v>a</v>
      </c>
      <c r="S32" s="62" t="str">
        <f t="shared" si="6"/>
        <v>a</v>
      </c>
      <c r="T32" s="63" t="str">
        <f t="shared" si="7"/>
        <v>a</v>
      </c>
      <c r="U32" s="61" t="s">
        <v>124</v>
      </c>
      <c r="V32" s="62" t="str">
        <f t="shared" si="8"/>
        <v>a</v>
      </c>
      <c r="W32" s="62" t="str">
        <f t="shared" si="9"/>
        <v>a</v>
      </c>
      <c r="X32" s="62" t="str">
        <f t="shared" si="10"/>
        <v>a</v>
      </c>
      <c r="Y32" s="62" t="str">
        <f t="shared" si="11"/>
        <v>a</v>
      </c>
      <c r="Z32" s="62" t="str">
        <f t="shared" si="12"/>
        <v>a</v>
      </c>
      <c r="AA32" s="62" t="str">
        <f t="shared" si="13"/>
        <v>a</v>
      </c>
      <c r="AB32" s="63" t="str">
        <f t="shared" si="14"/>
        <v>a</v>
      </c>
      <c r="AC32" s="135"/>
      <c r="AD32" s="302"/>
      <c r="AE32" s="302"/>
      <c r="AF32" s="302"/>
      <c r="AG32" s="302"/>
      <c r="AH32" s="302"/>
      <c r="AI32" s="302"/>
      <c r="AJ32" s="137"/>
      <c r="AK32" s="135"/>
      <c r="AL32" s="302"/>
      <c r="AM32" s="302"/>
      <c r="AN32" s="302"/>
      <c r="AO32" s="302"/>
      <c r="AP32" s="302"/>
      <c r="AQ32" s="302"/>
      <c r="AR32" s="137"/>
      <c r="AS32" s="135"/>
      <c r="AT32" s="302"/>
      <c r="AU32" s="302"/>
      <c r="AV32" s="302"/>
      <c r="AW32" s="302"/>
      <c r="AX32" s="302"/>
      <c r="AY32" s="302"/>
      <c r="AZ32" s="137"/>
      <c r="BA32" s="37">
        <f t="shared" si="15"/>
        <v>0</v>
      </c>
      <c r="BB32" s="9">
        <f t="shared" si="16"/>
        <v>492</v>
      </c>
      <c r="BC32" s="10">
        <f t="shared" si="17"/>
        <v>85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519</v>
      </c>
      <c r="E33" s="61" t="s">
        <v>124</v>
      </c>
      <c r="F33" s="62" t="str">
        <f t="shared" si="19"/>
        <v>a</v>
      </c>
      <c r="G33" s="62" t="str">
        <f t="shared" si="19"/>
        <v>a</v>
      </c>
      <c r="H33" s="62" t="str">
        <f t="shared" si="19"/>
        <v>a</v>
      </c>
      <c r="I33" s="62" t="str">
        <f t="shared" si="19"/>
        <v>a</v>
      </c>
      <c r="J33" s="62" t="str">
        <f t="shared" si="19"/>
        <v>a</v>
      </c>
      <c r="K33" s="62" t="str">
        <f t="shared" si="19"/>
        <v>a</v>
      </c>
      <c r="L33" s="63" t="str">
        <f t="shared" si="19"/>
        <v>a</v>
      </c>
      <c r="M33" s="61">
        <v>1</v>
      </c>
      <c r="N33" s="62">
        <f t="shared" si="1"/>
        <v>1</v>
      </c>
      <c r="O33" s="62">
        <f t="shared" si="2"/>
        <v>1</v>
      </c>
      <c r="P33" s="62">
        <f t="shared" si="3"/>
        <v>1</v>
      </c>
      <c r="Q33" s="62">
        <f t="shared" si="4"/>
        <v>1</v>
      </c>
      <c r="R33" s="62">
        <f t="shared" si="5"/>
        <v>1</v>
      </c>
      <c r="S33" s="62">
        <f t="shared" si="6"/>
        <v>1</v>
      </c>
      <c r="T33" s="63">
        <f t="shared" si="7"/>
        <v>1</v>
      </c>
      <c r="U33" s="61" t="s">
        <v>124</v>
      </c>
      <c r="V33" s="62" t="str">
        <f t="shared" si="8"/>
        <v>a</v>
      </c>
      <c r="W33" s="62" t="str">
        <f t="shared" si="9"/>
        <v>a</v>
      </c>
      <c r="X33" s="62" t="str">
        <f t="shared" si="10"/>
        <v>a</v>
      </c>
      <c r="Y33" s="62" t="str">
        <f t="shared" si="11"/>
        <v>a</v>
      </c>
      <c r="Z33" s="62" t="str">
        <f t="shared" si="12"/>
        <v>a</v>
      </c>
      <c r="AA33" s="62" t="str">
        <f t="shared" si="13"/>
        <v>a</v>
      </c>
      <c r="AB33" s="63" t="str">
        <f t="shared" si="14"/>
        <v>a</v>
      </c>
      <c r="AC33" s="135"/>
      <c r="AD33" s="302"/>
      <c r="AE33" s="302"/>
      <c r="AF33" s="302"/>
      <c r="AG33" s="302"/>
      <c r="AH33" s="302"/>
      <c r="AI33" s="302"/>
      <c r="AJ33" s="137"/>
      <c r="AK33" s="135"/>
      <c r="AL33" s="302"/>
      <c r="AM33" s="302"/>
      <c r="AN33" s="302"/>
      <c r="AO33" s="302"/>
      <c r="AP33" s="302"/>
      <c r="AQ33" s="302"/>
      <c r="AR33" s="137"/>
      <c r="AS33" s="135"/>
      <c r="AT33" s="302"/>
      <c r="AU33" s="302"/>
      <c r="AV33" s="302"/>
      <c r="AW33" s="302"/>
      <c r="AX33" s="302"/>
      <c r="AY33" s="302"/>
      <c r="AZ33" s="137"/>
      <c r="BA33" s="37">
        <f t="shared" si="15"/>
        <v>8</v>
      </c>
      <c r="BB33" s="9">
        <f t="shared" si="16"/>
        <v>527</v>
      </c>
      <c r="BC33" s="10">
        <f t="shared" si="17"/>
        <v>91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462</v>
      </c>
      <c r="E34" s="61" t="s">
        <v>124</v>
      </c>
      <c r="F34" s="62" t="str">
        <f t="shared" si="19"/>
        <v>a</v>
      </c>
      <c r="G34" s="62" t="str">
        <f t="shared" si="19"/>
        <v>a</v>
      </c>
      <c r="H34" s="62" t="str">
        <f t="shared" si="19"/>
        <v>a</v>
      </c>
      <c r="I34" s="62" t="str">
        <f t="shared" si="19"/>
        <v>a</v>
      </c>
      <c r="J34" s="62" t="str">
        <f t="shared" si="19"/>
        <v>a</v>
      </c>
      <c r="K34" s="62" t="str">
        <f t="shared" si="19"/>
        <v>a</v>
      </c>
      <c r="L34" s="63" t="str">
        <f t="shared" si="19"/>
        <v>a</v>
      </c>
      <c r="M34" s="61" t="s">
        <v>124</v>
      </c>
      <c r="N34" s="62" t="str">
        <f t="shared" si="1"/>
        <v>a</v>
      </c>
      <c r="O34" s="62" t="str">
        <f t="shared" si="2"/>
        <v>a</v>
      </c>
      <c r="P34" s="62" t="str">
        <f t="shared" si="3"/>
        <v>a</v>
      </c>
      <c r="Q34" s="62" t="str">
        <f t="shared" si="4"/>
        <v>a</v>
      </c>
      <c r="R34" s="62" t="str">
        <f t="shared" si="5"/>
        <v>a</v>
      </c>
      <c r="S34" s="62" t="str">
        <f t="shared" si="6"/>
        <v>a</v>
      </c>
      <c r="T34" s="63" t="str">
        <f t="shared" si="7"/>
        <v>a</v>
      </c>
      <c r="U34" s="61" t="s">
        <v>124</v>
      </c>
      <c r="V34" s="62" t="str">
        <f t="shared" si="8"/>
        <v>a</v>
      </c>
      <c r="W34" s="62" t="str">
        <f t="shared" si="9"/>
        <v>a</v>
      </c>
      <c r="X34" s="62" t="str">
        <f t="shared" si="10"/>
        <v>a</v>
      </c>
      <c r="Y34" s="62" t="str">
        <f t="shared" si="11"/>
        <v>a</v>
      </c>
      <c r="Z34" s="62" t="str">
        <f t="shared" si="12"/>
        <v>a</v>
      </c>
      <c r="AA34" s="62" t="str">
        <f t="shared" si="13"/>
        <v>a</v>
      </c>
      <c r="AB34" s="63" t="str">
        <f t="shared" si="14"/>
        <v>a</v>
      </c>
      <c r="AC34" s="135"/>
      <c r="AD34" s="302"/>
      <c r="AE34" s="302"/>
      <c r="AF34" s="302"/>
      <c r="AG34" s="302"/>
      <c r="AH34" s="302"/>
      <c r="AI34" s="302"/>
      <c r="AJ34" s="137"/>
      <c r="AK34" s="135"/>
      <c r="AL34" s="302"/>
      <c r="AM34" s="302"/>
      <c r="AN34" s="302"/>
      <c r="AO34" s="302"/>
      <c r="AP34" s="302"/>
      <c r="AQ34" s="302"/>
      <c r="AR34" s="137"/>
      <c r="AS34" s="135"/>
      <c r="AT34" s="302"/>
      <c r="AU34" s="302"/>
      <c r="AV34" s="302"/>
      <c r="AW34" s="302"/>
      <c r="AX34" s="302"/>
      <c r="AY34" s="302"/>
      <c r="AZ34" s="137"/>
      <c r="BA34" s="37">
        <f t="shared" si="15"/>
        <v>0</v>
      </c>
      <c r="BB34" s="9">
        <f t="shared" si="16"/>
        <v>462</v>
      </c>
      <c r="BC34" s="10">
        <f t="shared" si="17"/>
        <v>80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549</v>
      </c>
      <c r="E35" s="61" t="s">
        <v>124</v>
      </c>
      <c r="F35" s="62" t="str">
        <f t="shared" si="19"/>
        <v>a</v>
      </c>
      <c r="G35" s="62" t="str">
        <f t="shared" si="19"/>
        <v>a</v>
      </c>
      <c r="H35" s="62" t="str">
        <f t="shared" si="19"/>
        <v>a</v>
      </c>
      <c r="I35" s="62" t="str">
        <f t="shared" si="19"/>
        <v>a</v>
      </c>
      <c r="J35" s="62" t="str">
        <f t="shared" si="19"/>
        <v>a</v>
      </c>
      <c r="K35" s="62" t="str">
        <f t="shared" si="19"/>
        <v>a</v>
      </c>
      <c r="L35" s="63" t="str">
        <f t="shared" si="19"/>
        <v>a</v>
      </c>
      <c r="M35" s="61" t="s">
        <v>124</v>
      </c>
      <c r="N35" s="62" t="str">
        <f t="shared" si="1"/>
        <v>a</v>
      </c>
      <c r="O35" s="62" t="str">
        <f t="shared" si="2"/>
        <v>a</v>
      </c>
      <c r="P35" s="62" t="str">
        <f t="shared" si="3"/>
        <v>a</v>
      </c>
      <c r="Q35" s="62" t="str">
        <f t="shared" si="4"/>
        <v>a</v>
      </c>
      <c r="R35" s="62" t="str">
        <f t="shared" si="5"/>
        <v>a</v>
      </c>
      <c r="S35" s="62" t="str">
        <f t="shared" si="6"/>
        <v>a</v>
      </c>
      <c r="T35" s="63" t="str">
        <f t="shared" si="7"/>
        <v>a</v>
      </c>
      <c r="U35" s="61" t="s">
        <v>124</v>
      </c>
      <c r="V35" s="62" t="str">
        <f t="shared" si="8"/>
        <v>a</v>
      </c>
      <c r="W35" s="62" t="str">
        <f t="shared" si="9"/>
        <v>a</v>
      </c>
      <c r="X35" s="62" t="str">
        <f t="shared" si="10"/>
        <v>a</v>
      </c>
      <c r="Y35" s="62" t="str">
        <f t="shared" si="11"/>
        <v>a</v>
      </c>
      <c r="Z35" s="62" t="str">
        <f t="shared" si="12"/>
        <v>a</v>
      </c>
      <c r="AA35" s="62" t="str">
        <f t="shared" si="13"/>
        <v>a</v>
      </c>
      <c r="AB35" s="63" t="str">
        <f t="shared" si="14"/>
        <v>a</v>
      </c>
      <c r="AC35" s="135"/>
      <c r="AD35" s="302"/>
      <c r="AE35" s="302"/>
      <c r="AF35" s="302"/>
      <c r="AG35" s="302"/>
      <c r="AH35" s="302"/>
      <c r="AI35" s="302"/>
      <c r="AJ35" s="137"/>
      <c r="AK35" s="135"/>
      <c r="AL35" s="302"/>
      <c r="AM35" s="302"/>
      <c r="AN35" s="302"/>
      <c r="AO35" s="302"/>
      <c r="AP35" s="302"/>
      <c r="AQ35" s="302"/>
      <c r="AR35" s="137"/>
      <c r="AS35" s="135"/>
      <c r="AT35" s="302"/>
      <c r="AU35" s="302"/>
      <c r="AV35" s="302"/>
      <c r="AW35" s="302"/>
      <c r="AX35" s="302"/>
      <c r="AY35" s="302"/>
      <c r="AZ35" s="137"/>
      <c r="BA35" s="37">
        <f t="shared" si="15"/>
        <v>0</v>
      </c>
      <c r="BB35" s="9">
        <f t="shared" si="16"/>
        <v>549</v>
      </c>
      <c r="BC35" s="10">
        <f t="shared" si="17"/>
        <v>94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473</v>
      </c>
      <c r="E36" s="61" t="s">
        <v>124</v>
      </c>
      <c r="F36" s="62" t="str">
        <f t="shared" si="19"/>
        <v>a</v>
      </c>
      <c r="G36" s="62" t="str">
        <f t="shared" si="19"/>
        <v>a</v>
      </c>
      <c r="H36" s="62" t="str">
        <f t="shared" si="19"/>
        <v>a</v>
      </c>
      <c r="I36" s="62" t="str">
        <f t="shared" si="19"/>
        <v>a</v>
      </c>
      <c r="J36" s="62" t="str">
        <f t="shared" si="19"/>
        <v>a</v>
      </c>
      <c r="K36" s="62" t="str">
        <f t="shared" si="19"/>
        <v>a</v>
      </c>
      <c r="L36" s="63" t="str">
        <f t="shared" si="19"/>
        <v>a</v>
      </c>
      <c r="M36" s="61" t="s">
        <v>124</v>
      </c>
      <c r="N36" s="62" t="str">
        <f t="shared" si="1"/>
        <v>a</v>
      </c>
      <c r="O36" s="62" t="str">
        <f t="shared" si="2"/>
        <v>a</v>
      </c>
      <c r="P36" s="62" t="str">
        <f t="shared" si="3"/>
        <v>a</v>
      </c>
      <c r="Q36" s="62" t="str">
        <f t="shared" si="4"/>
        <v>a</v>
      </c>
      <c r="R36" s="62" t="str">
        <f t="shared" si="5"/>
        <v>a</v>
      </c>
      <c r="S36" s="62" t="str">
        <f t="shared" si="6"/>
        <v>a</v>
      </c>
      <c r="T36" s="63" t="str">
        <f t="shared" si="7"/>
        <v>a</v>
      </c>
      <c r="U36" s="61" t="s">
        <v>124</v>
      </c>
      <c r="V36" s="62" t="str">
        <f t="shared" si="8"/>
        <v>a</v>
      </c>
      <c r="W36" s="62" t="str">
        <f t="shared" si="9"/>
        <v>a</v>
      </c>
      <c r="X36" s="62" t="str">
        <f t="shared" si="10"/>
        <v>a</v>
      </c>
      <c r="Y36" s="62" t="str">
        <f t="shared" si="11"/>
        <v>a</v>
      </c>
      <c r="Z36" s="62" t="str">
        <f t="shared" si="12"/>
        <v>a</v>
      </c>
      <c r="AA36" s="62" t="str">
        <f t="shared" si="13"/>
        <v>a</v>
      </c>
      <c r="AB36" s="63" t="str">
        <f t="shared" si="14"/>
        <v>a</v>
      </c>
      <c r="AC36" s="135"/>
      <c r="AD36" s="302"/>
      <c r="AE36" s="302"/>
      <c r="AF36" s="302"/>
      <c r="AG36" s="302"/>
      <c r="AH36" s="302"/>
      <c r="AI36" s="302"/>
      <c r="AJ36" s="137"/>
      <c r="AK36" s="135"/>
      <c r="AL36" s="302"/>
      <c r="AM36" s="302"/>
      <c r="AN36" s="302"/>
      <c r="AO36" s="302"/>
      <c r="AP36" s="302"/>
      <c r="AQ36" s="302"/>
      <c r="AR36" s="137"/>
      <c r="AS36" s="135"/>
      <c r="AT36" s="302"/>
      <c r="AU36" s="302"/>
      <c r="AV36" s="302"/>
      <c r="AW36" s="302"/>
      <c r="AX36" s="302"/>
      <c r="AY36" s="302"/>
      <c r="AZ36" s="137"/>
      <c r="BA36" s="37">
        <f t="shared" si="15"/>
        <v>0</v>
      </c>
      <c r="BB36" s="9">
        <f t="shared" si="16"/>
        <v>473</v>
      </c>
      <c r="BC36" s="10">
        <f t="shared" si="17"/>
        <v>81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549</v>
      </c>
      <c r="E37" s="61" t="s">
        <v>124</v>
      </c>
      <c r="F37" s="62" t="str">
        <f t="shared" si="19"/>
        <v>a</v>
      </c>
      <c r="G37" s="62" t="str">
        <f t="shared" si="19"/>
        <v>a</v>
      </c>
      <c r="H37" s="62" t="str">
        <f t="shared" si="19"/>
        <v>a</v>
      </c>
      <c r="I37" s="62" t="str">
        <f t="shared" si="19"/>
        <v>a</v>
      </c>
      <c r="J37" s="62" t="str">
        <f t="shared" si="19"/>
        <v>a</v>
      </c>
      <c r="K37" s="62" t="str">
        <f t="shared" si="19"/>
        <v>a</v>
      </c>
      <c r="L37" s="63" t="str">
        <f t="shared" si="19"/>
        <v>a</v>
      </c>
      <c r="M37" s="61" t="s">
        <v>124</v>
      </c>
      <c r="N37" s="62" t="str">
        <f t="shared" si="1"/>
        <v>a</v>
      </c>
      <c r="O37" s="62" t="str">
        <f t="shared" si="2"/>
        <v>a</v>
      </c>
      <c r="P37" s="62" t="str">
        <f t="shared" si="3"/>
        <v>a</v>
      </c>
      <c r="Q37" s="62" t="str">
        <f t="shared" si="4"/>
        <v>a</v>
      </c>
      <c r="R37" s="62" t="str">
        <f t="shared" si="5"/>
        <v>a</v>
      </c>
      <c r="S37" s="62" t="str">
        <f t="shared" si="6"/>
        <v>a</v>
      </c>
      <c r="T37" s="63" t="str">
        <f t="shared" si="7"/>
        <v>a</v>
      </c>
      <c r="U37" s="61" t="s">
        <v>124</v>
      </c>
      <c r="V37" s="62" t="str">
        <f t="shared" si="8"/>
        <v>a</v>
      </c>
      <c r="W37" s="62" t="str">
        <f t="shared" si="9"/>
        <v>a</v>
      </c>
      <c r="X37" s="62" t="str">
        <f t="shared" si="10"/>
        <v>a</v>
      </c>
      <c r="Y37" s="62" t="str">
        <f t="shared" si="11"/>
        <v>a</v>
      </c>
      <c r="Z37" s="62" t="str">
        <f t="shared" si="12"/>
        <v>a</v>
      </c>
      <c r="AA37" s="62" t="str">
        <f t="shared" si="13"/>
        <v>a</v>
      </c>
      <c r="AB37" s="63" t="str">
        <f t="shared" si="14"/>
        <v>a</v>
      </c>
      <c r="AC37" s="135"/>
      <c r="AD37" s="302"/>
      <c r="AE37" s="302"/>
      <c r="AF37" s="302"/>
      <c r="AG37" s="302"/>
      <c r="AH37" s="302"/>
      <c r="AI37" s="302"/>
      <c r="AJ37" s="137"/>
      <c r="AK37" s="135"/>
      <c r="AL37" s="302"/>
      <c r="AM37" s="302"/>
      <c r="AN37" s="302"/>
      <c r="AO37" s="302"/>
      <c r="AP37" s="302"/>
      <c r="AQ37" s="302"/>
      <c r="AR37" s="137"/>
      <c r="AS37" s="135"/>
      <c r="AT37" s="302"/>
      <c r="AU37" s="302"/>
      <c r="AV37" s="302"/>
      <c r="AW37" s="302"/>
      <c r="AX37" s="302"/>
      <c r="AY37" s="302"/>
      <c r="AZ37" s="137"/>
      <c r="BA37" s="38">
        <f t="shared" si="15"/>
        <v>0</v>
      </c>
      <c r="BB37" s="9">
        <f t="shared" si="16"/>
        <v>549</v>
      </c>
      <c r="BC37" s="10">
        <f t="shared" si="17"/>
        <v>94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454</v>
      </c>
      <c r="E38" s="61" t="s">
        <v>124</v>
      </c>
      <c r="F38" s="62" t="str">
        <f t="shared" si="19"/>
        <v>a</v>
      </c>
      <c r="G38" s="62" t="str">
        <f t="shared" si="19"/>
        <v>a</v>
      </c>
      <c r="H38" s="62" t="str">
        <f t="shared" si="19"/>
        <v>a</v>
      </c>
      <c r="I38" s="62" t="str">
        <f t="shared" si="19"/>
        <v>a</v>
      </c>
      <c r="J38" s="62" t="str">
        <f t="shared" si="19"/>
        <v>a</v>
      </c>
      <c r="K38" s="62" t="str">
        <f t="shared" si="19"/>
        <v>a</v>
      </c>
      <c r="L38" s="63" t="str">
        <f t="shared" si="19"/>
        <v>a</v>
      </c>
      <c r="M38" s="61" t="s">
        <v>124</v>
      </c>
      <c r="N38" s="62" t="str">
        <f t="shared" si="1"/>
        <v>a</v>
      </c>
      <c r="O38" s="62" t="str">
        <f t="shared" si="2"/>
        <v>a</v>
      </c>
      <c r="P38" s="62" t="str">
        <f t="shared" si="3"/>
        <v>a</v>
      </c>
      <c r="Q38" s="62" t="str">
        <f t="shared" si="4"/>
        <v>a</v>
      </c>
      <c r="R38" s="62" t="str">
        <f t="shared" si="5"/>
        <v>a</v>
      </c>
      <c r="S38" s="62" t="str">
        <f t="shared" si="6"/>
        <v>a</v>
      </c>
      <c r="T38" s="63" t="str">
        <f t="shared" si="7"/>
        <v>a</v>
      </c>
      <c r="U38" s="61" t="s">
        <v>124</v>
      </c>
      <c r="V38" s="62" t="str">
        <f t="shared" si="8"/>
        <v>a</v>
      </c>
      <c r="W38" s="62" t="str">
        <f t="shared" si="9"/>
        <v>a</v>
      </c>
      <c r="X38" s="62" t="str">
        <f t="shared" si="10"/>
        <v>a</v>
      </c>
      <c r="Y38" s="62" t="str">
        <f t="shared" si="11"/>
        <v>a</v>
      </c>
      <c r="Z38" s="62" t="str">
        <f t="shared" si="12"/>
        <v>a</v>
      </c>
      <c r="AA38" s="62" t="str">
        <f t="shared" si="13"/>
        <v>a</v>
      </c>
      <c r="AB38" s="63" t="str">
        <f t="shared" si="14"/>
        <v>a</v>
      </c>
      <c r="AC38" s="135"/>
      <c r="AD38" s="302"/>
      <c r="AE38" s="302"/>
      <c r="AF38" s="302"/>
      <c r="AG38" s="302"/>
      <c r="AH38" s="302"/>
      <c r="AI38" s="302"/>
      <c r="AJ38" s="137"/>
      <c r="AK38" s="135"/>
      <c r="AL38" s="302"/>
      <c r="AM38" s="302"/>
      <c r="AN38" s="302"/>
      <c r="AO38" s="302"/>
      <c r="AP38" s="302"/>
      <c r="AQ38" s="302"/>
      <c r="AR38" s="137"/>
      <c r="AS38" s="135"/>
      <c r="AT38" s="302"/>
      <c r="AU38" s="302"/>
      <c r="AV38" s="302"/>
      <c r="AW38" s="302"/>
      <c r="AX38" s="302"/>
      <c r="AY38" s="302"/>
      <c r="AZ38" s="137"/>
      <c r="BA38" s="36">
        <f>SUM(E38:AZ38)</f>
        <v>0</v>
      </c>
      <c r="BB38" s="9">
        <f t="shared" si="16"/>
        <v>454</v>
      </c>
      <c r="BC38" s="10">
        <f t="shared" si="17"/>
        <v>78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478</v>
      </c>
      <c r="E39" s="61" t="s">
        <v>124</v>
      </c>
      <c r="F39" s="62" t="str">
        <f t="shared" si="19"/>
        <v>a</v>
      </c>
      <c r="G39" s="62" t="str">
        <f t="shared" si="19"/>
        <v>a</v>
      </c>
      <c r="H39" s="62" t="str">
        <f t="shared" si="19"/>
        <v>a</v>
      </c>
      <c r="I39" s="62" t="str">
        <f t="shared" si="19"/>
        <v>a</v>
      </c>
      <c r="J39" s="62" t="str">
        <f t="shared" si="19"/>
        <v>a</v>
      </c>
      <c r="K39" s="62" t="str">
        <f t="shared" si="19"/>
        <v>a</v>
      </c>
      <c r="L39" s="63" t="str">
        <f t="shared" si="19"/>
        <v>a</v>
      </c>
      <c r="M39" s="61" t="s">
        <v>124</v>
      </c>
      <c r="N39" s="62" t="str">
        <f t="shared" si="1"/>
        <v>a</v>
      </c>
      <c r="O39" s="62" t="str">
        <f t="shared" si="2"/>
        <v>a</v>
      </c>
      <c r="P39" s="62" t="str">
        <f t="shared" si="3"/>
        <v>a</v>
      </c>
      <c r="Q39" s="62" t="str">
        <f t="shared" si="4"/>
        <v>a</v>
      </c>
      <c r="R39" s="62" t="str">
        <f t="shared" si="5"/>
        <v>a</v>
      </c>
      <c r="S39" s="62" t="str">
        <f t="shared" si="6"/>
        <v>a</v>
      </c>
      <c r="T39" s="63" t="str">
        <f t="shared" si="7"/>
        <v>a</v>
      </c>
      <c r="U39" s="61" t="s">
        <v>124</v>
      </c>
      <c r="V39" s="62" t="str">
        <f t="shared" si="8"/>
        <v>a</v>
      </c>
      <c r="W39" s="62" t="str">
        <f t="shared" si="9"/>
        <v>a</v>
      </c>
      <c r="X39" s="62" t="str">
        <f t="shared" si="10"/>
        <v>a</v>
      </c>
      <c r="Y39" s="62" t="str">
        <f t="shared" si="11"/>
        <v>a</v>
      </c>
      <c r="Z39" s="62" t="str">
        <f t="shared" si="12"/>
        <v>a</v>
      </c>
      <c r="AA39" s="62" t="str">
        <f t="shared" si="13"/>
        <v>a</v>
      </c>
      <c r="AB39" s="63" t="str">
        <f t="shared" si="14"/>
        <v>a</v>
      </c>
      <c r="AC39" s="135"/>
      <c r="AD39" s="302"/>
      <c r="AE39" s="302"/>
      <c r="AF39" s="302"/>
      <c r="AG39" s="302"/>
      <c r="AH39" s="302"/>
      <c r="AI39" s="302"/>
      <c r="AJ39" s="137"/>
      <c r="AK39" s="135"/>
      <c r="AL39" s="302"/>
      <c r="AM39" s="302"/>
      <c r="AN39" s="302"/>
      <c r="AO39" s="302"/>
      <c r="AP39" s="302"/>
      <c r="AQ39" s="302"/>
      <c r="AR39" s="137"/>
      <c r="AS39" s="135"/>
      <c r="AT39" s="302"/>
      <c r="AU39" s="302"/>
      <c r="AV39" s="302"/>
      <c r="AW39" s="302"/>
      <c r="AX39" s="302"/>
      <c r="AY39" s="302"/>
      <c r="AZ39" s="137"/>
      <c r="BA39" s="37">
        <f t="shared" ref="BA39:BA73" si="20">SUM(E39:AZ39)</f>
        <v>0</v>
      </c>
      <c r="BB39" s="9">
        <f t="shared" si="16"/>
        <v>478</v>
      </c>
      <c r="BC39" s="10">
        <f t="shared" si="17"/>
        <v>82</v>
      </c>
    </row>
    <row r="40" spans="1:55" ht="15" customHeight="1" x14ac:dyDescent="0.35">
      <c r="A40" s="29">
        <v>820323205093</v>
      </c>
      <c r="B40" s="30" t="s">
        <v>50</v>
      </c>
      <c r="C40" s="11"/>
      <c r="D40" s="46">
        <v>440</v>
      </c>
      <c r="E40" s="61" t="s">
        <v>124</v>
      </c>
      <c r="F40" s="62" t="str">
        <f t="shared" si="19"/>
        <v>a</v>
      </c>
      <c r="G40" s="62" t="str">
        <f t="shared" si="19"/>
        <v>a</v>
      </c>
      <c r="H40" s="62" t="str">
        <f t="shared" si="19"/>
        <v>a</v>
      </c>
      <c r="I40" s="62" t="str">
        <f t="shared" si="19"/>
        <v>a</v>
      </c>
      <c r="J40" s="62" t="str">
        <f t="shared" si="19"/>
        <v>a</v>
      </c>
      <c r="K40" s="62" t="str">
        <f t="shared" si="19"/>
        <v>a</v>
      </c>
      <c r="L40" s="63" t="str">
        <f t="shared" si="19"/>
        <v>a</v>
      </c>
      <c r="M40" s="61" t="s">
        <v>124</v>
      </c>
      <c r="N40" s="62" t="str">
        <f t="shared" si="1"/>
        <v>a</v>
      </c>
      <c r="O40" s="62" t="str">
        <f t="shared" si="2"/>
        <v>a</v>
      </c>
      <c r="P40" s="62" t="str">
        <f t="shared" si="3"/>
        <v>a</v>
      </c>
      <c r="Q40" s="62" t="str">
        <f t="shared" si="4"/>
        <v>a</v>
      </c>
      <c r="R40" s="62" t="str">
        <f t="shared" si="5"/>
        <v>a</v>
      </c>
      <c r="S40" s="62" t="str">
        <f t="shared" si="6"/>
        <v>a</v>
      </c>
      <c r="T40" s="63" t="str">
        <f t="shared" si="7"/>
        <v>a</v>
      </c>
      <c r="U40" s="61" t="s">
        <v>124</v>
      </c>
      <c r="V40" s="62" t="str">
        <f t="shared" si="8"/>
        <v>a</v>
      </c>
      <c r="W40" s="62" t="str">
        <f t="shared" si="9"/>
        <v>a</v>
      </c>
      <c r="X40" s="62" t="str">
        <f t="shared" si="10"/>
        <v>a</v>
      </c>
      <c r="Y40" s="62" t="str">
        <f t="shared" si="11"/>
        <v>a</v>
      </c>
      <c r="Z40" s="62" t="str">
        <f t="shared" si="12"/>
        <v>a</v>
      </c>
      <c r="AA40" s="62" t="str">
        <f t="shared" si="13"/>
        <v>a</v>
      </c>
      <c r="AB40" s="63" t="str">
        <f t="shared" si="14"/>
        <v>a</v>
      </c>
      <c r="AC40" s="135"/>
      <c r="AD40" s="302"/>
      <c r="AE40" s="302"/>
      <c r="AF40" s="302"/>
      <c r="AG40" s="302"/>
      <c r="AH40" s="302"/>
      <c r="AI40" s="302"/>
      <c r="AJ40" s="137"/>
      <c r="AK40" s="135"/>
      <c r="AL40" s="302"/>
      <c r="AM40" s="302"/>
      <c r="AN40" s="302"/>
      <c r="AO40" s="302"/>
      <c r="AP40" s="302"/>
      <c r="AQ40" s="302"/>
      <c r="AR40" s="137"/>
      <c r="AS40" s="135"/>
      <c r="AT40" s="302"/>
      <c r="AU40" s="302"/>
      <c r="AV40" s="302"/>
      <c r="AW40" s="302"/>
      <c r="AX40" s="302"/>
      <c r="AY40" s="302"/>
      <c r="AZ40" s="137"/>
      <c r="BA40" s="37">
        <f t="shared" si="20"/>
        <v>0</v>
      </c>
      <c r="BB40" s="9">
        <f t="shared" si="16"/>
        <v>440</v>
      </c>
      <c r="BC40" s="10">
        <f t="shared" si="17"/>
        <v>76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474</v>
      </c>
      <c r="E41" s="61" t="s">
        <v>124</v>
      </c>
      <c r="F41" s="62" t="str">
        <f t="shared" si="19"/>
        <v>a</v>
      </c>
      <c r="G41" s="62" t="str">
        <f t="shared" si="19"/>
        <v>a</v>
      </c>
      <c r="H41" s="62" t="str">
        <f t="shared" si="19"/>
        <v>a</v>
      </c>
      <c r="I41" s="62" t="str">
        <f t="shared" si="19"/>
        <v>a</v>
      </c>
      <c r="J41" s="62" t="str">
        <f t="shared" si="19"/>
        <v>a</v>
      </c>
      <c r="K41" s="62" t="str">
        <f t="shared" si="19"/>
        <v>a</v>
      </c>
      <c r="L41" s="63" t="str">
        <f t="shared" si="19"/>
        <v>a</v>
      </c>
      <c r="M41" s="61" t="s">
        <v>124</v>
      </c>
      <c r="N41" s="62" t="str">
        <f t="shared" si="1"/>
        <v>a</v>
      </c>
      <c r="O41" s="62" t="str">
        <f t="shared" si="2"/>
        <v>a</v>
      </c>
      <c r="P41" s="62" t="str">
        <f t="shared" si="3"/>
        <v>a</v>
      </c>
      <c r="Q41" s="62" t="str">
        <f t="shared" si="4"/>
        <v>a</v>
      </c>
      <c r="R41" s="62" t="str">
        <f t="shared" si="5"/>
        <v>a</v>
      </c>
      <c r="S41" s="62" t="str">
        <f t="shared" si="6"/>
        <v>a</v>
      </c>
      <c r="T41" s="63" t="str">
        <f t="shared" si="7"/>
        <v>a</v>
      </c>
      <c r="U41" s="61" t="s">
        <v>124</v>
      </c>
      <c r="V41" s="62" t="str">
        <f t="shared" si="8"/>
        <v>a</v>
      </c>
      <c r="W41" s="62" t="str">
        <f t="shared" si="9"/>
        <v>a</v>
      </c>
      <c r="X41" s="62" t="str">
        <f t="shared" si="10"/>
        <v>a</v>
      </c>
      <c r="Y41" s="62" t="str">
        <f t="shared" si="11"/>
        <v>a</v>
      </c>
      <c r="Z41" s="62" t="str">
        <f t="shared" si="12"/>
        <v>a</v>
      </c>
      <c r="AA41" s="62" t="str">
        <f t="shared" si="13"/>
        <v>a</v>
      </c>
      <c r="AB41" s="63" t="str">
        <f t="shared" si="14"/>
        <v>a</v>
      </c>
      <c r="AC41" s="135"/>
      <c r="AD41" s="302"/>
      <c r="AE41" s="302"/>
      <c r="AF41" s="302"/>
      <c r="AG41" s="302"/>
      <c r="AH41" s="302"/>
      <c r="AI41" s="302"/>
      <c r="AJ41" s="137"/>
      <c r="AK41" s="135"/>
      <c r="AL41" s="302"/>
      <c r="AM41" s="302"/>
      <c r="AN41" s="302"/>
      <c r="AO41" s="302"/>
      <c r="AP41" s="302"/>
      <c r="AQ41" s="302"/>
      <c r="AR41" s="137"/>
      <c r="AS41" s="135"/>
      <c r="AT41" s="302"/>
      <c r="AU41" s="302"/>
      <c r="AV41" s="302"/>
      <c r="AW41" s="302"/>
      <c r="AX41" s="302"/>
      <c r="AY41" s="302"/>
      <c r="AZ41" s="137"/>
      <c r="BA41" s="37">
        <f t="shared" si="20"/>
        <v>0</v>
      </c>
      <c r="BB41" s="9">
        <f t="shared" si="16"/>
        <v>474</v>
      </c>
      <c r="BC41" s="10">
        <f t="shared" si="17"/>
        <v>82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501</v>
      </c>
      <c r="E42" s="61" t="s">
        <v>124</v>
      </c>
      <c r="F42" s="62" t="str">
        <f t="shared" si="19"/>
        <v>a</v>
      </c>
      <c r="G42" s="62" t="str">
        <f t="shared" si="19"/>
        <v>a</v>
      </c>
      <c r="H42" s="62" t="str">
        <f t="shared" si="19"/>
        <v>a</v>
      </c>
      <c r="I42" s="62" t="str">
        <f t="shared" si="19"/>
        <v>a</v>
      </c>
      <c r="J42" s="62" t="str">
        <f t="shared" si="19"/>
        <v>a</v>
      </c>
      <c r="K42" s="62" t="str">
        <f t="shared" si="19"/>
        <v>a</v>
      </c>
      <c r="L42" s="63" t="str">
        <f t="shared" si="19"/>
        <v>a</v>
      </c>
      <c r="M42" s="61" t="s">
        <v>124</v>
      </c>
      <c r="N42" s="62" t="str">
        <f t="shared" si="1"/>
        <v>a</v>
      </c>
      <c r="O42" s="62" t="str">
        <f t="shared" si="2"/>
        <v>a</v>
      </c>
      <c r="P42" s="62" t="str">
        <f t="shared" si="3"/>
        <v>a</v>
      </c>
      <c r="Q42" s="62" t="str">
        <f t="shared" si="4"/>
        <v>a</v>
      </c>
      <c r="R42" s="62" t="str">
        <f t="shared" si="5"/>
        <v>a</v>
      </c>
      <c r="S42" s="62" t="str">
        <f t="shared" si="6"/>
        <v>a</v>
      </c>
      <c r="T42" s="63" t="str">
        <f t="shared" si="7"/>
        <v>a</v>
      </c>
      <c r="U42" s="61" t="s">
        <v>124</v>
      </c>
      <c r="V42" s="62" t="str">
        <f t="shared" si="8"/>
        <v>a</v>
      </c>
      <c r="W42" s="62" t="str">
        <f t="shared" si="9"/>
        <v>a</v>
      </c>
      <c r="X42" s="62" t="str">
        <f t="shared" si="10"/>
        <v>a</v>
      </c>
      <c r="Y42" s="62" t="str">
        <f t="shared" si="11"/>
        <v>a</v>
      </c>
      <c r="Z42" s="62" t="str">
        <f t="shared" si="12"/>
        <v>a</v>
      </c>
      <c r="AA42" s="62" t="str">
        <f t="shared" si="13"/>
        <v>a</v>
      </c>
      <c r="AB42" s="63" t="str">
        <f t="shared" si="14"/>
        <v>a</v>
      </c>
      <c r="AC42" s="138"/>
      <c r="AD42" s="139"/>
      <c r="AE42" s="139"/>
      <c r="AF42" s="139"/>
      <c r="AG42" s="139"/>
      <c r="AH42" s="139"/>
      <c r="AI42" s="139"/>
      <c r="AJ42" s="140"/>
      <c r="AK42" s="138"/>
      <c r="AL42" s="139"/>
      <c r="AM42" s="139"/>
      <c r="AN42" s="139"/>
      <c r="AO42" s="139"/>
      <c r="AP42" s="139"/>
      <c r="AQ42" s="139"/>
      <c r="AR42" s="140"/>
      <c r="AS42" s="138"/>
      <c r="AT42" s="139"/>
      <c r="AU42" s="139"/>
      <c r="AV42" s="139"/>
      <c r="AW42" s="139"/>
      <c r="AX42" s="139"/>
      <c r="AY42" s="139"/>
      <c r="AZ42" s="140"/>
      <c r="BA42" s="37">
        <f t="shared" si="20"/>
        <v>0</v>
      </c>
      <c r="BB42" s="9">
        <f t="shared" si="16"/>
        <v>501</v>
      </c>
      <c r="BC42" s="10">
        <f t="shared" si="17"/>
        <v>86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453</v>
      </c>
      <c r="E43" s="61" t="s">
        <v>124</v>
      </c>
      <c r="F43" s="62" t="str">
        <f t="shared" si="19"/>
        <v>a</v>
      </c>
      <c r="G43" s="62" t="str">
        <f t="shared" si="19"/>
        <v>a</v>
      </c>
      <c r="H43" s="62" t="str">
        <f t="shared" si="19"/>
        <v>a</v>
      </c>
      <c r="I43" s="62" t="str">
        <f t="shared" si="19"/>
        <v>a</v>
      </c>
      <c r="J43" s="62" t="str">
        <f t="shared" si="19"/>
        <v>a</v>
      </c>
      <c r="K43" s="62" t="str">
        <f t="shared" si="19"/>
        <v>a</v>
      </c>
      <c r="L43" s="63" t="str">
        <f t="shared" si="19"/>
        <v>a</v>
      </c>
      <c r="M43" s="61" t="s">
        <v>124</v>
      </c>
      <c r="N43" s="62" t="str">
        <f t="shared" si="1"/>
        <v>a</v>
      </c>
      <c r="O43" s="62" t="str">
        <f t="shared" si="2"/>
        <v>a</v>
      </c>
      <c r="P43" s="62" t="str">
        <f t="shared" si="3"/>
        <v>a</v>
      </c>
      <c r="Q43" s="62" t="str">
        <f t="shared" si="4"/>
        <v>a</v>
      </c>
      <c r="R43" s="62" t="str">
        <f t="shared" si="5"/>
        <v>a</v>
      </c>
      <c r="S43" s="62" t="str">
        <f t="shared" si="6"/>
        <v>a</v>
      </c>
      <c r="T43" s="63" t="str">
        <f t="shared" si="7"/>
        <v>a</v>
      </c>
      <c r="U43" s="61" t="s">
        <v>124</v>
      </c>
      <c r="V43" s="62" t="str">
        <f t="shared" si="8"/>
        <v>a</v>
      </c>
      <c r="W43" s="62" t="str">
        <f t="shared" si="9"/>
        <v>a</v>
      </c>
      <c r="X43" s="62" t="str">
        <f t="shared" si="10"/>
        <v>a</v>
      </c>
      <c r="Y43" s="62" t="str">
        <f t="shared" si="11"/>
        <v>a</v>
      </c>
      <c r="Z43" s="62" t="str">
        <f t="shared" si="12"/>
        <v>a</v>
      </c>
      <c r="AA43" s="62" t="str">
        <f t="shared" si="13"/>
        <v>a</v>
      </c>
      <c r="AB43" s="63" t="str">
        <f t="shared" si="14"/>
        <v>a</v>
      </c>
      <c r="AC43" s="154" t="s">
        <v>274</v>
      </c>
      <c r="AD43" s="142"/>
      <c r="AE43" s="142"/>
      <c r="AF43" s="142"/>
      <c r="AG43" s="142"/>
      <c r="AH43" s="142"/>
      <c r="AI43" s="142"/>
      <c r="AJ43" s="143"/>
      <c r="AK43" s="154" t="s">
        <v>275</v>
      </c>
      <c r="AL43" s="142"/>
      <c r="AM43" s="142"/>
      <c r="AN43" s="142"/>
      <c r="AO43" s="142"/>
      <c r="AP43" s="142"/>
      <c r="AQ43" s="142"/>
      <c r="AR43" s="143"/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20"/>
        <v>0</v>
      </c>
      <c r="BB43" s="9">
        <f t="shared" si="16"/>
        <v>453</v>
      </c>
      <c r="BC43" s="10">
        <f t="shared" si="17"/>
        <v>78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472</v>
      </c>
      <c r="E44" s="61" t="s">
        <v>124</v>
      </c>
      <c r="F44" s="62" t="str">
        <f t="shared" ref="F44:L59" si="21">E44</f>
        <v>a</v>
      </c>
      <c r="G44" s="62" t="str">
        <f t="shared" si="21"/>
        <v>a</v>
      </c>
      <c r="H44" s="62" t="str">
        <f t="shared" si="21"/>
        <v>a</v>
      </c>
      <c r="I44" s="62" t="str">
        <f t="shared" si="21"/>
        <v>a</v>
      </c>
      <c r="J44" s="62" t="str">
        <f t="shared" si="21"/>
        <v>a</v>
      </c>
      <c r="K44" s="62" t="str">
        <f t="shared" si="21"/>
        <v>a</v>
      </c>
      <c r="L44" s="63" t="str">
        <f t="shared" si="21"/>
        <v>a</v>
      </c>
      <c r="M44" s="61" t="s">
        <v>124</v>
      </c>
      <c r="N44" s="62" t="str">
        <f t="shared" si="1"/>
        <v>a</v>
      </c>
      <c r="O44" s="62" t="str">
        <f t="shared" si="2"/>
        <v>a</v>
      </c>
      <c r="P44" s="62" t="str">
        <f t="shared" si="3"/>
        <v>a</v>
      </c>
      <c r="Q44" s="62" t="str">
        <f t="shared" si="4"/>
        <v>a</v>
      </c>
      <c r="R44" s="62" t="str">
        <f t="shared" si="5"/>
        <v>a</v>
      </c>
      <c r="S44" s="62" t="str">
        <f t="shared" si="6"/>
        <v>a</v>
      </c>
      <c r="T44" s="63" t="str">
        <f t="shared" si="7"/>
        <v>a</v>
      </c>
      <c r="U44" s="61" t="s">
        <v>124</v>
      </c>
      <c r="V44" s="62" t="str">
        <f t="shared" si="8"/>
        <v>a</v>
      </c>
      <c r="W44" s="62" t="str">
        <f t="shared" si="9"/>
        <v>a</v>
      </c>
      <c r="X44" s="62" t="str">
        <f t="shared" si="10"/>
        <v>a</v>
      </c>
      <c r="Y44" s="62" t="str">
        <f t="shared" si="11"/>
        <v>a</v>
      </c>
      <c r="Z44" s="62" t="str">
        <f t="shared" si="12"/>
        <v>a</v>
      </c>
      <c r="AA44" s="62" t="str">
        <f t="shared" si="13"/>
        <v>a</v>
      </c>
      <c r="AB44" s="63" t="str">
        <f t="shared" si="14"/>
        <v>a</v>
      </c>
      <c r="AC44" s="135"/>
      <c r="AD44" s="302"/>
      <c r="AE44" s="302"/>
      <c r="AF44" s="302"/>
      <c r="AG44" s="302"/>
      <c r="AH44" s="302"/>
      <c r="AI44" s="302"/>
      <c r="AJ44" s="137"/>
      <c r="AK44" s="135"/>
      <c r="AL44" s="302"/>
      <c r="AM44" s="302"/>
      <c r="AN44" s="302"/>
      <c r="AO44" s="302"/>
      <c r="AP44" s="302"/>
      <c r="AQ44" s="302"/>
      <c r="AR44" s="137"/>
      <c r="AS44" s="135"/>
      <c r="AT44" s="302"/>
      <c r="AU44" s="302"/>
      <c r="AV44" s="302"/>
      <c r="AW44" s="302"/>
      <c r="AX44" s="302"/>
      <c r="AY44" s="302"/>
      <c r="AZ44" s="137"/>
      <c r="BA44" s="37">
        <f t="shared" si="20"/>
        <v>0</v>
      </c>
      <c r="BB44" s="9">
        <f t="shared" si="16"/>
        <v>472</v>
      </c>
      <c r="BC44" s="10">
        <f t="shared" si="17"/>
        <v>81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509</v>
      </c>
      <c r="E45" s="61" t="s">
        <v>124</v>
      </c>
      <c r="F45" s="62" t="str">
        <f t="shared" si="21"/>
        <v>a</v>
      </c>
      <c r="G45" s="62" t="str">
        <f t="shared" si="21"/>
        <v>a</v>
      </c>
      <c r="H45" s="62" t="str">
        <f t="shared" si="21"/>
        <v>a</v>
      </c>
      <c r="I45" s="62" t="str">
        <f t="shared" si="21"/>
        <v>a</v>
      </c>
      <c r="J45" s="62" t="str">
        <f t="shared" si="21"/>
        <v>a</v>
      </c>
      <c r="K45" s="62" t="str">
        <f t="shared" si="21"/>
        <v>a</v>
      </c>
      <c r="L45" s="63" t="str">
        <f t="shared" si="21"/>
        <v>a</v>
      </c>
      <c r="M45" s="61" t="s">
        <v>124</v>
      </c>
      <c r="N45" s="62" t="str">
        <f t="shared" si="1"/>
        <v>a</v>
      </c>
      <c r="O45" s="62" t="str">
        <f t="shared" si="2"/>
        <v>a</v>
      </c>
      <c r="P45" s="62" t="str">
        <f t="shared" si="3"/>
        <v>a</v>
      </c>
      <c r="Q45" s="62" t="str">
        <f t="shared" si="4"/>
        <v>a</v>
      </c>
      <c r="R45" s="62" t="str">
        <f t="shared" si="5"/>
        <v>a</v>
      </c>
      <c r="S45" s="62" t="str">
        <f t="shared" si="6"/>
        <v>a</v>
      </c>
      <c r="T45" s="63" t="str">
        <f t="shared" si="7"/>
        <v>a</v>
      </c>
      <c r="U45" s="61" t="s">
        <v>124</v>
      </c>
      <c r="V45" s="62" t="str">
        <f t="shared" si="8"/>
        <v>a</v>
      </c>
      <c r="W45" s="62" t="str">
        <f t="shared" si="9"/>
        <v>a</v>
      </c>
      <c r="X45" s="62" t="str">
        <f t="shared" si="10"/>
        <v>a</v>
      </c>
      <c r="Y45" s="62" t="str">
        <f t="shared" si="11"/>
        <v>a</v>
      </c>
      <c r="Z45" s="62" t="str">
        <f t="shared" si="12"/>
        <v>a</v>
      </c>
      <c r="AA45" s="62" t="str">
        <f t="shared" si="13"/>
        <v>a</v>
      </c>
      <c r="AB45" s="63" t="str">
        <f t="shared" si="14"/>
        <v>a</v>
      </c>
      <c r="AC45" s="135"/>
      <c r="AD45" s="302"/>
      <c r="AE45" s="302"/>
      <c r="AF45" s="302"/>
      <c r="AG45" s="302"/>
      <c r="AH45" s="302"/>
      <c r="AI45" s="302"/>
      <c r="AJ45" s="137"/>
      <c r="AK45" s="135"/>
      <c r="AL45" s="302"/>
      <c r="AM45" s="302"/>
      <c r="AN45" s="302"/>
      <c r="AO45" s="302"/>
      <c r="AP45" s="302"/>
      <c r="AQ45" s="302"/>
      <c r="AR45" s="137"/>
      <c r="AS45" s="135"/>
      <c r="AT45" s="302"/>
      <c r="AU45" s="302"/>
      <c r="AV45" s="302"/>
      <c r="AW45" s="302"/>
      <c r="AX45" s="302"/>
      <c r="AY45" s="302"/>
      <c r="AZ45" s="137"/>
      <c r="BA45" s="37">
        <f t="shared" si="20"/>
        <v>0</v>
      </c>
      <c r="BB45" s="9">
        <f t="shared" si="16"/>
        <v>509</v>
      </c>
      <c r="BC45" s="10">
        <f t="shared" si="17"/>
        <v>88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496</v>
      </c>
      <c r="E46" s="61" t="s">
        <v>124</v>
      </c>
      <c r="F46" s="62" t="str">
        <f t="shared" si="21"/>
        <v>a</v>
      </c>
      <c r="G46" s="62" t="str">
        <f t="shared" si="21"/>
        <v>a</v>
      </c>
      <c r="H46" s="62" t="str">
        <f t="shared" si="21"/>
        <v>a</v>
      </c>
      <c r="I46" s="62" t="str">
        <f t="shared" si="21"/>
        <v>a</v>
      </c>
      <c r="J46" s="62" t="str">
        <f t="shared" si="21"/>
        <v>a</v>
      </c>
      <c r="K46" s="62" t="str">
        <f t="shared" si="21"/>
        <v>a</v>
      </c>
      <c r="L46" s="63" t="str">
        <f t="shared" si="21"/>
        <v>a</v>
      </c>
      <c r="M46" s="61" t="s">
        <v>124</v>
      </c>
      <c r="N46" s="62" t="str">
        <f t="shared" si="1"/>
        <v>a</v>
      </c>
      <c r="O46" s="62" t="str">
        <f t="shared" si="2"/>
        <v>a</v>
      </c>
      <c r="P46" s="62" t="str">
        <f t="shared" si="3"/>
        <v>a</v>
      </c>
      <c r="Q46" s="62" t="str">
        <f t="shared" si="4"/>
        <v>a</v>
      </c>
      <c r="R46" s="62" t="str">
        <f t="shared" si="5"/>
        <v>a</v>
      </c>
      <c r="S46" s="62" t="str">
        <f t="shared" si="6"/>
        <v>a</v>
      </c>
      <c r="T46" s="63" t="str">
        <f t="shared" si="7"/>
        <v>a</v>
      </c>
      <c r="U46" s="61" t="s">
        <v>124</v>
      </c>
      <c r="V46" s="62" t="str">
        <f t="shared" si="8"/>
        <v>a</v>
      </c>
      <c r="W46" s="62" t="str">
        <f t="shared" si="9"/>
        <v>a</v>
      </c>
      <c r="X46" s="62" t="str">
        <f t="shared" si="10"/>
        <v>a</v>
      </c>
      <c r="Y46" s="62" t="str">
        <f t="shared" si="11"/>
        <v>a</v>
      </c>
      <c r="Z46" s="62" t="str">
        <f t="shared" si="12"/>
        <v>a</v>
      </c>
      <c r="AA46" s="62" t="str">
        <f t="shared" si="13"/>
        <v>a</v>
      </c>
      <c r="AB46" s="63" t="str">
        <f t="shared" si="14"/>
        <v>a</v>
      </c>
      <c r="AC46" s="135"/>
      <c r="AD46" s="302"/>
      <c r="AE46" s="302"/>
      <c r="AF46" s="302"/>
      <c r="AG46" s="302"/>
      <c r="AH46" s="302"/>
      <c r="AI46" s="302"/>
      <c r="AJ46" s="137"/>
      <c r="AK46" s="135"/>
      <c r="AL46" s="302"/>
      <c r="AM46" s="302"/>
      <c r="AN46" s="302"/>
      <c r="AO46" s="302"/>
      <c r="AP46" s="302"/>
      <c r="AQ46" s="302"/>
      <c r="AR46" s="137"/>
      <c r="AS46" s="135"/>
      <c r="AT46" s="302"/>
      <c r="AU46" s="302"/>
      <c r="AV46" s="302"/>
      <c r="AW46" s="302"/>
      <c r="AX46" s="302"/>
      <c r="AY46" s="302"/>
      <c r="AZ46" s="137"/>
      <c r="BA46" s="37">
        <f t="shared" si="20"/>
        <v>0</v>
      </c>
      <c r="BB46" s="9">
        <f t="shared" si="16"/>
        <v>496</v>
      </c>
      <c r="BC46" s="10">
        <f t="shared" si="17"/>
        <v>85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480</v>
      </c>
      <c r="E47" s="61" t="s">
        <v>124</v>
      </c>
      <c r="F47" s="62" t="str">
        <f t="shared" si="21"/>
        <v>a</v>
      </c>
      <c r="G47" s="62" t="str">
        <f t="shared" si="21"/>
        <v>a</v>
      </c>
      <c r="H47" s="62" t="str">
        <f t="shared" si="21"/>
        <v>a</v>
      </c>
      <c r="I47" s="62" t="str">
        <f t="shared" si="21"/>
        <v>a</v>
      </c>
      <c r="J47" s="62" t="str">
        <f t="shared" si="21"/>
        <v>a</v>
      </c>
      <c r="K47" s="62" t="str">
        <f t="shared" si="21"/>
        <v>a</v>
      </c>
      <c r="L47" s="63" t="str">
        <f t="shared" si="21"/>
        <v>a</v>
      </c>
      <c r="M47" s="61" t="s">
        <v>124</v>
      </c>
      <c r="N47" s="62" t="str">
        <f t="shared" si="1"/>
        <v>a</v>
      </c>
      <c r="O47" s="62" t="str">
        <f t="shared" si="2"/>
        <v>a</v>
      </c>
      <c r="P47" s="62" t="str">
        <f t="shared" si="3"/>
        <v>a</v>
      </c>
      <c r="Q47" s="62" t="str">
        <f t="shared" si="4"/>
        <v>a</v>
      </c>
      <c r="R47" s="62" t="str">
        <f t="shared" si="5"/>
        <v>a</v>
      </c>
      <c r="S47" s="62" t="str">
        <f t="shared" si="6"/>
        <v>a</v>
      </c>
      <c r="T47" s="63" t="str">
        <f t="shared" si="7"/>
        <v>a</v>
      </c>
      <c r="U47" s="61" t="s">
        <v>124</v>
      </c>
      <c r="V47" s="62" t="str">
        <f t="shared" si="8"/>
        <v>a</v>
      </c>
      <c r="W47" s="62" t="str">
        <f t="shared" si="9"/>
        <v>a</v>
      </c>
      <c r="X47" s="62" t="str">
        <f t="shared" si="10"/>
        <v>a</v>
      </c>
      <c r="Y47" s="62" t="str">
        <f t="shared" si="11"/>
        <v>a</v>
      </c>
      <c r="Z47" s="62" t="str">
        <f t="shared" si="12"/>
        <v>a</v>
      </c>
      <c r="AA47" s="62" t="str">
        <f t="shared" si="13"/>
        <v>a</v>
      </c>
      <c r="AB47" s="63" t="str">
        <f t="shared" si="14"/>
        <v>a</v>
      </c>
      <c r="AC47" s="135"/>
      <c r="AD47" s="302"/>
      <c r="AE47" s="302"/>
      <c r="AF47" s="302"/>
      <c r="AG47" s="302"/>
      <c r="AH47" s="302"/>
      <c r="AI47" s="302"/>
      <c r="AJ47" s="137"/>
      <c r="AK47" s="135"/>
      <c r="AL47" s="302"/>
      <c r="AM47" s="302"/>
      <c r="AN47" s="302"/>
      <c r="AO47" s="302"/>
      <c r="AP47" s="302"/>
      <c r="AQ47" s="302"/>
      <c r="AR47" s="137"/>
      <c r="AS47" s="135"/>
      <c r="AT47" s="302"/>
      <c r="AU47" s="302"/>
      <c r="AV47" s="302"/>
      <c r="AW47" s="302"/>
      <c r="AX47" s="302"/>
      <c r="AY47" s="302"/>
      <c r="AZ47" s="137"/>
      <c r="BA47" s="37">
        <f t="shared" si="20"/>
        <v>0</v>
      </c>
      <c r="BB47" s="9">
        <f t="shared" si="16"/>
        <v>480</v>
      </c>
      <c r="BC47" s="10">
        <f t="shared" si="17"/>
        <v>83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458</v>
      </c>
      <c r="E48" s="61" t="s">
        <v>124</v>
      </c>
      <c r="F48" s="62" t="str">
        <f t="shared" si="21"/>
        <v>a</v>
      </c>
      <c r="G48" s="62" t="str">
        <f t="shared" si="21"/>
        <v>a</v>
      </c>
      <c r="H48" s="62" t="str">
        <f t="shared" si="21"/>
        <v>a</v>
      </c>
      <c r="I48" s="62" t="str">
        <f t="shared" si="21"/>
        <v>a</v>
      </c>
      <c r="J48" s="62" t="str">
        <f t="shared" si="21"/>
        <v>a</v>
      </c>
      <c r="K48" s="62" t="str">
        <f t="shared" si="21"/>
        <v>a</v>
      </c>
      <c r="L48" s="63" t="str">
        <f t="shared" si="21"/>
        <v>a</v>
      </c>
      <c r="M48" s="61" t="s">
        <v>124</v>
      </c>
      <c r="N48" s="62" t="str">
        <f t="shared" si="1"/>
        <v>a</v>
      </c>
      <c r="O48" s="62" t="str">
        <f t="shared" si="2"/>
        <v>a</v>
      </c>
      <c r="P48" s="62" t="str">
        <f t="shared" si="3"/>
        <v>a</v>
      </c>
      <c r="Q48" s="62" t="str">
        <f t="shared" si="4"/>
        <v>a</v>
      </c>
      <c r="R48" s="62" t="str">
        <f t="shared" si="5"/>
        <v>a</v>
      </c>
      <c r="S48" s="62" t="str">
        <f t="shared" si="6"/>
        <v>a</v>
      </c>
      <c r="T48" s="63" t="str">
        <f t="shared" si="7"/>
        <v>a</v>
      </c>
      <c r="U48" s="61" t="s">
        <v>124</v>
      </c>
      <c r="V48" s="62" t="str">
        <f t="shared" si="8"/>
        <v>a</v>
      </c>
      <c r="W48" s="62" t="str">
        <f t="shared" si="9"/>
        <v>a</v>
      </c>
      <c r="X48" s="62" t="str">
        <f t="shared" si="10"/>
        <v>a</v>
      </c>
      <c r="Y48" s="62" t="str">
        <f t="shared" si="11"/>
        <v>a</v>
      </c>
      <c r="Z48" s="62" t="str">
        <f t="shared" si="12"/>
        <v>a</v>
      </c>
      <c r="AA48" s="62" t="str">
        <f t="shared" si="13"/>
        <v>a</v>
      </c>
      <c r="AB48" s="63" t="str">
        <f t="shared" si="14"/>
        <v>a</v>
      </c>
      <c r="AC48" s="135"/>
      <c r="AD48" s="302"/>
      <c r="AE48" s="302"/>
      <c r="AF48" s="302"/>
      <c r="AG48" s="302"/>
      <c r="AH48" s="302"/>
      <c r="AI48" s="302"/>
      <c r="AJ48" s="137"/>
      <c r="AK48" s="135"/>
      <c r="AL48" s="302"/>
      <c r="AM48" s="302"/>
      <c r="AN48" s="302"/>
      <c r="AO48" s="302"/>
      <c r="AP48" s="302"/>
      <c r="AQ48" s="302"/>
      <c r="AR48" s="137"/>
      <c r="AS48" s="135"/>
      <c r="AT48" s="302"/>
      <c r="AU48" s="302"/>
      <c r="AV48" s="302"/>
      <c r="AW48" s="302"/>
      <c r="AX48" s="302"/>
      <c r="AY48" s="302"/>
      <c r="AZ48" s="137"/>
      <c r="BA48" s="37">
        <f t="shared" si="20"/>
        <v>0</v>
      </c>
      <c r="BB48" s="9">
        <f t="shared" si="16"/>
        <v>458</v>
      </c>
      <c r="BC48" s="10">
        <f t="shared" si="17"/>
        <v>79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534</v>
      </c>
      <c r="E49" s="61" t="s">
        <v>124</v>
      </c>
      <c r="F49" s="62" t="str">
        <f t="shared" si="21"/>
        <v>a</v>
      </c>
      <c r="G49" s="62" t="str">
        <f t="shared" si="21"/>
        <v>a</v>
      </c>
      <c r="H49" s="62" t="str">
        <f t="shared" si="21"/>
        <v>a</v>
      </c>
      <c r="I49" s="62" t="str">
        <f t="shared" si="21"/>
        <v>a</v>
      </c>
      <c r="J49" s="62" t="str">
        <f t="shared" si="21"/>
        <v>a</v>
      </c>
      <c r="K49" s="62" t="str">
        <f t="shared" si="21"/>
        <v>a</v>
      </c>
      <c r="L49" s="63" t="str">
        <f t="shared" si="21"/>
        <v>a</v>
      </c>
      <c r="M49" s="61" t="s">
        <v>124</v>
      </c>
      <c r="N49" s="62" t="str">
        <f t="shared" si="1"/>
        <v>a</v>
      </c>
      <c r="O49" s="62" t="str">
        <f t="shared" si="2"/>
        <v>a</v>
      </c>
      <c r="P49" s="62" t="str">
        <f t="shared" si="3"/>
        <v>a</v>
      </c>
      <c r="Q49" s="62" t="str">
        <f t="shared" si="4"/>
        <v>a</v>
      </c>
      <c r="R49" s="62" t="str">
        <f t="shared" si="5"/>
        <v>a</v>
      </c>
      <c r="S49" s="62" t="str">
        <f t="shared" si="6"/>
        <v>a</v>
      </c>
      <c r="T49" s="63" t="str">
        <f t="shared" si="7"/>
        <v>a</v>
      </c>
      <c r="U49" s="61" t="s">
        <v>124</v>
      </c>
      <c r="V49" s="62" t="str">
        <f t="shared" si="8"/>
        <v>a</v>
      </c>
      <c r="W49" s="62" t="str">
        <f t="shared" si="9"/>
        <v>a</v>
      </c>
      <c r="X49" s="62" t="str">
        <f t="shared" si="10"/>
        <v>a</v>
      </c>
      <c r="Y49" s="62" t="str">
        <f t="shared" si="11"/>
        <v>a</v>
      </c>
      <c r="Z49" s="62" t="str">
        <f t="shared" si="12"/>
        <v>a</v>
      </c>
      <c r="AA49" s="62" t="str">
        <f t="shared" si="13"/>
        <v>a</v>
      </c>
      <c r="AB49" s="63" t="str">
        <f t="shared" si="14"/>
        <v>a</v>
      </c>
      <c r="AC49" s="135"/>
      <c r="AD49" s="302"/>
      <c r="AE49" s="302"/>
      <c r="AF49" s="302"/>
      <c r="AG49" s="302"/>
      <c r="AH49" s="302"/>
      <c r="AI49" s="302"/>
      <c r="AJ49" s="137"/>
      <c r="AK49" s="135"/>
      <c r="AL49" s="302"/>
      <c r="AM49" s="302"/>
      <c r="AN49" s="302"/>
      <c r="AO49" s="302"/>
      <c r="AP49" s="302"/>
      <c r="AQ49" s="302"/>
      <c r="AR49" s="137"/>
      <c r="AS49" s="135"/>
      <c r="AT49" s="302"/>
      <c r="AU49" s="302"/>
      <c r="AV49" s="302"/>
      <c r="AW49" s="302"/>
      <c r="AX49" s="302"/>
      <c r="AY49" s="302"/>
      <c r="AZ49" s="137"/>
      <c r="BA49" s="37">
        <f t="shared" si="20"/>
        <v>0</v>
      </c>
      <c r="BB49" s="9">
        <f t="shared" si="16"/>
        <v>534</v>
      </c>
      <c r="BC49" s="10">
        <f t="shared" si="17"/>
        <v>92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519</v>
      </c>
      <c r="E50" s="61" t="s">
        <v>124</v>
      </c>
      <c r="F50" s="62" t="str">
        <f t="shared" si="21"/>
        <v>a</v>
      </c>
      <c r="G50" s="62" t="str">
        <f t="shared" si="21"/>
        <v>a</v>
      </c>
      <c r="H50" s="62" t="str">
        <f t="shared" si="21"/>
        <v>a</v>
      </c>
      <c r="I50" s="62" t="str">
        <f t="shared" si="21"/>
        <v>a</v>
      </c>
      <c r="J50" s="62" t="str">
        <f t="shared" si="21"/>
        <v>a</v>
      </c>
      <c r="K50" s="62" t="str">
        <f t="shared" si="21"/>
        <v>a</v>
      </c>
      <c r="L50" s="63" t="str">
        <f t="shared" si="21"/>
        <v>a</v>
      </c>
      <c r="M50" s="61" t="s">
        <v>124</v>
      </c>
      <c r="N50" s="62" t="str">
        <f t="shared" si="1"/>
        <v>a</v>
      </c>
      <c r="O50" s="62" t="str">
        <f t="shared" si="2"/>
        <v>a</v>
      </c>
      <c r="P50" s="62" t="str">
        <f t="shared" si="3"/>
        <v>a</v>
      </c>
      <c r="Q50" s="62" t="str">
        <f t="shared" si="4"/>
        <v>a</v>
      </c>
      <c r="R50" s="62" t="str">
        <f t="shared" si="5"/>
        <v>a</v>
      </c>
      <c r="S50" s="62" t="str">
        <f t="shared" si="6"/>
        <v>a</v>
      </c>
      <c r="T50" s="63" t="str">
        <f t="shared" si="7"/>
        <v>a</v>
      </c>
      <c r="U50" s="61" t="s">
        <v>124</v>
      </c>
      <c r="V50" s="62" t="str">
        <f t="shared" si="8"/>
        <v>a</v>
      </c>
      <c r="W50" s="62" t="str">
        <f t="shared" si="9"/>
        <v>a</v>
      </c>
      <c r="X50" s="62" t="str">
        <f t="shared" si="10"/>
        <v>a</v>
      </c>
      <c r="Y50" s="62" t="str">
        <f t="shared" si="11"/>
        <v>a</v>
      </c>
      <c r="Z50" s="62" t="str">
        <f t="shared" si="12"/>
        <v>a</v>
      </c>
      <c r="AA50" s="62" t="str">
        <f t="shared" si="13"/>
        <v>a</v>
      </c>
      <c r="AB50" s="63" t="str">
        <f t="shared" si="14"/>
        <v>a</v>
      </c>
      <c r="AC50" s="135"/>
      <c r="AD50" s="302"/>
      <c r="AE50" s="302"/>
      <c r="AF50" s="302"/>
      <c r="AG50" s="302"/>
      <c r="AH50" s="302"/>
      <c r="AI50" s="302"/>
      <c r="AJ50" s="137"/>
      <c r="AK50" s="135"/>
      <c r="AL50" s="302"/>
      <c r="AM50" s="302"/>
      <c r="AN50" s="302"/>
      <c r="AO50" s="302"/>
      <c r="AP50" s="302"/>
      <c r="AQ50" s="302"/>
      <c r="AR50" s="137"/>
      <c r="AS50" s="135"/>
      <c r="AT50" s="302"/>
      <c r="AU50" s="302"/>
      <c r="AV50" s="302"/>
      <c r="AW50" s="302"/>
      <c r="AX50" s="302"/>
      <c r="AY50" s="302"/>
      <c r="AZ50" s="137"/>
      <c r="BA50" s="37">
        <f t="shared" si="20"/>
        <v>0</v>
      </c>
      <c r="BB50" s="9">
        <f t="shared" si="16"/>
        <v>519</v>
      </c>
      <c r="BC50" s="10">
        <f t="shared" si="17"/>
        <v>89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520</v>
      </c>
      <c r="E51" s="61" t="s">
        <v>124</v>
      </c>
      <c r="F51" s="62" t="str">
        <f t="shared" si="21"/>
        <v>a</v>
      </c>
      <c r="G51" s="62" t="str">
        <f t="shared" si="21"/>
        <v>a</v>
      </c>
      <c r="H51" s="62" t="str">
        <f t="shared" si="21"/>
        <v>a</v>
      </c>
      <c r="I51" s="62" t="str">
        <f t="shared" si="21"/>
        <v>a</v>
      </c>
      <c r="J51" s="62" t="str">
        <f t="shared" si="21"/>
        <v>a</v>
      </c>
      <c r="K51" s="62" t="str">
        <f t="shared" si="21"/>
        <v>a</v>
      </c>
      <c r="L51" s="63" t="str">
        <f t="shared" si="21"/>
        <v>a</v>
      </c>
      <c r="M51" s="61" t="s">
        <v>124</v>
      </c>
      <c r="N51" s="62" t="str">
        <f t="shared" si="1"/>
        <v>a</v>
      </c>
      <c r="O51" s="62" t="str">
        <f t="shared" si="2"/>
        <v>a</v>
      </c>
      <c r="P51" s="62" t="str">
        <f t="shared" si="3"/>
        <v>a</v>
      </c>
      <c r="Q51" s="62" t="str">
        <f t="shared" si="4"/>
        <v>a</v>
      </c>
      <c r="R51" s="62" t="str">
        <f t="shared" si="5"/>
        <v>a</v>
      </c>
      <c r="S51" s="62" t="str">
        <f t="shared" si="6"/>
        <v>a</v>
      </c>
      <c r="T51" s="63" t="str">
        <f t="shared" si="7"/>
        <v>a</v>
      </c>
      <c r="U51" s="61" t="s">
        <v>124</v>
      </c>
      <c r="V51" s="62" t="str">
        <f t="shared" si="8"/>
        <v>a</v>
      </c>
      <c r="W51" s="62" t="str">
        <f t="shared" si="9"/>
        <v>a</v>
      </c>
      <c r="X51" s="62" t="str">
        <f t="shared" si="10"/>
        <v>a</v>
      </c>
      <c r="Y51" s="62" t="str">
        <f t="shared" si="11"/>
        <v>a</v>
      </c>
      <c r="Z51" s="62" t="str">
        <f t="shared" si="12"/>
        <v>a</v>
      </c>
      <c r="AA51" s="62" t="str">
        <f t="shared" si="13"/>
        <v>a</v>
      </c>
      <c r="AB51" s="63" t="str">
        <f t="shared" si="14"/>
        <v>a</v>
      </c>
      <c r="AC51" s="135"/>
      <c r="AD51" s="302"/>
      <c r="AE51" s="302"/>
      <c r="AF51" s="302"/>
      <c r="AG51" s="302"/>
      <c r="AH51" s="302"/>
      <c r="AI51" s="302"/>
      <c r="AJ51" s="137"/>
      <c r="AK51" s="135"/>
      <c r="AL51" s="302"/>
      <c r="AM51" s="302"/>
      <c r="AN51" s="302"/>
      <c r="AO51" s="302"/>
      <c r="AP51" s="302"/>
      <c r="AQ51" s="302"/>
      <c r="AR51" s="137"/>
      <c r="AS51" s="135"/>
      <c r="AT51" s="302"/>
      <c r="AU51" s="302"/>
      <c r="AV51" s="302"/>
      <c r="AW51" s="302"/>
      <c r="AX51" s="302"/>
      <c r="AY51" s="302"/>
      <c r="AZ51" s="137"/>
      <c r="BA51" s="37">
        <f t="shared" si="20"/>
        <v>0</v>
      </c>
      <c r="BB51" s="9">
        <f t="shared" si="16"/>
        <v>520</v>
      </c>
      <c r="BC51" s="10">
        <f t="shared" si="17"/>
        <v>90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507</v>
      </c>
      <c r="E52" s="61" t="s">
        <v>124</v>
      </c>
      <c r="F52" s="62" t="str">
        <f t="shared" si="21"/>
        <v>a</v>
      </c>
      <c r="G52" s="62" t="str">
        <f t="shared" si="21"/>
        <v>a</v>
      </c>
      <c r="H52" s="62" t="str">
        <f t="shared" si="21"/>
        <v>a</v>
      </c>
      <c r="I52" s="62" t="str">
        <f t="shared" si="21"/>
        <v>a</v>
      </c>
      <c r="J52" s="62" t="str">
        <f t="shared" si="21"/>
        <v>a</v>
      </c>
      <c r="K52" s="62" t="str">
        <f t="shared" si="21"/>
        <v>a</v>
      </c>
      <c r="L52" s="63" t="str">
        <f t="shared" si="21"/>
        <v>a</v>
      </c>
      <c r="M52" s="61" t="s">
        <v>124</v>
      </c>
      <c r="N52" s="62" t="str">
        <f t="shared" si="1"/>
        <v>a</v>
      </c>
      <c r="O52" s="62" t="str">
        <f t="shared" si="2"/>
        <v>a</v>
      </c>
      <c r="P52" s="62" t="str">
        <f t="shared" si="3"/>
        <v>a</v>
      </c>
      <c r="Q52" s="62" t="str">
        <f t="shared" si="4"/>
        <v>a</v>
      </c>
      <c r="R52" s="62" t="str">
        <f t="shared" si="5"/>
        <v>a</v>
      </c>
      <c r="S52" s="62" t="str">
        <f t="shared" si="6"/>
        <v>a</v>
      </c>
      <c r="T52" s="63" t="str">
        <f t="shared" si="7"/>
        <v>a</v>
      </c>
      <c r="U52" s="61" t="s">
        <v>124</v>
      </c>
      <c r="V52" s="62" t="str">
        <f t="shared" si="8"/>
        <v>a</v>
      </c>
      <c r="W52" s="62" t="str">
        <f t="shared" si="9"/>
        <v>a</v>
      </c>
      <c r="X52" s="62" t="str">
        <f t="shared" si="10"/>
        <v>a</v>
      </c>
      <c r="Y52" s="62" t="str">
        <f t="shared" si="11"/>
        <v>a</v>
      </c>
      <c r="Z52" s="62" t="str">
        <f t="shared" si="12"/>
        <v>a</v>
      </c>
      <c r="AA52" s="62" t="str">
        <f t="shared" si="13"/>
        <v>a</v>
      </c>
      <c r="AB52" s="63" t="str">
        <f t="shared" si="14"/>
        <v>a</v>
      </c>
      <c r="AC52" s="135"/>
      <c r="AD52" s="302"/>
      <c r="AE52" s="302"/>
      <c r="AF52" s="302"/>
      <c r="AG52" s="302"/>
      <c r="AH52" s="302"/>
      <c r="AI52" s="302"/>
      <c r="AJ52" s="137"/>
      <c r="AK52" s="135"/>
      <c r="AL52" s="302"/>
      <c r="AM52" s="302"/>
      <c r="AN52" s="302"/>
      <c r="AO52" s="302"/>
      <c r="AP52" s="302"/>
      <c r="AQ52" s="302"/>
      <c r="AR52" s="137"/>
      <c r="AS52" s="135"/>
      <c r="AT52" s="302"/>
      <c r="AU52" s="302"/>
      <c r="AV52" s="302"/>
      <c r="AW52" s="302"/>
      <c r="AX52" s="302"/>
      <c r="AY52" s="302"/>
      <c r="AZ52" s="137"/>
      <c r="BA52" s="37">
        <f t="shared" si="20"/>
        <v>0</v>
      </c>
      <c r="BB52" s="9">
        <f t="shared" si="16"/>
        <v>507</v>
      </c>
      <c r="BC52" s="10">
        <f t="shared" si="17"/>
        <v>87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502</v>
      </c>
      <c r="E53" s="61" t="s">
        <v>124</v>
      </c>
      <c r="F53" s="62" t="str">
        <f t="shared" si="21"/>
        <v>a</v>
      </c>
      <c r="G53" s="62" t="str">
        <f t="shared" si="21"/>
        <v>a</v>
      </c>
      <c r="H53" s="62" t="str">
        <f t="shared" si="21"/>
        <v>a</v>
      </c>
      <c r="I53" s="62" t="str">
        <f t="shared" si="21"/>
        <v>a</v>
      </c>
      <c r="J53" s="62" t="str">
        <f t="shared" si="21"/>
        <v>a</v>
      </c>
      <c r="K53" s="62" t="str">
        <f t="shared" si="21"/>
        <v>a</v>
      </c>
      <c r="L53" s="63" t="str">
        <f t="shared" si="21"/>
        <v>a</v>
      </c>
      <c r="M53" s="61" t="s">
        <v>124</v>
      </c>
      <c r="N53" s="62" t="str">
        <f t="shared" si="1"/>
        <v>a</v>
      </c>
      <c r="O53" s="62" t="str">
        <f t="shared" si="2"/>
        <v>a</v>
      </c>
      <c r="P53" s="62" t="str">
        <f t="shared" si="3"/>
        <v>a</v>
      </c>
      <c r="Q53" s="62" t="str">
        <f t="shared" si="4"/>
        <v>a</v>
      </c>
      <c r="R53" s="62" t="str">
        <f t="shared" si="5"/>
        <v>a</v>
      </c>
      <c r="S53" s="62" t="str">
        <f t="shared" si="6"/>
        <v>a</v>
      </c>
      <c r="T53" s="63" t="str">
        <f t="shared" si="7"/>
        <v>a</v>
      </c>
      <c r="U53" s="61" t="s">
        <v>124</v>
      </c>
      <c r="V53" s="62" t="str">
        <f t="shared" si="8"/>
        <v>a</v>
      </c>
      <c r="W53" s="62" t="str">
        <f t="shared" si="9"/>
        <v>a</v>
      </c>
      <c r="X53" s="62" t="str">
        <f t="shared" si="10"/>
        <v>a</v>
      </c>
      <c r="Y53" s="62" t="str">
        <f t="shared" si="11"/>
        <v>a</v>
      </c>
      <c r="Z53" s="62" t="str">
        <f t="shared" si="12"/>
        <v>a</v>
      </c>
      <c r="AA53" s="62" t="str">
        <f t="shared" si="13"/>
        <v>a</v>
      </c>
      <c r="AB53" s="63" t="str">
        <f t="shared" si="14"/>
        <v>a</v>
      </c>
      <c r="AC53" s="135"/>
      <c r="AD53" s="302"/>
      <c r="AE53" s="302"/>
      <c r="AF53" s="302"/>
      <c r="AG53" s="302"/>
      <c r="AH53" s="302"/>
      <c r="AI53" s="302"/>
      <c r="AJ53" s="137"/>
      <c r="AK53" s="135"/>
      <c r="AL53" s="302"/>
      <c r="AM53" s="302"/>
      <c r="AN53" s="302"/>
      <c r="AO53" s="302"/>
      <c r="AP53" s="302"/>
      <c r="AQ53" s="302"/>
      <c r="AR53" s="137"/>
      <c r="AS53" s="135"/>
      <c r="AT53" s="302"/>
      <c r="AU53" s="302"/>
      <c r="AV53" s="302"/>
      <c r="AW53" s="302"/>
      <c r="AX53" s="302"/>
      <c r="AY53" s="302"/>
      <c r="AZ53" s="137"/>
      <c r="BA53" s="37">
        <f t="shared" si="20"/>
        <v>0</v>
      </c>
      <c r="BB53" s="9">
        <f t="shared" si="16"/>
        <v>502</v>
      </c>
      <c r="BC53" s="10">
        <f t="shared" si="17"/>
        <v>86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488</v>
      </c>
      <c r="E54" s="61" t="s">
        <v>124</v>
      </c>
      <c r="F54" s="62" t="str">
        <f t="shared" si="21"/>
        <v>a</v>
      </c>
      <c r="G54" s="62" t="str">
        <f t="shared" si="21"/>
        <v>a</v>
      </c>
      <c r="H54" s="62" t="str">
        <f t="shared" si="21"/>
        <v>a</v>
      </c>
      <c r="I54" s="62" t="str">
        <f t="shared" si="21"/>
        <v>a</v>
      </c>
      <c r="J54" s="62" t="str">
        <f t="shared" si="21"/>
        <v>a</v>
      </c>
      <c r="K54" s="62" t="str">
        <f t="shared" si="21"/>
        <v>a</v>
      </c>
      <c r="L54" s="63" t="str">
        <f t="shared" si="21"/>
        <v>a</v>
      </c>
      <c r="M54" s="61" t="s">
        <v>124</v>
      </c>
      <c r="N54" s="62" t="str">
        <f t="shared" si="1"/>
        <v>a</v>
      </c>
      <c r="O54" s="62" t="str">
        <f t="shared" si="2"/>
        <v>a</v>
      </c>
      <c r="P54" s="62" t="str">
        <f t="shared" si="3"/>
        <v>a</v>
      </c>
      <c r="Q54" s="62" t="str">
        <f t="shared" si="4"/>
        <v>a</v>
      </c>
      <c r="R54" s="62" t="str">
        <f t="shared" si="5"/>
        <v>a</v>
      </c>
      <c r="S54" s="62" t="str">
        <f t="shared" si="6"/>
        <v>a</v>
      </c>
      <c r="T54" s="63" t="str">
        <f t="shared" si="7"/>
        <v>a</v>
      </c>
      <c r="U54" s="61" t="s">
        <v>124</v>
      </c>
      <c r="V54" s="62" t="str">
        <f t="shared" si="8"/>
        <v>a</v>
      </c>
      <c r="W54" s="62" t="str">
        <f t="shared" si="9"/>
        <v>a</v>
      </c>
      <c r="X54" s="62" t="str">
        <f t="shared" si="10"/>
        <v>a</v>
      </c>
      <c r="Y54" s="62" t="str">
        <f t="shared" si="11"/>
        <v>a</v>
      </c>
      <c r="Z54" s="62" t="str">
        <f t="shared" si="12"/>
        <v>a</v>
      </c>
      <c r="AA54" s="62" t="str">
        <f t="shared" si="13"/>
        <v>a</v>
      </c>
      <c r="AB54" s="63" t="str">
        <f t="shared" si="14"/>
        <v>a</v>
      </c>
      <c r="AC54" s="135"/>
      <c r="AD54" s="302"/>
      <c r="AE54" s="302"/>
      <c r="AF54" s="302"/>
      <c r="AG54" s="302"/>
      <c r="AH54" s="302"/>
      <c r="AI54" s="302"/>
      <c r="AJ54" s="137"/>
      <c r="AK54" s="135"/>
      <c r="AL54" s="302"/>
      <c r="AM54" s="302"/>
      <c r="AN54" s="302"/>
      <c r="AO54" s="302"/>
      <c r="AP54" s="302"/>
      <c r="AQ54" s="302"/>
      <c r="AR54" s="137"/>
      <c r="AS54" s="135"/>
      <c r="AT54" s="302"/>
      <c r="AU54" s="302"/>
      <c r="AV54" s="302"/>
      <c r="AW54" s="302"/>
      <c r="AX54" s="302"/>
      <c r="AY54" s="302"/>
      <c r="AZ54" s="137"/>
      <c r="BA54" s="37">
        <f t="shared" si="20"/>
        <v>0</v>
      </c>
      <c r="BB54" s="9">
        <f t="shared" si="16"/>
        <v>488</v>
      </c>
      <c r="BC54" s="10">
        <f t="shared" si="17"/>
        <v>84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469</v>
      </c>
      <c r="E55" s="61" t="s">
        <v>124</v>
      </c>
      <c r="F55" s="62" t="str">
        <f t="shared" si="21"/>
        <v>a</v>
      </c>
      <c r="G55" s="62" t="str">
        <f t="shared" si="21"/>
        <v>a</v>
      </c>
      <c r="H55" s="62" t="str">
        <f t="shared" si="21"/>
        <v>a</v>
      </c>
      <c r="I55" s="62" t="str">
        <f t="shared" si="21"/>
        <v>a</v>
      </c>
      <c r="J55" s="62" t="str">
        <f t="shared" si="21"/>
        <v>a</v>
      </c>
      <c r="K55" s="62" t="str">
        <f t="shared" si="21"/>
        <v>a</v>
      </c>
      <c r="L55" s="63" t="str">
        <f t="shared" si="21"/>
        <v>a</v>
      </c>
      <c r="M55" s="61" t="s">
        <v>124</v>
      </c>
      <c r="N55" s="62" t="str">
        <f t="shared" si="1"/>
        <v>a</v>
      </c>
      <c r="O55" s="62" t="str">
        <f t="shared" si="2"/>
        <v>a</v>
      </c>
      <c r="P55" s="62" t="str">
        <f t="shared" si="3"/>
        <v>a</v>
      </c>
      <c r="Q55" s="62" t="str">
        <f t="shared" si="4"/>
        <v>a</v>
      </c>
      <c r="R55" s="62" t="str">
        <f t="shared" si="5"/>
        <v>a</v>
      </c>
      <c r="S55" s="62" t="str">
        <f t="shared" si="6"/>
        <v>a</v>
      </c>
      <c r="T55" s="63" t="str">
        <f t="shared" si="7"/>
        <v>a</v>
      </c>
      <c r="U55" s="61" t="s">
        <v>124</v>
      </c>
      <c r="V55" s="62" t="str">
        <f t="shared" si="8"/>
        <v>a</v>
      </c>
      <c r="W55" s="62" t="str">
        <f t="shared" si="9"/>
        <v>a</v>
      </c>
      <c r="X55" s="62" t="str">
        <f t="shared" si="10"/>
        <v>a</v>
      </c>
      <c r="Y55" s="62" t="str">
        <f t="shared" si="11"/>
        <v>a</v>
      </c>
      <c r="Z55" s="62" t="str">
        <f t="shared" si="12"/>
        <v>a</v>
      </c>
      <c r="AA55" s="62" t="str">
        <f t="shared" si="13"/>
        <v>a</v>
      </c>
      <c r="AB55" s="63" t="str">
        <f t="shared" si="14"/>
        <v>a</v>
      </c>
      <c r="AC55" s="135"/>
      <c r="AD55" s="302"/>
      <c r="AE55" s="302"/>
      <c r="AF55" s="302"/>
      <c r="AG55" s="302"/>
      <c r="AH55" s="302"/>
      <c r="AI55" s="302"/>
      <c r="AJ55" s="137"/>
      <c r="AK55" s="135"/>
      <c r="AL55" s="302"/>
      <c r="AM55" s="302"/>
      <c r="AN55" s="302"/>
      <c r="AO55" s="302"/>
      <c r="AP55" s="302"/>
      <c r="AQ55" s="302"/>
      <c r="AR55" s="137"/>
      <c r="AS55" s="135"/>
      <c r="AT55" s="302"/>
      <c r="AU55" s="302"/>
      <c r="AV55" s="302"/>
      <c r="AW55" s="302"/>
      <c r="AX55" s="302"/>
      <c r="AY55" s="302"/>
      <c r="AZ55" s="137"/>
      <c r="BA55" s="37">
        <f t="shared" si="20"/>
        <v>0</v>
      </c>
      <c r="BB55" s="9">
        <f t="shared" si="16"/>
        <v>469</v>
      </c>
      <c r="BC55" s="10">
        <f t="shared" si="17"/>
        <v>81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518</v>
      </c>
      <c r="E56" s="61" t="s">
        <v>124</v>
      </c>
      <c r="F56" s="62" t="str">
        <f t="shared" si="21"/>
        <v>a</v>
      </c>
      <c r="G56" s="62" t="str">
        <f t="shared" si="21"/>
        <v>a</v>
      </c>
      <c r="H56" s="62" t="str">
        <f t="shared" si="21"/>
        <v>a</v>
      </c>
      <c r="I56" s="62" t="str">
        <f t="shared" si="21"/>
        <v>a</v>
      </c>
      <c r="J56" s="62" t="str">
        <f t="shared" si="21"/>
        <v>a</v>
      </c>
      <c r="K56" s="62" t="str">
        <f t="shared" si="21"/>
        <v>a</v>
      </c>
      <c r="L56" s="63" t="str">
        <f t="shared" si="21"/>
        <v>a</v>
      </c>
      <c r="M56" s="61" t="s">
        <v>124</v>
      </c>
      <c r="N56" s="62" t="str">
        <f t="shared" si="1"/>
        <v>a</v>
      </c>
      <c r="O56" s="62" t="str">
        <f t="shared" si="2"/>
        <v>a</v>
      </c>
      <c r="P56" s="62" t="str">
        <f t="shared" si="3"/>
        <v>a</v>
      </c>
      <c r="Q56" s="62" t="str">
        <f t="shared" si="4"/>
        <v>a</v>
      </c>
      <c r="R56" s="62" t="str">
        <f t="shared" si="5"/>
        <v>a</v>
      </c>
      <c r="S56" s="62" t="str">
        <f t="shared" si="6"/>
        <v>a</v>
      </c>
      <c r="T56" s="63" t="str">
        <f t="shared" si="7"/>
        <v>a</v>
      </c>
      <c r="U56" s="61" t="s">
        <v>124</v>
      </c>
      <c r="V56" s="62" t="str">
        <f t="shared" si="8"/>
        <v>a</v>
      </c>
      <c r="W56" s="62" t="str">
        <f t="shared" si="9"/>
        <v>a</v>
      </c>
      <c r="X56" s="62" t="str">
        <f t="shared" si="10"/>
        <v>a</v>
      </c>
      <c r="Y56" s="62" t="str">
        <f t="shared" si="11"/>
        <v>a</v>
      </c>
      <c r="Z56" s="62" t="str">
        <f t="shared" si="12"/>
        <v>a</v>
      </c>
      <c r="AA56" s="62" t="str">
        <f t="shared" si="13"/>
        <v>a</v>
      </c>
      <c r="AB56" s="63" t="str">
        <f t="shared" si="14"/>
        <v>a</v>
      </c>
      <c r="AC56" s="135"/>
      <c r="AD56" s="302"/>
      <c r="AE56" s="302"/>
      <c r="AF56" s="302"/>
      <c r="AG56" s="302"/>
      <c r="AH56" s="302"/>
      <c r="AI56" s="302"/>
      <c r="AJ56" s="137"/>
      <c r="AK56" s="135"/>
      <c r="AL56" s="302"/>
      <c r="AM56" s="302"/>
      <c r="AN56" s="302"/>
      <c r="AO56" s="302"/>
      <c r="AP56" s="302"/>
      <c r="AQ56" s="302"/>
      <c r="AR56" s="137"/>
      <c r="AS56" s="135"/>
      <c r="AT56" s="302"/>
      <c r="AU56" s="302"/>
      <c r="AV56" s="302"/>
      <c r="AW56" s="302"/>
      <c r="AX56" s="302"/>
      <c r="AY56" s="302"/>
      <c r="AZ56" s="137"/>
      <c r="BA56" s="37">
        <f t="shared" si="20"/>
        <v>0</v>
      </c>
      <c r="BB56" s="9">
        <f t="shared" si="16"/>
        <v>518</v>
      </c>
      <c r="BC56" s="10">
        <f t="shared" si="17"/>
        <v>89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493</v>
      </c>
      <c r="E57" s="61" t="s">
        <v>124</v>
      </c>
      <c r="F57" s="62" t="str">
        <f t="shared" si="21"/>
        <v>a</v>
      </c>
      <c r="G57" s="62" t="str">
        <f t="shared" si="21"/>
        <v>a</v>
      </c>
      <c r="H57" s="62" t="str">
        <f t="shared" si="21"/>
        <v>a</v>
      </c>
      <c r="I57" s="62" t="str">
        <f t="shared" si="21"/>
        <v>a</v>
      </c>
      <c r="J57" s="62" t="str">
        <f t="shared" si="21"/>
        <v>a</v>
      </c>
      <c r="K57" s="62" t="str">
        <f t="shared" si="21"/>
        <v>a</v>
      </c>
      <c r="L57" s="63" t="str">
        <f t="shared" si="21"/>
        <v>a</v>
      </c>
      <c r="M57" s="61" t="s">
        <v>124</v>
      </c>
      <c r="N57" s="62" t="str">
        <f t="shared" si="1"/>
        <v>a</v>
      </c>
      <c r="O57" s="62" t="str">
        <f t="shared" si="2"/>
        <v>a</v>
      </c>
      <c r="P57" s="62" t="str">
        <f t="shared" si="3"/>
        <v>a</v>
      </c>
      <c r="Q57" s="62" t="str">
        <f t="shared" si="4"/>
        <v>a</v>
      </c>
      <c r="R57" s="62" t="str">
        <f t="shared" si="5"/>
        <v>a</v>
      </c>
      <c r="S57" s="62" t="str">
        <f t="shared" si="6"/>
        <v>a</v>
      </c>
      <c r="T57" s="63" t="str">
        <f t="shared" si="7"/>
        <v>a</v>
      </c>
      <c r="U57" s="61" t="s">
        <v>124</v>
      </c>
      <c r="V57" s="62" t="str">
        <f t="shared" si="8"/>
        <v>a</v>
      </c>
      <c r="W57" s="62" t="str">
        <f t="shared" si="9"/>
        <v>a</v>
      </c>
      <c r="X57" s="62" t="str">
        <f t="shared" si="10"/>
        <v>a</v>
      </c>
      <c r="Y57" s="62" t="str">
        <f t="shared" si="11"/>
        <v>a</v>
      </c>
      <c r="Z57" s="62" t="str">
        <f t="shared" si="12"/>
        <v>a</v>
      </c>
      <c r="AA57" s="62" t="str">
        <f t="shared" si="13"/>
        <v>a</v>
      </c>
      <c r="AB57" s="63" t="str">
        <f t="shared" si="14"/>
        <v>a</v>
      </c>
      <c r="AC57" s="135"/>
      <c r="AD57" s="302"/>
      <c r="AE57" s="302"/>
      <c r="AF57" s="302"/>
      <c r="AG57" s="302"/>
      <c r="AH57" s="302"/>
      <c r="AI57" s="302"/>
      <c r="AJ57" s="137"/>
      <c r="AK57" s="135"/>
      <c r="AL57" s="302"/>
      <c r="AM57" s="302"/>
      <c r="AN57" s="302"/>
      <c r="AO57" s="302"/>
      <c r="AP57" s="302"/>
      <c r="AQ57" s="302"/>
      <c r="AR57" s="137"/>
      <c r="AS57" s="135"/>
      <c r="AT57" s="302"/>
      <c r="AU57" s="302"/>
      <c r="AV57" s="302"/>
      <c r="AW57" s="302"/>
      <c r="AX57" s="302"/>
      <c r="AY57" s="302"/>
      <c r="AZ57" s="137"/>
      <c r="BA57" s="37">
        <f t="shared" si="20"/>
        <v>0</v>
      </c>
      <c r="BB57" s="9">
        <f t="shared" si="16"/>
        <v>493</v>
      </c>
      <c r="BC57" s="10">
        <f t="shared" si="17"/>
        <v>85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541</v>
      </c>
      <c r="E58" s="61">
        <v>1</v>
      </c>
      <c r="F58" s="62">
        <f t="shared" si="21"/>
        <v>1</v>
      </c>
      <c r="G58" s="62">
        <f t="shared" si="21"/>
        <v>1</v>
      </c>
      <c r="H58" s="62">
        <f t="shared" si="21"/>
        <v>1</v>
      </c>
      <c r="I58" s="62">
        <f t="shared" si="21"/>
        <v>1</v>
      </c>
      <c r="J58" s="62">
        <f t="shared" si="21"/>
        <v>1</v>
      </c>
      <c r="K58" s="62">
        <f t="shared" si="21"/>
        <v>1</v>
      </c>
      <c r="L58" s="63">
        <f t="shared" si="21"/>
        <v>1</v>
      </c>
      <c r="M58" s="61">
        <v>1</v>
      </c>
      <c r="N58" s="62">
        <f t="shared" si="1"/>
        <v>1</v>
      </c>
      <c r="O58" s="62">
        <f t="shared" si="2"/>
        <v>1</v>
      </c>
      <c r="P58" s="62">
        <f t="shared" si="3"/>
        <v>1</v>
      </c>
      <c r="Q58" s="62">
        <f t="shared" si="4"/>
        <v>1</v>
      </c>
      <c r="R58" s="62">
        <f t="shared" si="5"/>
        <v>1</v>
      </c>
      <c r="S58" s="62">
        <f t="shared" si="6"/>
        <v>1</v>
      </c>
      <c r="T58" s="63">
        <f t="shared" si="7"/>
        <v>1</v>
      </c>
      <c r="U58" s="61" t="s">
        <v>124</v>
      </c>
      <c r="V58" s="62" t="str">
        <f t="shared" si="8"/>
        <v>a</v>
      </c>
      <c r="W58" s="62" t="str">
        <f t="shared" si="9"/>
        <v>a</v>
      </c>
      <c r="X58" s="62" t="str">
        <f t="shared" si="10"/>
        <v>a</v>
      </c>
      <c r="Y58" s="62" t="str">
        <f t="shared" si="11"/>
        <v>a</v>
      </c>
      <c r="Z58" s="62" t="str">
        <f t="shared" si="12"/>
        <v>a</v>
      </c>
      <c r="AA58" s="62" t="str">
        <f t="shared" si="13"/>
        <v>a</v>
      </c>
      <c r="AB58" s="63" t="str">
        <f t="shared" si="14"/>
        <v>a</v>
      </c>
      <c r="AC58" s="135"/>
      <c r="AD58" s="302"/>
      <c r="AE58" s="302"/>
      <c r="AF58" s="302"/>
      <c r="AG58" s="302"/>
      <c r="AH58" s="302"/>
      <c r="AI58" s="302"/>
      <c r="AJ58" s="137"/>
      <c r="AK58" s="135"/>
      <c r="AL58" s="302"/>
      <c r="AM58" s="302"/>
      <c r="AN58" s="302"/>
      <c r="AO58" s="302"/>
      <c r="AP58" s="302"/>
      <c r="AQ58" s="302"/>
      <c r="AR58" s="137"/>
      <c r="AS58" s="135"/>
      <c r="AT58" s="302"/>
      <c r="AU58" s="302"/>
      <c r="AV58" s="302"/>
      <c r="AW58" s="302"/>
      <c r="AX58" s="302"/>
      <c r="AY58" s="302"/>
      <c r="AZ58" s="137"/>
      <c r="BA58" s="37">
        <f t="shared" si="20"/>
        <v>16</v>
      </c>
      <c r="BB58" s="9">
        <f t="shared" si="16"/>
        <v>557</v>
      </c>
      <c r="BC58" s="10">
        <f t="shared" si="17"/>
        <v>96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533</v>
      </c>
      <c r="E59" s="61" t="s">
        <v>124</v>
      </c>
      <c r="F59" s="62" t="str">
        <f t="shared" si="21"/>
        <v>a</v>
      </c>
      <c r="G59" s="62" t="str">
        <f t="shared" si="21"/>
        <v>a</v>
      </c>
      <c r="H59" s="62" t="str">
        <f t="shared" si="21"/>
        <v>a</v>
      </c>
      <c r="I59" s="62" t="str">
        <f t="shared" si="21"/>
        <v>a</v>
      </c>
      <c r="J59" s="62" t="str">
        <f t="shared" si="21"/>
        <v>a</v>
      </c>
      <c r="K59" s="62" t="str">
        <f t="shared" si="21"/>
        <v>a</v>
      </c>
      <c r="L59" s="63" t="str">
        <f t="shared" si="21"/>
        <v>a</v>
      </c>
      <c r="M59" s="61" t="s">
        <v>124</v>
      </c>
      <c r="N59" s="62" t="str">
        <f t="shared" si="1"/>
        <v>a</v>
      </c>
      <c r="O59" s="62" t="str">
        <f t="shared" si="2"/>
        <v>a</v>
      </c>
      <c r="P59" s="62" t="str">
        <f t="shared" si="3"/>
        <v>a</v>
      </c>
      <c r="Q59" s="62" t="str">
        <f t="shared" si="4"/>
        <v>a</v>
      </c>
      <c r="R59" s="62" t="str">
        <f t="shared" si="5"/>
        <v>a</v>
      </c>
      <c r="S59" s="62" t="str">
        <f t="shared" si="6"/>
        <v>a</v>
      </c>
      <c r="T59" s="63" t="str">
        <f t="shared" si="7"/>
        <v>a</v>
      </c>
      <c r="U59" s="61" t="s">
        <v>124</v>
      </c>
      <c r="V59" s="62" t="str">
        <f t="shared" si="8"/>
        <v>a</v>
      </c>
      <c r="W59" s="62" t="str">
        <f t="shared" si="9"/>
        <v>a</v>
      </c>
      <c r="X59" s="62" t="str">
        <f t="shared" si="10"/>
        <v>a</v>
      </c>
      <c r="Y59" s="62" t="str">
        <f t="shared" si="11"/>
        <v>a</v>
      </c>
      <c r="Z59" s="62" t="str">
        <f t="shared" si="12"/>
        <v>a</v>
      </c>
      <c r="AA59" s="62" t="str">
        <f t="shared" si="13"/>
        <v>a</v>
      </c>
      <c r="AB59" s="63" t="str">
        <f t="shared" si="14"/>
        <v>a</v>
      </c>
      <c r="AC59" s="135"/>
      <c r="AD59" s="302"/>
      <c r="AE59" s="302"/>
      <c r="AF59" s="302"/>
      <c r="AG59" s="302"/>
      <c r="AH59" s="302"/>
      <c r="AI59" s="302"/>
      <c r="AJ59" s="137"/>
      <c r="AK59" s="135"/>
      <c r="AL59" s="302"/>
      <c r="AM59" s="302"/>
      <c r="AN59" s="302"/>
      <c r="AO59" s="302"/>
      <c r="AP59" s="302"/>
      <c r="AQ59" s="302"/>
      <c r="AR59" s="137"/>
      <c r="AS59" s="135"/>
      <c r="AT59" s="302"/>
      <c r="AU59" s="302"/>
      <c r="AV59" s="302"/>
      <c r="AW59" s="302"/>
      <c r="AX59" s="302"/>
      <c r="AY59" s="302"/>
      <c r="AZ59" s="137"/>
      <c r="BA59" s="37">
        <f t="shared" si="20"/>
        <v>0</v>
      </c>
      <c r="BB59" s="9">
        <f t="shared" si="16"/>
        <v>533</v>
      </c>
      <c r="BC59" s="10">
        <f t="shared" si="17"/>
        <v>92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438</v>
      </c>
      <c r="E60" s="61" t="s">
        <v>124</v>
      </c>
      <c r="F60" s="62" t="str">
        <f t="shared" ref="F60:L73" si="22">E60</f>
        <v>a</v>
      </c>
      <c r="G60" s="62" t="str">
        <f t="shared" si="22"/>
        <v>a</v>
      </c>
      <c r="H60" s="62" t="str">
        <f t="shared" si="22"/>
        <v>a</v>
      </c>
      <c r="I60" s="62" t="str">
        <f t="shared" si="22"/>
        <v>a</v>
      </c>
      <c r="J60" s="62" t="str">
        <f t="shared" si="22"/>
        <v>a</v>
      </c>
      <c r="K60" s="62" t="str">
        <f t="shared" si="22"/>
        <v>a</v>
      </c>
      <c r="L60" s="63" t="str">
        <f t="shared" si="22"/>
        <v>a</v>
      </c>
      <c r="M60" s="61" t="s">
        <v>124</v>
      </c>
      <c r="N60" s="62" t="str">
        <f t="shared" si="1"/>
        <v>a</v>
      </c>
      <c r="O60" s="62" t="str">
        <f t="shared" si="2"/>
        <v>a</v>
      </c>
      <c r="P60" s="62" t="str">
        <f t="shared" si="3"/>
        <v>a</v>
      </c>
      <c r="Q60" s="62" t="str">
        <f t="shared" si="4"/>
        <v>a</v>
      </c>
      <c r="R60" s="62" t="str">
        <f t="shared" si="5"/>
        <v>a</v>
      </c>
      <c r="S60" s="62" t="str">
        <f t="shared" si="6"/>
        <v>a</v>
      </c>
      <c r="T60" s="63" t="str">
        <f t="shared" si="7"/>
        <v>a</v>
      </c>
      <c r="U60" s="61" t="s">
        <v>124</v>
      </c>
      <c r="V60" s="62" t="str">
        <f t="shared" si="8"/>
        <v>a</v>
      </c>
      <c r="W60" s="62" t="str">
        <f t="shared" si="9"/>
        <v>a</v>
      </c>
      <c r="X60" s="62" t="str">
        <f t="shared" si="10"/>
        <v>a</v>
      </c>
      <c r="Y60" s="62" t="str">
        <f t="shared" si="11"/>
        <v>a</v>
      </c>
      <c r="Z60" s="62" t="str">
        <f t="shared" si="12"/>
        <v>a</v>
      </c>
      <c r="AA60" s="62" t="str">
        <f t="shared" si="13"/>
        <v>a</v>
      </c>
      <c r="AB60" s="63" t="str">
        <f t="shared" si="14"/>
        <v>a</v>
      </c>
      <c r="AC60" s="135"/>
      <c r="AD60" s="302"/>
      <c r="AE60" s="302"/>
      <c r="AF60" s="302"/>
      <c r="AG60" s="302"/>
      <c r="AH60" s="302"/>
      <c r="AI60" s="302"/>
      <c r="AJ60" s="137"/>
      <c r="AK60" s="135"/>
      <c r="AL60" s="302"/>
      <c r="AM60" s="302"/>
      <c r="AN60" s="302"/>
      <c r="AO60" s="302"/>
      <c r="AP60" s="302"/>
      <c r="AQ60" s="302"/>
      <c r="AR60" s="137"/>
      <c r="AS60" s="135"/>
      <c r="AT60" s="302"/>
      <c r="AU60" s="302"/>
      <c r="AV60" s="302"/>
      <c r="AW60" s="302"/>
      <c r="AX60" s="302"/>
      <c r="AY60" s="302"/>
      <c r="AZ60" s="137"/>
      <c r="BA60" s="37">
        <f t="shared" si="20"/>
        <v>0</v>
      </c>
      <c r="BB60" s="9">
        <f t="shared" si="16"/>
        <v>438</v>
      </c>
      <c r="BC60" s="10">
        <f t="shared" si="17"/>
        <v>75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518</v>
      </c>
      <c r="E61" s="61" t="s">
        <v>124</v>
      </c>
      <c r="F61" s="62" t="str">
        <f t="shared" si="22"/>
        <v>a</v>
      </c>
      <c r="G61" s="62" t="str">
        <f t="shared" si="22"/>
        <v>a</v>
      </c>
      <c r="H61" s="62" t="str">
        <f t="shared" si="22"/>
        <v>a</v>
      </c>
      <c r="I61" s="62" t="str">
        <f t="shared" si="22"/>
        <v>a</v>
      </c>
      <c r="J61" s="62" t="str">
        <f t="shared" si="22"/>
        <v>a</v>
      </c>
      <c r="K61" s="62" t="str">
        <f t="shared" si="22"/>
        <v>a</v>
      </c>
      <c r="L61" s="63" t="str">
        <f t="shared" si="22"/>
        <v>a</v>
      </c>
      <c r="M61" s="61">
        <v>1</v>
      </c>
      <c r="N61" s="62">
        <f t="shared" si="1"/>
        <v>1</v>
      </c>
      <c r="O61" s="62">
        <f t="shared" si="2"/>
        <v>1</v>
      </c>
      <c r="P61" s="62">
        <f t="shared" si="3"/>
        <v>1</v>
      </c>
      <c r="Q61" s="62">
        <f t="shared" si="4"/>
        <v>1</v>
      </c>
      <c r="R61" s="62">
        <f t="shared" si="5"/>
        <v>1</v>
      </c>
      <c r="S61" s="62">
        <f t="shared" si="6"/>
        <v>1</v>
      </c>
      <c r="T61" s="63">
        <f t="shared" si="7"/>
        <v>1</v>
      </c>
      <c r="U61" s="61" t="s">
        <v>124</v>
      </c>
      <c r="V61" s="62" t="str">
        <f t="shared" si="8"/>
        <v>a</v>
      </c>
      <c r="W61" s="62" t="str">
        <f t="shared" si="9"/>
        <v>a</v>
      </c>
      <c r="X61" s="62" t="str">
        <f t="shared" si="10"/>
        <v>a</v>
      </c>
      <c r="Y61" s="62" t="str">
        <f t="shared" si="11"/>
        <v>a</v>
      </c>
      <c r="Z61" s="62" t="str">
        <f t="shared" si="12"/>
        <v>a</v>
      </c>
      <c r="AA61" s="62" t="str">
        <f t="shared" si="13"/>
        <v>a</v>
      </c>
      <c r="AB61" s="63" t="str">
        <f t="shared" si="14"/>
        <v>a</v>
      </c>
      <c r="AC61" s="135"/>
      <c r="AD61" s="302"/>
      <c r="AE61" s="302"/>
      <c r="AF61" s="302"/>
      <c r="AG61" s="302"/>
      <c r="AH61" s="302"/>
      <c r="AI61" s="302"/>
      <c r="AJ61" s="137"/>
      <c r="AK61" s="135"/>
      <c r="AL61" s="302"/>
      <c r="AM61" s="302"/>
      <c r="AN61" s="302"/>
      <c r="AO61" s="302"/>
      <c r="AP61" s="302"/>
      <c r="AQ61" s="302"/>
      <c r="AR61" s="137"/>
      <c r="AS61" s="135"/>
      <c r="AT61" s="302"/>
      <c r="AU61" s="302"/>
      <c r="AV61" s="302"/>
      <c r="AW61" s="302"/>
      <c r="AX61" s="302"/>
      <c r="AY61" s="302"/>
      <c r="AZ61" s="137"/>
      <c r="BA61" s="37">
        <f t="shared" si="20"/>
        <v>8</v>
      </c>
      <c r="BB61" s="9">
        <f t="shared" si="16"/>
        <v>526</v>
      </c>
      <c r="BC61" s="10">
        <f t="shared" si="17"/>
        <v>91</v>
      </c>
    </row>
    <row r="62" spans="1:55" ht="15" customHeight="1" x14ac:dyDescent="0.35">
      <c r="A62" s="31">
        <v>820323205115</v>
      </c>
      <c r="B62" s="32" t="s">
        <v>72</v>
      </c>
      <c r="C62" s="305"/>
      <c r="D62" s="46">
        <v>425</v>
      </c>
      <c r="E62" s="61">
        <v>1</v>
      </c>
      <c r="F62" s="62">
        <f t="shared" si="22"/>
        <v>1</v>
      </c>
      <c r="G62" s="62">
        <f t="shared" si="22"/>
        <v>1</v>
      </c>
      <c r="H62" s="62">
        <f t="shared" si="22"/>
        <v>1</v>
      </c>
      <c r="I62" s="62">
        <f t="shared" si="22"/>
        <v>1</v>
      </c>
      <c r="J62" s="62">
        <f t="shared" si="22"/>
        <v>1</v>
      </c>
      <c r="K62" s="62">
        <f t="shared" si="22"/>
        <v>1</v>
      </c>
      <c r="L62" s="63">
        <f t="shared" si="22"/>
        <v>1</v>
      </c>
      <c r="M62" s="61" t="s">
        <v>124</v>
      </c>
      <c r="N62" s="62" t="str">
        <f t="shared" si="1"/>
        <v>a</v>
      </c>
      <c r="O62" s="62" t="str">
        <f t="shared" si="2"/>
        <v>a</v>
      </c>
      <c r="P62" s="62" t="str">
        <f t="shared" si="3"/>
        <v>a</v>
      </c>
      <c r="Q62" s="62" t="str">
        <f t="shared" si="4"/>
        <v>a</v>
      </c>
      <c r="R62" s="62" t="str">
        <f t="shared" si="5"/>
        <v>a</v>
      </c>
      <c r="S62" s="62" t="str">
        <f t="shared" si="6"/>
        <v>a</v>
      </c>
      <c r="T62" s="63" t="str">
        <f t="shared" si="7"/>
        <v>a</v>
      </c>
      <c r="U62" s="61" t="s">
        <v>124</v>
      </c>
      <c r="V62" s="62" t="str">
        <f t="shared" si="8"/>
        <v>a</v>
      </c>
      <c r="W62" s="62" t="str">
        <f t="shared" si="9"/>
        <v>a</v>
      </c>
      <c r="X62" s="62" t="str">
        <f t="shared" si="10"/>
        <v>a</v>
      </c>
      <c r="Y62" s="62" t="str">
        <f t="shared" si="11"/>
        <v>a</v>
      </c>
      <c r="Z62" s="62" t="str">
        <f t="shared" si="12"/>
        <v>a</v>
      </c>
      <c r="AA62" s="62" t="str">
        <f t="shared" si="13"/>
        <v>a</v>
      </c>
      <c r="AB62" s="63" t="str">
        <f t="shared" si="14"/>
        <v>a</v>
      </c>
      <c r="AC62" s="135"/>
      <c r="AD62" s="302"/>
      <c r="AE62" s="302"/>
      <c r="AF62" s="302"/>
      <c r="AG62" s="302"/>
      <c r="AH62" s="302"/>
      <c r="AI62" s="302"/>
      <c r="AJ62" s="137"/>
      <c r="AK62" s="135"/>
      <c r="AL62" s="302"/>
      <c r="AM62" s="302"/>
      <c r="AN62" s="302"/>
      <c r="AO62" s="302"/>
      <c r="AP62" s="302"/>
      <c r="AQ62" s="302"/>
      <c r="AR62" s="137"/>
      <c r="AS62" s="135"/>
      <c r="AT62" s="302"/>
      <c r="AU62" s="302"/>
      <c r="AV62" s="302"/>
      <c r="AW62" s="302"/>
      <c r="AX62" s="302"/>
      <c r="AY62" s="302"/>
      <c r="AZ62" s="137"/>
      <c r="BA62" s="42">
        <f t="shared" si="20"/>
        <v>8</v>
      </c>
      <c r="BB62" s="9">
        <f t="shared" si="16"/>
        <v>433</v>
      </c>
      <c r="BC62" s="10">
        <f t="shared" si="17"/>
        <v>75</v>
      </c>
    </row>
    <row r="63" spans="1:55" ht="15" customHeight="1" x14ac:dyDescent="0.35">
      <c r="A63" s="31">
        <v>820323205116</v>
      </c>
      <c r="B63" s="32" t="s">
        <v>73</v>
      </c>
      <c r="C63" s="35"/>
      <c r="D63" s="46">
        <v>439</v>
      </c>
      <c r="E63" s="61" t="s">
        <v>124</v>
      </c>
      <c r="F63" s="62" t="str">
        <f t="shared" si="22"/>
        <v>a</v>
      </c>
      <c r="G63" s="62" t="str">
        <f t="shared" si="22"/>
        <v>a</v>
      </c>
      <c r="H63" s="62" t="str">
        <f t="shared" si="22"/>
        <v>a</v>
      </c>
      <c r="I63" s="62" t="str">
        <f t="shared" si="22"/>
        <v>a</v>
      </c>
      <c r="J63" s="62" t="str">
        <f t="shared" si="22"/>
        <v>a</v>
      </c>
      <c r="K63" s="62" t="str">
        <f t="shared" si="22"/>
        <v>a</v>
      </c>
      <c r="L63" s="63" t="str">
        <f t="shared" si="22"/>
        <v>a</v>
      </c>
      <c r="M63" s="61" t="s">
        <v>124</v>
      </c>
      <c r="N63" s="62" t="str">
        <f t="shared" si="1"/>
        <v>a</v>
      </c>
      <c r="O63" s="62" t="str">
        <f t="shared" si="2"/>
        <v>a</v>
      </c>
      <c r="P63" s="62" t="str">
        <f t="shared" si="3"/>
        <v>a</v>
      </c>
      <c r="Q63" s="62" t="str">
        <f t="shared" si="4"/>
        <v>a</v>
      </c>
      <c r="R63" s="62" t="str">
        <f t="shared" si="5"/>
        <v>a</v>
      </c>
      <c r="S63" s="62" t="str">
        <f t="shared" si="6"/>
        <v>a</v>
      </c>
      <c r="T63" s="63" t="str">
        <f t="shared" si="7"/>
        <v>a</v>
      </c>
      <c r="U63" s="61" t="s">
        <v>124</v>
      </c>
      <c r="V63" s="62" t="str">
        <f t="shared" si="8"/>
        <v>a</v>
      </c>
      <c r="W63" s="62" t="str">
        <f t="shared" si="9"/>
        <v>a</v>
      </c>
      <c r="X63" s="62" t="str">
        <f t="shared" si="10"/>
        <v>a</v>
      </c>
      <c r="Y63" s="62" t="str">
        <f t="shared" si="11"/>
        <v>a</v>
      </c>
      <c r="Z63" s="62" t="str">
        <f t="shared" si="12"/>
        <v>a</v>
      </c>
      <c r="AA63" s="62" t="str">
        <f t="shared" si="13"/>
        <v>a</v>
      </c>
      <c r="AB63" s="63" t="str">
        <f t="shared" si="14"/>
        <v>a</v>
      </c>
      <c r="AC63" s="135"/>
      <c r="AD63" s="302"/>
      <c r="AE63" s="302"/>
      <c r="AF63" s="302"/>
      <c r="AG63" s="302"/>
      <c r="AH63" s="302"/>
      <c r="AI63" s="302"/>
      <c r="AJ63" s="137"/>
      <c r="AK63" s="135"/>
      <c r="AL63" s="302"/>
      <c r="AM63" s="302"/>
      <c r="AN63" s="302"/>
      <c r="AO63" s="302"/>
      <c r="AP63" s="302"/>
      <c r="AQ63" s="302"/>
      <c r="AR63" s="137"/>
      <c r="AS63" s="135"/>
      <c r="AT63" s="302"/>
      <c r="AU63" s="302"/>
      <c r="AV63" s="302"/>
      <c r="AW63" s="302"/>
      <c r="AX63" s="302"/>
      <c r="AY63" s="302"/>
      <c r="AZ63" s="137"/>
      <c r="BA63" s="42">
        <f t="shared" si="20"/>
        <v>0</v>
      </c>
      <c r="BB63" s="9">
        <f t="shared" si="16"/>
        <v>439</v>
      </c>
      <c r="BC63" s="10">
        <f t="shared" si="17"/>
        <v>76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495</v>
      </c>
      <c r="E64" s="61" t="s">
        <v>124</v>
      </c>
      <c r="F64" s="62" t="str">
        <f t="shared" si="22"/>
        <v>a</v>
      </c>
      <c r="G64" s="62" t="str">
        <f t="shared" si="22"/>
        <v>a</v>
      </c>
      <c r="H64" s="62" t="str">
        <f t="shared" si="22"/>
        <v>a</v>
      </c>
      <c r="I64" s="62" t="str">
        <f t="shared" si="22"/>
        <v>a</v>
      </c>
      <c r="J64" s="62" t="str">
        <f t="shared" si="22"/>
        <v>a</v>
      </c>
      <c r="K64" s="62" t="str">
        <f t="shared" si="22"/>
        <v>a</v>
      </c>
      <c r="L64" s="63" t="str">
        <f t="shared" si="22"/>
        <v>a</v>
      </c>
      <c r="M64" s="61">
        <v>1</v>
      </c>
      <c r="N64" s="62">
        <f t="shared" si="1"/>
        <v>1</v>
      </c>
      <c r="O64" s="62">
        <f t="shared" si="2"/>
        <v>1</v>
      </c>
      <c r="P64" s="62">
        <f t="shared" si="3"/>
        <v>1</v>
      </c>
      <c r="Q64" s="62">
        <f t="shared" si="4"/>
        <v>1</v>
      </c>
      <c r="R64" s="62">
        <f t="shared" si="5"/>
        <v>1</v>
      </c>
      <c r="S64" s="62">
        <f t="shared" si="6"/>
        <v>1</v>
      </c>
      <c r="T64" s="63">
        <f t="shared" si="7"/>
        <v>1</v>
      </c>
      <c r="U64" s="61" t="s">
        <v>124</v>
      </c>
      <c r="V64" s="62" t="str">
        <f t="shared" si="8"/>
        <v>a</v>
      </c>
      <c r="W64" s="62" t="str">
        <f t="shared" si="9"/>
        <v>a</v>
      </c>
      <c r="X64" s="62" t="str">
        <f t="shared" si="10"/>
        <v>a</v>
      </c>
      <c r="Y64" s="62" t="str">
        <f t="shared" si="11"/>
        <v>a</v>
      </c>
      <c r="Z64" s="62" t="str">
        <f t="shared" si="12"/>
        <v>a</v>
      </c>
      <c r="AA64" s="62" t="str">
        <f t="shared" si="13"/>
        <v>a</v>
      </c>
      <c r="AB64" s="63" t="str">
        <f t="shared" si="14"/>
        <v>a</v>
      </c>
      <c r="AC64" s="135"/>
      <c r="AD64" s="302"/>
      <c r="AE64" s="302"/>
      <c r="AF64" s="302"/>
      <c r="AG64" s="302"/>
      <c r="AH64" s="302"/>
      <c r="AI64" s="302"/>
      <c r="AJ64" s="137"/>
      <c r="AK64" s="135"/>
      <c r="AL64" s="302"/>
      <c r="AM64" s="302"/>
      <c r="AN64" s="302"/>
      <c r="AO64" s="302"/>
      <c r="AP64" s="302"/>
      <c r="AQ64" s="302"/>
      <c r="AR64" s="137"/>
      <c r="AS64" s="135"/>
      <c r="AT64" s="302"/>
      <c r="AU64" s="302"/>
      <c r="AV64" s="302"/>
      <c r="AW64" s="302"/>
      <c r="AX64" s="302"/>
      <c r="AY64" s="302"/>
      <c r="AZ64" s="137"/>
      <c r="BA64" s="42">
        <f t="shared" si="20"/>
        <v>8</v>
      </c>
      <c r="BB64" s="9">
        <f t="shared" si="16"/>
        <v>503</v>
      </c>
      <c r="BC64" s="10">
        <f t="shared" si="17"/>
        <v>87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467</v>
      </c>
      <c r="E65" s="61" t="s">
        <v>124</v>
      </c>
      <c r="F65" s="62" t="str">
        <f t="shared" si="22"/>
        <v>a</v>
      </c>
      <c r="G65" s="62" t="str">
        <f t="shared" si="22"/>
        <v>a</v>
      </c>
      <c r="H65" s="62" t="str">
        <f t="shared" si="22"/>
        <v>a</v>
      </c>
      <c r="I65" s="62" t="str">
        <f t="shared" si="22"/>
        <v>a</v>
      </c>
      <c r="J65" s="62" t="str">
        <f t="shared" si="22"/>
        <v>a</v>
      </c>
      <c r="K65" s="62" t="str">
        <f t="shared" si="22"/>
        <v>a</v>
      </c>
      <c r="L65" s="63" t="str">
        <f t="shared" si="22"/>
        <v>a</v>
      </c>
      <c r="M65" s="61" t="s">
        <v>124</v>
      </c>
      <c r="N65" s="62" t="str">
        <f t="shared" si="1"/>
        <v>a</v>
      </c>
      <c r="O65" s="62" t="str">
        <f t="shared" si="2"/>
        <v>a</v>
      </c>
      <c r="P65" s="62" t="str">
        <f t="shared" si="3"/>
        <v>a</v>
      </c>
      <c r="Q65" s="62" t="str">
        <f t="shared" si="4"/>
        <v>a</v>
      </c>
      <c r="R65" s="62" t="str">
        <f t="shared" si="5"/>
        <v>a</v>
      </c>
      <c r="S65" s="62" t="str">
        <f t="shared" si="6"/>
        <v>a</v>
      </c>
      <c r="T65" s="63" t="str">
        <f t="shared" si="7"/>
        <v>a</v>
      </c>
      <c r="U65" s="61" t="s">
        <v>124</v>
      </c>
      <c r="V65" s="62" t="str">
        <f t="shared" si="8"/>
        <v>a</v>
      </c>
      <c r="W65" s="62" t="str">
        <f t="shared" si="9"/>
        <v>a</v>
      </c>
      <c r="X65" s="62" t="str">
        <f t="shared" si="10"/>
        <v>a</v>
      </c>
      <c r="Y65" s="62" t="str">
        <f t="shared" si="11"/>
        <v>a</v>
      </c>
      <c r="Z65" s="62" t="str">
        <f t="shared" si="12"/>
        <v>a</v>
      </c>
      <c r="AA65" s="62" t="str">
        <f t="shared" si="13"/>
        <v>a</v>
      </c>
      <c r="AB65" s="63" t="str">
        <f t="shared" si="14"/>
        <v>a</v>
      </c>
      <c r="AC65" s="135"/>
      <c r="AD65" s="302"/>
      <c r="AE65" s="302"/>
      <c r="AF65" s="302"/>
      <c r="AG65" s="302"/>
      <c r="AH65" s="302"/>
      <c r="AI65" s="302"/>
      <c r="AJ65" s="137"/>
      <c r="AK65" s="135"/>
      <c r="AL65" s="302"/>
      <c r="AM65" s="302"/>
      <c r="AN65" s="302"/>
      <c r="AO65" s="302"/>
      <c r="AP65" s="302"/>
      <c r="AQ65" s="302"/>
      <c r="AR65" s="137"/>
      <c r="AS65" s="135"/>
      <c r="AT65" s="302"/>
      <c r="AU65" s="302"/>
      <c r="AV65" s="302"/>
      <c r="AW65" s="302"/>
      <c r="AX65" s="302"/>
      <c r="AY65" s="302"/>
      <c r="AZ65" s="137"/>
      <c r="BA65" s="37">
        <f t="shared" si="20"/>
        <v>0</v>
      </c>
      <c r="BB65" s="9">
        <f t="shared" si="16"/>
        <v>467</v>
      </c>
      <c r="BC65" s="10">
        <f t="shared" si="17"/>
        <v>80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526</v>
      </c>
      <c r="E66" s="61" t="s">
        <v>124</v>
      </c>
      <c r="F66" s="62" t="str">
        <f t="shared" si="22"/>
        <v>a</v>
      </c>
      <c r="G66" s="62" t="str">
        <f t="shared" si="22"/>
        <v>a</v>
      </c>
      <c r="H66" s="62" t="str">
        <f t="shared" si="22"/>
        <v>a</v>
      </c>
      <c r="I66" s="62" t="str">
        <f t="shared" si="22"/>
        <v>a</v>
      </c>
      <c r="J66" s="62" t="str">
        <f t="shared" si="22"/>
        <v>a</v>
      </c>
      <c r="K66" s="62" t="str">
        <f t="shared" si="22"/>
        <v>a</v>
      </c>
      <c r="L66" s="63" t="str">
        <f t="shared" si="22"/>
        <v>a</v>
      </c>
      <c r="M66" s="61" t="s">
        <v>124</v>
      </c>
      <c r="N66" s="62" t="str">
        <f t="shared" si="1"/>
        <v>a</v>
      </c>
      <c r="O66" s="62" t="str">
        <f t="shared" si="2"/>
        <v>a</v>
      </c>
      <c r="P66" s="62" t="str">
        <f t="shared" si="3"/>
        <v>a</v>
      </c>
      <c r="Q66" s="62" t="str">
        <f t="shared" si="4"/>
        <v>a</v>
      </c>
      <c r="R66" s="62" t="str">
        <f t="shared" si="5"/>
        <v>a</v>
      </c>
      <c r="S66" s="62" t="str">
        <f t="shared" si="6"/>
        <v>a</v>
      </c>
      <c r="T66" s="63" t="str">
        <f t="shared" si="7"/>
        <v>a</v>
      </c>
      <c r="U66" s="61" t="s">
        <v>124</v>
      </c>
      <c r="V66" s="62" t="str">
        <f t="shared" si="8"/>
        <v>a</v>
      </c>
      <c r="W66" s="62" t="str">
        <f t="shared" si="9"/>
        <v>a</v>
      </c>
      <c r="X66" s="62" t="str">
        <f t="shared" si="10"/>
        <v>a</v>
      </c>
      <c r="Y66" s="62" t="str">
        <f t="shared" si="11"/>
        <v>a</v>
      </c>
      <c r="Z66" s="62" t="str">
        <f t="shared" si="12"/>
        <v>a</v>
      </c>
      <c r="AA66" s="62" t="str">
        <f t="shared" si="13"/>
        <v>a</v>
      </c>
      <c r="AB66" s="63" t="str">
        <f t="shared" si="14"/>
        <v>a</v>
      </c>
      <c r="AC66" s="135"/>
      <c r="AD66" s="302"/>
      <c r="AE66" s="302"/>
      <c r="AF66" s="302"/>
      <c r="AG66" s="302"/>
      <c r="AH66" s="302"/>
      <c r="AI66" s="302"/>
      <c r="AJ66" s="137"/>
      <c r="AK66" s="135"/>
      <c r="AL66" s="302"/>
      <c r="AM66" s="302"/>
      <c r="AN66" s="302"/>
      <c r="AO66" s="302"/>
      <c r="AP66" s="302"/>
      <c r="AQ66" s="302"/>
      <c r="AR66" s="137"/>
      <c r="AS66" s="135"/>
      <c r="AT66" s="302"/>
      <c r="AU66" s="302"/>
      <c r="AV66" s="302"/>
      <c r="AW66" s="302"/>
      <c r="AX66" s="302"/>
      <c r="AY66" s="302"/>
      <c r="AZ66" s="137"/>
      <c r="BA66" s="37">
        <f t="shared" si="20"/>
        <v>0</v>
      </c>
      <c r="BB66" s="9">
        <f t="shared" si="16"/>
        <v>526</v>
      </c>
      <c r="BC66" s="10">
        <f t="shared" si="17"/>
        <v>91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470</v>
      </c>
      <c r="E67" s="61" t="s">
        <v>124</v>
      </c>
      <c r="F67" s="62" t="str">
        <f t="shared" si="22"/>
        <v>a</v>
      </c>
      <c r="G67" s="62" t="str">
        <f t="shared" si="22"/>
        <v>a</v>
      </c>
      <c r="H67" s="62" t="str">
        <f t="shared" si="22"/>
        <v>a</v>
      </c>
      <c r="I67" s="62" t="str">
        <f t="shared" si="22"/>
        <v>a</v>
      </c>
      <c r="J67" s="62" t="str">
        <f t="shared" si="22"/>
        <v>a</v>
      </c>
      <c r="K67" s="62" t="str">
        <f t="shared" si="22"/>
        <v>a</v>
      </c>
      <c r="L67" s="63" t="str">
        <f t="shared" si="22"/>
        <v>a</v>
      </c>
      <c r="M67" s="61" t="s">
        <v>124</v>
      </c>
      <c r="N67" s="62" t="str">
        <f t="shared" si="1"/>
        <v>a</v>
      </c>
      <c r="O67" s="62" t="str">
        <f t="shared" si="2"/>
        <v>a</v>
      </c>
      <c r="P67" s="62" t="str">
        <f t="shared" si="3"/>
        <v>a</v>
      </c>
      <c r="Q67" s="62" t="str">
        <f t="shared" si="4"/>
        <v>a</v>
      </c>
      <c r="R67" s="62" t="str">
        <f t="shared" si="5"/>
        <v>a</v>
      </c>
      <c r="S67" s="62" t="str">
        <f t="shared" si="6"/>
        <v>a</v>
      </c>
      <c r="T67" s="63" t="str">
        <f t="shared" si="7"/>
        <v>a</v>
      </c>
      <c r="U67" s="61" t="s">
        <v>124</v>
      </c>
      <c r="V67" s="62" t="str">
        <f t="shared" si="8"/>
        <v>a</v>
      </c>
      <c r="W67" s="62" t="str">
        <f t="shared" si="9"/>
        <v>a</v>
      </c>
      <c r="X67" s="62" t="str">
        <f t="shared" si="10"/>
        <v>a</v>
      </c>
      <c r="Y67" s="62" t="str">
        <f t="shared" si="11"/>
        <v>a</v>
      </c>
      <c r="Z67" s="62" t="str">
        <f t="shared" si="12"/>
        <v>a</v>
      </c>
      <c r="AA67" s="62" t="str">
        <f t="shared" si="13"/>
        <v>a</v>
      </c>
      <c r="AB67" s="63" t="str">
        <f t="shared" si="14"/>
        <v>a</v>
      </c>
      <c r="AC67" s="135"/>
      <c r="AD67" s="302"/>
      <c r="AE67" s="302"/>
      <c r="AF67" s="302"/>
      <c r="AG67" s="302"/>
      <c r="AH67" s="302"/>
      <c r="AI67" s="302"/>
      <c r="AJ67" s="137"/>
      <c r="AK67" s="135"/>
      <c r="AL67" s="302"/>
      <c r="AM67" s="302"/>
      <c r="AN67" s="302"/>
      <c r="AO67" s="302"/>
      <c r="AP67" s="302"/>
      <c r="AQ67" s="302"/>
      <c r="AR67" s="137"/>
      <c r="AS67" s="135"/>
      <c r="AT67" s="302"/>
      <c r="AU67" s="302"/>
      <c r="AV67" s="302"/>
      <c r="AW67" s="302"/>
      <c r="AX67" s="302"/>
      <c r="AY67" s="302"/>
      <c r="AZ67" s="137"/>
      <c r="BA67" s="42">
        <f t="shared" si="20"/>
        <v>0</v>
      </c>
      <c r="BB67" s="9">
        <f t="shared" si="16"/>
        <v>470</v>
      </c>
      <c r="BC67" s="10">
        <f t="shared" si="17"/>
        <v>81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474</v>
      </c>
      <c r="E68" s="61">
        <v>1</v>
      </c>
      <c r="F68" s="62">
        <f t="shared" si="22"/>
        <v>1</v>
      </c>
      <c r="G68" s="62">
        <f t="shared" si="22"/>
        <v>1</v>
      </c>
      <c r="H68" s="62">
        <f t="shared" si="22"/>
        <v>1</v>
      </c>
      <c r="I68" s="62">
        <f t="shared" si="22"/>
        <v>1</v>
      </c>
      <c r="J68" s="62">
        <f t="shared" si="22"/>
        <v>1</v>
      </c>
      <c r="K68" s="62">
        <f t="shared" si="22"/>
        <v>1</v>
      </c>
      <c r="L68" s="63">
        <f t="shared" si="22"/>
        <v>1</v>
      </c>
      <c r="M68" s="61" t="s">
        <v>124</v>
      </c>
      <c r="N68" s="62" t="str">
        <f t="shared" si="1"/>
        <v>a</v>
      </c>
      <c r="O68" s="62" t="str">
        <f t="shared" si="2"/>
        <v>a</v>
      </c>
      <c r="P68" s="62" t="str">
        <f t="shared" si="3"/>
        <v>a</v>
      </c>
      <c r="Q68" s="62" t="str">
        <f t="shared" si="4"/>
        <v>a</v>
      </c>
      <c r="R68" s="62" t="str">
        <f t="shared" si="5"/>
        <v>a</v>
      </c>
      <c r="S68" s="62" t="str">
        <f t="shared" si="6"/>
        <v>a</v>
      </c>
      <c r="T68" s="63" t="str">
        <f t="shared" si="7"/>
        <v>a</v>
      </c>
      <c r="U68" s="61" t="s">
        <v>124</v>
      </c>
      <c r="V68" s="62" t="str">
        <f t="shared" si="8"/>
        <v>a</v>
      </c>
      <c r="W68" s="62" t="str">
        <f t="shared" si="9"/>
        <v>a</v>
      </c>
      <c r="X68" s="62" t="str">
        <f t="shared" si="10"/>
        <v>a</v>
      </c>
      <c r="Y68" s="62" t="str">
        <f t="shared" si="11"/>
        <v>a</v>
      </c>
      <c r="Z68" s="62" t="str">
        <f t="shared" si="12"/>
        <v>a</v>
      </c>
      <c r="AA68" s="62" t="str">
        <f t="shared" si="13"/>
        <v>a</v>
      </c>
      <c r="AB68" s="63" t="str">
        <f t="shared" si="14"/>
        <v>a</v>
      </c>
      <c r="AC68" s="135"/>
      <c r="AD68" s="302"/>
      <c r="AE68" s="302"/>
      <c r="AF68" s="302"/>
      <c r="AG68" s="302"/>
      <c r="AH68" s="302"/>
      <c r="AI68" s="302"/>
      <c r="AJ68" s="137"/>
      <c r="AK68" s="135"/>
      <c r="AL68" s="302"/>
      <c r="AM68" s="302"/>
      <c r="AN68" s="302"/>
      <c r="AO68" s="302"/>
      <c r="AP68" s="302"/>
      <c r="AQ68" s="302"/>
      <c r="AR68" s="137"/>
      <c r="AS68" s="135"/>
      <c r="AT68" s="302"/>
      <c r="AU68" s="302"/>
      <c r="AV68" s="302"/>
      <c r="AW68" s="302"/>
      <c r="AX68" s="302"/>
      <c r="AY68" s="302"/>
      <c r="AZ68" s="137"/>
      <c r="BA68" s="37">
        <f t="shared" si="20"/>
        <v>8</v>
      </c>
      <c r="BB68" s="9">
        <f t="shared" si="16"/>
        <v>482</v>
      </c>
      <c r="BC68" s="10">
        <f t="shared" si="17"/>
        <v>83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531</v>
      </c>
      <c r="E69" s="61">
        <v>1</v>
      </c>
      <c r="F69" s="62">
        <f t="shared" si="22"/>
        <v>1</v>
      </c>
      <c r="G69" s="62">
        <f t="shared" si="22"/>
        <v>1</v>
      </c>
      <c r="H69" s="62">
        <f t="shared" si="22"/>
        <v>1</v>
      </c>
      <c r="I69" s="62">
        <f t="shared" si="22"/>
        <v>1</v>
      </c>
      <c r="J69" s="62">
        <f t="shared" si="22"/>
        <v>1</v>
      </c>
      <c r="K69" s="62">
        <f t="shared" si="22"/>
        <v>1</v>
      </c>
      <c r="L69" s="63">
        <f t="shared" si="22"/>
        <v>1</v>
      </c>
      <c r="M69" s="61">
        <v>1</v>
      </c>
      <c r="N69" s="62">
        <f t="shared" si="1"/>
        <v>1</v>
      </c>
      <c r="O69" s="62">
        <f t="shared" si="2"/>
        <v>1</v>
      </c>
      <c r="P69" s="62">
        <f t="shared" si="3"/>
        <v>1</v>
      </c>
      <c r="Q69" s="62">
        <f t="shared" si="4"/>
        <v>1</v>
      </c>
      <c r="R69" s="62">
        <f t="shared" si="5"/>
        <v>1</v>
      </c>
      <c r="S69" s="62">
        <f t="shared" si="6"/>
        <v>1</v>
      </c>
      <c r="T69" s="63">
        <f t="shared" si="7"/>
        <v>1</v>
      </c>
      <c r="U69" s="61" t="s">
        <v>124</v>
      </c>
      <c r="V69" s="62" t="str">
        <f t="shared" si="8"/>
        <v>a</v>
      </c>
      <c r="W69" s="62" t="str">
        <f t="shared" si="9"/>
        <v>a</v>
      </c>
      <c r="X69" s="62" t="str">
        <f t="shared" si="10"/>
        <v>a</v>
      </c>
      <c r="Y69" s="62" t="str">
        <f t="shared" si="11"/>
        <v>a</v>
      </c>
      <c r="Z69" s="62" t="str">
        <f t="shared" si="12"/>
        <v>a</v>
      </c>
      <c r="AA69" s="62" t="str">
        <f t="shared" si="13"/>
        <v>a</v>
      </c>
      <c r="AB69" s="63" t="str">
        <f t="shared" si="14"/>
        <v>a</v>
      </c>
      <c r="AC69" s="135"/>
      <c r="AD69" s="302"/>
      <c r="AE69" s="302"/>
      <c r="AF69" s="302"/>
      <c r="AG69" s="302"/>
      <c r="AH69" s="302"/>
      <c r="AI69" s="302"/>
      <c r="AJ69" s="137"/>
      <c r="AK69" s="135"/>
      <c r="AL69" s="302"/>
      <c r="AM69" s="302"/>
      <c r="AN69" s="302"/>
      <c r="AO69" s="302"/>
      <c r="AP69" s="302"/>
      <c r="AQ69" s="302"/>
      <c r="AR69" s="137"/>
      <c r="AS69" s="135"/>
      <c r="AT69" s="302"/>
      <c r="AU69" s="302"/>
      <c r="AV69" s="302"/>
      <c r="AW69" s="302"/>
      <c r="AX69" s="302"/>
      <c r="AY69" s="302"/>
      <c r="AZ69" s="137"/>
      <c r="BA69" s="37">
        <f t="shared" si="20"/>
        <v>16</v>
      </c>
      <c r="BB69" s="9">
        <f t="shared" si="16"/>
        <v>547</v>
      </c>
      <c r="BC69" s="10">
        <f t="shared" si="17"/>
        <v>94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434</v>
      </c>
      <c r="E70" s="61">
        <v>1</v>
      </c>
      <c r="F70" s="62">
        <f t="shared" si="22"/>
        <v>1</v>
      </c>
      <c r="G70" s="62">
        <f t="shared" si="22"/>
        <v>1</v>
      </c>
      <c r="H70" s="62">
        <f t="shared" si="22"/>
        <v>1</v>
      </c>
      <c r="I70" s="62">
        <f t="shared" si="22"/>
        <v>1</v>
      </c>
      <c r="J70" s="62">
        <f t="shared" si="22"/>
        <v>1</v>
      </c>
      <c r="K70" s="62">
        <f t="shared" si="22"/>
        <v>1</v>
      </c>
      <c r="L70" s="63">
        <f t="shared" si="22"/>
        <v>1</v>
      </c>
      <c r="M70" s="61" t="s">
        <v>124</v>
      </c>
      <c r="N70" s="62" t="str">
        <f t="shared" si="1"/>
        <v>a</v>
      </c>
      <c r="O70" s="62" t="str">
        <f t="shared" si="2"/>
        <v>a</v>
      </c>
      <c r="P70" s="62" t="str">
        <f t="shared" si="3"/>
        <v>a</v>
      </c>
      <c r="Q70" s="62" t="str">
        <f t="shared" si="4"/>
        <v>a</v>
      </c>
      <c r="R70" s="62" t="str">
        <f t="shared" si="5"/>
        <v>a</v>
      </c>
      <c r="S70" s="62" t="str">
        <f t="shared" si="6"/>
        <v>a</v>
      </c>
      <c r="T70" s="63" t="str">
        <f t="shared" si="7"/>
        <v>a</v>
      </c>
      <c r="U70" s="61" t="s">
        <v>124</v>
      </c>
      <c r="V70" s="62" t="str">
        <f t="shared" si="8"/>
        <v>a</v>
      </c>
      <c r="W70" s="62" t="str">
        <f t="shared" si="9"/>
        <v>a</v>
      </c>
      <c r="X70" s="62" t="str">
        <f t="shared" si="10"/>
        <v>a</v>
      </c>
      <c r="Y70" s="62" t="str">
        <f t="shared" si="11"/>
        <v>a</v>
      </c>
      <c r="Z70" s="62" t="str">
        <f t="shared" si="12"/>
        <v>a</v>
      </c>
      <c r="AA70" s="62" t="str">
        <f t="shared" si="13"/>
        <v>a</v>
      </c>
      <c r="AB70" s="63" t="str">
        <f t="shared" si="14"/>
        <v>a</v>
      </c>
      <c r="AC70" s="135"/>
      <c r="AD70" s="302"/>
      <c r="AE70" s="302"/>
      <c r="AF70" s="302"/>
      <c r="AG70" s="302"/>
      <c r="AH70" s="302"/>
      <c r="AI70" s="302"/>
      <c r="AJ70" s="137"/>
      <c r="AK70" s="135"/>
      <c r="AL70" s="302"/>
      <c r="AM70" s="302"/>
      <c r="AN70" s="302"/>
      <c r="AO70" s="302"/>
      <c r="AP70" s="302"/>
      <c r="AQ70" s="302"/>
      <c r="AR70" s="137"/>
      <c r="AS70" s="135"/>
      <c r="AT70" s="302"/>
      <c r="AU70" s="302"/>
      <c r="AV70" s="302"/>
      <c r="AW70" s="302"/>
      <c r="AX70" s="302"/>
      <c r="AY70" s="302"/>
      <c r="AZ70" s="137"/>
      <c r="BA70" s="37">
        <f t="shared" si="20"/>
        <v>8</v>
      </c>
      <c r="BB70" s="9">
        <f t="shared" si="16"/>
        <v>442</v>
      </c>
      <c r="BC70" s="10">
        <f t="shared" si="17"/>
        <v>76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477</v>
      </c>
      <c r="E71" s="61">
        <v>1</v>
      </c>
      <c r="F71" s="62">
        <f t="shared" si="22"/>
        <v>1</v>
      </c>
      <c r="G71" s="62">
        <f t="shared" si="22"/>
        <v>1</v>
      </c>
      <c r="H71" s="62">
        <f t="shared" si="22"/>
        <v>1</v>
      </c>
      <c r="I71" s="62">
        <f t="shared" si="22"/>
        <v>1</v>
      </c>
      <c r="J71" s="62">
        <f t="shared" si="22"/>
        <v>1</v>
      </c>
      <c r="K71" s="62">
        <f t="shared" si="22"/>
        <v>1</v>
      </c>
      <c r="L71" s="63">
        <f t="shared" si="22"/>
        <v>1</v>
      </c>
      <c r="M71" s="61" t="s">
        <v>124</v>
      </c>
      <c r="N71" s="62" t="str">
        <f t="shared" si="1"/>
        <v>a</v>
      </c>
      <c r="O71" s="62" t="str">
        <f t="shared" si="2"/>
        <v>a</v>
      </c>
      <c r="P71" s="62" t="str">
        <f t="shared" si="3"/>
        <v>a</v>
      </c>
      <c r="Q71" s="62" t="str">
        <f t="shared" si="4"/>
        <v>a</v>
      </c>
      <c r="R71" s="62" t="str">
        <f t="shared" si="5"/>
        <v>a</v>
      </c>
      <c r="S71" s="62" t="str">
        <f t="shared" si="6"/>
        <v>a</v>
      </c>
      <c r="T71" s="63" t="str">
        <f t="shared" si="7"/>
        <v>a</v>
      </c>
      <c r="U71" s="61" t="s">
        <v>124</v>
      </c>
      <c r="V71" s="62" t="str">
        <f t="shared" si="8"/>
        <v>a</v>
      </c>
      <c r="W71" s="62" t="str">
        <f t="shared" si="9"/>
        <v>a</v>
      </c>
      <c r="X71" s="62" t="str">
        <f t="shared" si="10"/>
        <v>a</v>
      </c>
      <c r="Y71" s="62" t="str">
        <f t="shared" si="11"/>
        <v>a</v>
      </c>
      <c r="Z71" s="62" t="str">
        <f t="shared" si="12"/>
        <v>a</v>
      </c>
      <c r="AA71" s="62" t="str">
        <f t="shared" si="13"/>
        <v>a</v>
      </c>
      <c r="AB71" s="63" t="str">
        <f t="shared" si="14"/>
        <v>a</v>
      </c>
      <c r="AC71" s="135"/>
      <c r="AD71" s="302"/>
      <c r="AE71" s="302"/>
      <c r="AF71" s="302"/>
      <c r="AG71" s="302"/>
      <c r="AH71" s="302"/>
      <c r="AI71" s="302"/>
      <c r="AJ71" s="137"/>
      <c r="AK71" s="135"/>
      <c r="AL71" s="302"/>
      <c r="AM71" s="302"/>
      <c r="AN71" s="302"/>
      <c r="AO71" s="302"/>
      <c r="AP71" s="302"/>
      <c r="AQ71" s="302"/>
      <c r="AR71" s="137"/>
      <c r="AS71" s="135"/>
      <c r="AT71" s="302"/>
      <c r="AU71" s="302"/>
      <c r="AV71" s="302"/>
      <c r="AW71" s="302"/>
      <c r="AX71" s="302"/>
      <c r="AY71" s="302"/>
      <c r="AZ71" s="137"/>
      <c r="BA71" s="42">
        <f t="shared" si="20"/>
        <v>8</v>
      </c>
      <c r="BB71" s="9">
        <f t="shared" si="16"/>
        <v>485</v>
      </c>
      <c r="BC71" s="10">
        <f t="shared" si="17"/>
        <v>83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439</v>
      </c>
      <c r="E72" s="61">
        <v>1</v>
      </c>
      <c r="F72" s="62">
        <f t="shared" si="22"/>
        <v>1</v>
      </c>
      <c r="G72" s="62">
        <f t="shared" si="22"/>
        <v>1</v>
      </c>
      <c r="H72" s="62">
        <f t="shared" si="22"/>
        <v>1</v>
      </c>
      <c r="I72" s="62">
        <f t="shared" si="22"/>
        <v>1</v>
      </c>
      <c r="J72" s="62">
        <f t="shared" si="22"/>
        <v>1</v>
      </c>
      <c r="K72" s="62">
        <f t="shared" si="22"/>
        <v>1</v>
      </c>
      <c r="L72" s="63">
        <f t="shared" si="22"/>
        <v>1</v>
      </c>
      <c r="M72" s="61" t="s">
        <v>124</v>
      </c>
      <c r="N72" s="62" t="str">
        <f t="shared" si="1"/>
        <v>a</v>
      </c>
      <c r="O72" s="62" t="str">
        <f t="shared" si="2"/>
        <v>a</v>
      </c>
      <c r="P72" s="62" t="str">
        <f t="shared" si="3"/>
        <v>a</v>
      </c>
      <c r="Q72" s="62" t="str">
        <f t="shared" si="4"/>
        <v>a</v>
      </c>
      <c r="R72" s="62" t="str">
        <f t="shared" si="5"/>
        <v>a</v>
      </c>
      <c r="S72" s="62" t="str">
        <f t="shared" si="6"/>
        <v>a</v>
      </c>
      <c r="T72" s="63" t="str">
        <f t="shared" si="7"/>
        <v>a</v>
      </c>
      <c r="U72" s="61" t="s">
        <v>124</v>
      </c>
      <c r="V72" s="62" t="str">
        <f t="shared" si="8"/>
        <v>a</v>
      </c>
      <c r="W72" s="62" t="str">
        <f t="shared" si="9"/>
        <v>a</v>
      </c>
      <c r="X72" s="62" t="str">
        <f t="shared" si="10"/>
        <v>a</v>
      </c>
      <c r="Y72" s="62" t="str">
        <f t="shared" si="11"/>
        <v>a</v>
      </c>
      <c r="Z72" s="62" t="str">
        <f t="shared" si="12"/>
        <v>a</v>
      </c>
      <c r="AA72" s="62" t="str">
        <f t="shared" si="13"/>
        <v>a</v>
      </c>
      <c r="AB72" s="63" t="str">
        <f t="shared" si="14"/>
        <v>a</v>
      </c>
      <c r="AC72" s="135"/>
      <c r="AD72" s="302"/>
      <c r="AE72" s="302"/>
      <c r="AF72" s="302"/>
      <c r="AG72" s="302"/>
      <c r="AH72" s="302"/>
      <c r="AI72" s="302"/>
      <c r="AJ72" s="137"/>
      <c r="AK72" s="135"/>
      <c r="AL72" s="302"/>
      <c r="AM72" s="302"/>
      <c r="AN72" s="302"/>
      <c r="AO72" s="302"/>
      <c r="AP72" s="302"/>
      <c r="AQ72" s="302"/>
      <c r="AR72" s="137"/>
      <c r="AS72" s="135"/>
      <c r="AT72" s="302"/>
      <c r="AU72" s="302"/>
      <c r="AV72" s="302"/>
      <c r="AW72" s="302"/>
      <c r="AX72" s="302"/>
      <c r="AY72" s="302"/>
      <c r="AZ72" s="137"/>
      <c r="BA72" s="37">
        <f t="shared" si="20"/>
        <v>8</v>
      </c>
      <c r="BB72" s="9">
        <f t="shared" si="16"/>
        <v>447</v>
      </c>
      <c r="BC72" s="10">
        <f t="shared" si="17"/>
        <v>77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529</v>
      </c>
      <c r="E73" s="61" t="s">
        <v>124</v>
      </c>
      <c r="F73" s="62" t="str">
        <f t="shared" si="22"/>
        <v>a</v>
      </c>
      <c r="G73" s="62" t="str">
        <f t="shared" si="22"/>
        <v>a</v>
      </c>
      <c r="H73" s="62" t="str">
        <f t="shared" si="22"/>
        <v>a</v>
      </c>
      <c r="I73" s="62" t="str">
        <f t="shared" si="22"/>
        <v>a</v>
      </c>
      <c r="J73" s="62" t="str">
        <f t="shared" si="22"/>
        <v>a</v>
      </c>
      <c r="K73" s="62" t="str">
        <f t="shared" si="22"/>
        <v>a</v>
      </c>
      <c r="L73" s="63" t="str">
        <f t="shared" si="22"/>
        <v>a</v>
      </c>
      <c r="M73" s="61" t="s">
        <v>124</v>
      </c>
      <c r="N73" s="62" t="str">
        <f t="shared" si="1"/>
        <v>a</v>
      </c>
      <c r="O73" s="62" t="str">
        <f t="shared" si="2"/>
        <v>a</v>
      </c>
      <c r="P73" s="62" t="str">
        <f t="shared" si="3"/>
        <v>a</v>
      </c>
      <c r="Q73" s="62" t="str">
        <f t="shared" si="4"/>
        <v>a</v>
      </c>
      <c r="R73" s="62" t="str">
        <f t="shared" si="5"/>
        <v>a</v>
      </c>
      <c r="S73" s="62" t="str">
        <f t="shared" si="6"/>
        <v>a</v>
      </c>
      <c r="T73" s="63" t="str">
        <f t="shared" si="7"/>
        <v>a</v>
      </c>
      <c r="U73" s="61" t="s">
        <v>124</v>
      </c>
      <c r="V73" s="62" t="str">
        <f t="shared" si="8"/>
        <v>a</v>
      </c>
      <c r="W73" s="62" t="str">
        <f t="shared" si="9"/>
        <v>a</v>
      </c>
      <c r="X73" s="62" t="str">
        <f t="shared" si="10"/>
        <v>a</v>
      </c>
      <c r="Y73" s="62" t="str">
        <f t="shared" si="11"/>
        <v>a</v>
      </c>
      <c r="Z73" s="62" t="str">
        <f t="shared" si="12"/>
        <v>a</v>
      </c>
      <c r="AA73" s="62" t="str">
        <f t="shared" si="13"/>
        <v>a</v>
      </c>
      <c r="AB73" s="63" t="str">
        <f t="shared" si="14"/>
        <v>a</v>
      </c>
      <c r="AC73" s="138"/>
      <c r="AD73" s="139"/>
      <c r="AE73" s="139"/>
      <c r="AF73" s="139"/>
      <c r="AG73" s="139"/>
      <c r="AH73" s="139"/>
      <c r="AI73" s="139"/>
      <c r="AJ73" s="140"/>
      <c r="AK73" s="138"/>
      <c r="AL73" s="139"/>
      <c r="AM73" s="139"/>
      <c r="AN73" s="139"/>
      <c r="AO73" s="139"/>
      <c r="AP73" s="139"/>
      <c r="AQ73" s="139"/>
      <c r="AR73" s="140"/>
      <c r="AS73" s="138"/>
      <c r="AT73" s="139"/>
      <c r="AU73" s="139"/>
      <c r="AV73" s="139"/>
      <c r="AW73" s="139"/>
      <c r="AX73" s="139"/>
      <c r="AY73" s="139"/>
      <c r="AZ73" s="140"/>
      <c r="BA73" s="37">
        <f t="shared" si="20"/>
        <v>0</v>
      </c>
      <c r="BB73" s="9">
        <f t="shared" si="16"/>
        <v>529</v>
      </c>
      <c r="BC73" s="10">
        <f t="shared" si="17"/>
        <v>91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44</v>
      </c>
      <c r="F74" s="50">
        <f t="shared" ref="F74:AZ74" si="23">COUNTIF(F10:F73,"a")</f>
        <v>44</v>
      </c>
      <c r="G74" s="50">
        <f t="shared" si="23"/>
        <v>44</v>
      </c>
      <c r="H74" s="50">
        <f t="shared" si="23"/>
        <v>44</v>
      </c>
      <c r="I74" s="50">
        <f t="shared" si="23"/>
        <v>43</v>
      </c>
      <c r="J74" s="50">
        <f t="shared" si="23"/>
        <v>43</v>
      </c>
      <c r="K74" s="50">
        <f t="shared" si="23"/>
        <v>43</v>
      </c>
      <c r="L74" s="50">
        <f t="shared" si="23"/>
        <v>43</v>
      </c>
      <c r="M74" s="50">
        <f t="shared" si="23"/>
        <v>57</v>
      </c>
      <c r="N74" s="50">
        <f t="shared" si="23"/>
        <v>57</v>
      </c>
      <c r="O74" s="50">
        <f t="shared" si="23"/>
        <v>57</v>
      </c>
      <c r="P74" s="50">
        <f t="shared" si="23"/>
        <v>57</v>
      </c>
      <c r="Q74" s="50">
        <f t="shared" si="23"/>
        <v>57</v>
      </c>
      <c r="R74" s="50">
        <f t="shared" si="23"/>
        <v>57</v>
      </c>
      <c r="S74" s="50">
        <f t="shared" si="23"/>
        <v>57</v>
      </c>
      <c r="T74" s="50">
        <f t="shared" si="23"/>
        <v>57</v>
      </c>
      <c r="U74" s="50">
        <f t="shared" si="23"/>
        <v>64</v>
      </c>
      <c r="V74" s="50">
        <f t="shared" si="23"/>
        <v>64</v>
      </c>
      <c r="W74" s="50">
        <f t="shared" si="23"/>
        <v>64</v>
      </c>
      <c r="X74" s="50">
        <f t="shared" si="23"/>
        <v>64</v>
      </c>
      <c r="Y74" s="50">
        <f t="shared" si="23"/>
        <v>64</v>
      </c>
      <c r="Z74" s="50">
        <f t="shared" si="23"/>
        <v>64</v>
      </c>
      <c r="AA74" s="50">
        <f t="shared" si="23"/>
        <v>64</v>
      </c>
      <c r="AB74" s="50">
        <f t="shared" si="23"/>
        <v>64</v>
      </c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44" t="str">
        <f>E9</f>
        <v>VP</v>
      </c>
      <c r="F75" s="145"/>
      <c r="G75" s="145"/>
      <c r="H75" s="145"/>
      <c r="I75" s="145"/>
      <c r="J75" s="145"/>
      <c r="K75" s="145"/>
      <c r="L75" s="146"/>
      <c r="M75" s="144" t="str">
        <f t="shared" ref="F75:AZ75" si="24">M9</f>
        <v>MP</v>
      </c>
      <c r="N75" s="145"/>
      <c r="O75" s="145"/>
      <c r="P75" s="145"/>
      <c r="Q75" s="145"/>
      <c r="R75" s="145"/>
      <c r="S75" s="145"/>
      <c r="T75" s="146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50">
    <mergeCell ref="AC43:AJ73"/>
    <mergeCell ref="E8:L8"/>
    <mergeCell ref="E9:L9"/>
    <mergeCell ref="M8:T8"/>
    <mergeCell ref="E75:L75"/>
    <mergeCell ref="M75:T75"/>
    <mergeCell ref="M9:T9"/>
    <mergeCell ref="A74:D74"/>
    <mergeCell ref="A76:D76"/>
    <mergeCell ref="A79:I79"/>
    <mergeCell ref="A80:H80"/>
    <mergeCell ref="AR80:BC80"/>
    <mergeCell ref="AK10:AR42"/>
    <mergeCell ref="AK43:AR73"/>
    <mergeCell ref="AS10:AZ42"/>
    <mergeCell ref="AS43:AZ73"/>
    <mergeCell ref="AC10:AJ42"/>
    <mergeCell ref="BA8:BA9"/>
    <mergeCell ref="BB8:BB9"/>
    <mergeCell ref="U9:X9"/>
    <mergeCell ref="AO9:AR9"/>
    <mergeCell ref="AS6:AZ6"/>
    <mergeCell ref="A7:A9"/>
    <mergeCell ref="B7:B9"/>
    <mergeCell ref="C7:C8"/>
    <mergeCell ref="D7:D8"/>
    <mergeCell ref="U8:X8"/>
    <mergeCell ref="AO8:AR8"/>
    <mergeCell ref="AS5:AZ5"/>
    <mergeCell ref="BA5:BA7"/>
    <mergeCell ref="BB5:BB7"/>
    <mergeCell ref="BC5:BC9"/>
    <mergeCell ref="A6:D6"/>
    <mergeCell ref="E6:L6"/>
    <mergeCell ref="M6:T6"/>
    <mergeCell ref="U6:AB6"/>
    <mergeCell ref="AC6:AJ6"/>
    <mergeCell ref="AK6:AR6"/>
    <mergeCell ref="A5:D5"/>
    <mergeCell ref="E5:L5"/>
    <mergeCell ref="M5:T5"/>
    <mergeCell ref="U5:AB5"/>
    <mergeCell ref="AC5:AJ5"/>
    <mergeCell ref="AK5:AR5"/>
    <mergeCell ref="A1:BC1"/>
    <mergeCell ref="A2:BC2"/>
    <mergeCell ref="A3:BC3"/>
    <mergeCell ref="A4:L4"/>
    <mergeCell ref="U4:AC4"/>
    <mergeCell ref="AL4:BC4"/>
  </mergeCells>
  <conditionalFormatting sqref="BC1:BC73">
    <cfRule type="cellIs" dxfId="5" priority="1" operator="lessThan">
      <formula>75</formula>
    </cfRule>
  </conditionalFormatting>
  <conditionalFormatting sqref="BC10:BC73">
    <cfRule type="cellIs" dxfId="4" priority="3" operator="lessThan">
      <formula>75</formula>
    </cfRule>
  </conditionalFormatting>
  <conditionalFormatting sqref="BC80">
    <cfRule type="cellIs" dxfId="3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1" orientation="landscape" horizontalDpi="4294967292" verticalDpi="0" r:id="rId1"/>
  <rowBreaks count="1" manualBreakCount="1">
    <brk id="42" max="5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F908-2EFA-4C2C-9B28-0C2C61BF3644}">
  <dimension ref="A1:BC80"/>
  <sheetViews>
    <sheetView view="pageBreakPreview" topLeftCell="A43" zoomScale="85" zoomScaleNormal="70" zoomScaleSheetLayoutView="85" workbookViewId="0">
      <selection activeCell="I43" sqref="I43:L74"/>
    </sheetView>
  </sheetViews>
  <sheetFormatPr defaultRowHeight="14.5" x14ac:dyDescent="0.35"/>
  <cols>
    <col min="1" max="1" width="13.81640625" customWidth="1"/>
    <col min="2" max="2" width="21.81640625" customWidth="1"/>
    <col min="3" max="3" width="3.453125" customWidth="1"/>
    <col min="4" max="4" width="5.1796875" customWidth="1"/>
    <col min="5" max="52" width="2.81640625" customWidth="1"/>
    <col min="53" max="53" width="4.1796875" customWidth="1"/>
    <col min="54" max="54" width="4.54296875" customWidth="1"/>
    <col min="55" max="55" width="5.453125" customWidth="1"/>
  </cols>
  <sheetData>
    <row r="1" spans="1:55" ht="22.5" x14ac:dyDescent="0.35">
      <c r="A1" s="339" t="s">
        <v>0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</row>
    <row r="2" spans="1:55" s="51" customFormat="1" ht="21" x14ac:dyDescent="0.35">
      <c r="A2" s="340" t="s">
        <v>1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0"/>
      <c r="AJ2" s="340"/>
      <c r="AK2" s="340"/>
      <c r="AL2" s="340"/>
      <c r="AM2" s="340"/>
      <c r="AN2" s="340"/>
      <c r="AO2" s="340"/>
      <c r="AP2" s="340"/>
      <c r="AQ2" s="340"/>
      <c r="AR2" s="340"/>
      <c r="AS2" s="340"/>
      <c r="AT2" s="340"/>
      <c r="AU2" s="340"/>
      <c r="AV2" s="340"/>
      <c r="AW2" s="340"/>
      <c r="AX2" s="340"/>
      <c r="AY2" s="340"/>
      <c r="AZ2" s="340"/>
      <c r="BA2" s="340"/>
      <c r="BB2" s="340"/>
      <c r="BC2" s="340"/>
    </row>
    <row r="3" spans="1:55" ht="22.5" x14ac:dyDescent="0.35">
      <c r="A3" s="339" t="s">
        <v>277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</row>
    <row r="4" spans="1:55" ht="20.5" thickBot="1" x14ac:dyDescent="0.45">
      <c r="A4" s="341" t="s">
        <v>278</v>
      </c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2"/>
      <c r="N4" s="1"/>
      <c r="O4" s="1"/>
      <c r="P4" s="1"/>
      <c r="Q4" s="1"/>
      <c r="R4" s="1"/>
      <c r="S4" s="1"/>
      <c r="T4" s="1"/>
      <c r="U4" s="342" t="s">
        <v>19</v>
      </c>
      <c r="V4" s="343"/>
      <c r="W4" s="343"/>
      <c r="X4" s="343"/>
      <c r="Y4" s="343"/>
      <c r="Z4" s="343"/>
      <c r="AA4" s="343"/>
      <c r="AB4" s="343"/>
      <c r="AC4" s="343"/>
      <c r="AD4" s="2"/>
      <c r="AE4" s="2"/>
      <c r="AF4" s="1"/>
      <c r="AG4" s="1"/>
      <c r="AH4" s="1"/>
      <c r="AI4" s="1"/>
      <c r="AJ4" s="1"/>
      <c r="AK4" s="1"/>
      <c r="AL4" s="341" t="s">
        <v>127</v>
      </c>
      <c r="AM4" s="341"/>
      <c r="AN4" s="341"/>
      <c r="AO4" s="341"/>
      <c r="AP4" s="341"/>
      <c r="AQ4" s="341"/>
      <c r="AR4" s="341"/>
      <c r="AS4" s="341"/>
      <c r="AT4" s="341"/>
      <c r="AU4" s="341"/>
      <c r="AV4" s="341"/>
      <c r="AW4" s="341"/>
      <c r="AX4" s="341"/>
      <c r="AY4" s="341"/>
      <c r="AZ4" s="341"/>
      <c r="BA4" s="341"/>
      <c r="BB4" s="341"/>
      <c r="BC4" s="341"/>
    </row>
    <row r="5" spans="1:55" ht="16.399999999999999" customHeight="1" thickBot="1" x14ac:dyDescent="0.4">
      <c r="A5" s="337" t="s">
        <v>2</v>
      </c>
      <c r="B5" s="338"/>
      <c r="C5" s="338"/>
      <c r="D5" s="338"/>
      <c r="E5" s="178" t="s">
        <v>280</v>
      </c>
      <c r="F5" s="294"/>
      <c r="G5" s="294"/>
      <c r="H5" s="294"/>
      <c r="I5" s="294"/>
      <c r="J5" s="294"/>
      <c r="K5" s="294"/>
      <c r="L5" s="295"/>
      <c r="M5" s="178" t="s">
        <v>281</v>
      </c>
      <c r="N5" s="294"/>
      <c r="O5" s="294"/>
      <c r="P5" s="294"/>
      <c r="Q5" s="294"/>
      <c r="R5" s="294"/>
      <c r="S5" s="294"/>
      <c r="T5" s="295"/>
      <c r="U5" s="178" t="s">
        <v>282</v>
      </c>
      <c r="V5" s="294"/>
      <c r="W5" s="294"/>
      <c r="X5" s="294"/>
      <c r="Y5" s="294"/>
      <c r="Z5" s="294"/>
      <c r="AA5" s="294"/>
      <c r="AB5" s="295"/>
      <c r="AC5" s="178" t="s">
        <v>283</v>
      </c>
      <c r="AD5" s="294"/>
      <c r="AE5" s="294"/>
      <c r="AF5" s="294"/>
      <c r="AG5" s="294"/>
      <c r="AH5" s="294"/>
      <c r="AI5" s="294"/>
      <c r="AJ5" s="295"/>
      <c r="AK5" s="178" t="s">
        <v>284</v>
      </c>
      <c r="AL5" s="294"/>
      <c r="AM5" s="294"/>
      <c r="AN5" s="294"/>
      <c r="AO5" s="294"/>
      <c r="AP5" s="294"/>
      <c r="AQ5" s="294"/>
      <c r="AR5" s="295"/>
      <c r="AS5" s="178" t="s">
        <v>285</v>
      </c>
      <c r="AT5" s="294"/>
      <c r="AU5" s="294"/>
      <c r="AV5" s="294"/>
      <c r="AW5" s="294"/>
      <c r="AX5" s="294"/>
      <c r="AY5" s="294"/>
      <c r="AZ5" s="295"/>
      <c r="BA5" s="318">
        <v>16</v>
      </c>
      <c r="BB5" s="333">
        <f>D7+BA5</f>
        <v>597</v>
      </c>
      <c r="BC5" s="336" t="s">
        <v>4</v>
      </c>
    </row>
    <row r="6" spans="1:55" ht="15.5" thickBot="1" x14ac:dyDescent="0.4">
      <c r="A6" s="337" t="s">
        <v>5</v>
      </c>
      <c r="B6" s="338"/>
      <c r="C6" s="338"/>
      <c r="D6" s="338"/>
      <c r="E6" s="183" t="s">
        <v>6</v>
      </c>
      <c r="F6" s="184"/>
      <c r="G6" s="184"/>
      <c r="H6" s="184"/>
      <c r="I6" s="184"/>
      <c r="J6" s="184"/>
      <c r="K6" s="184"/>
      <c r="L6" s="293"/>
      <c r="M6" s="354" t="s">
        <v>7</v>
      </c>
      <c r="N6" s="353"/>
      <c r="O6" s="353"/>
      <c r="P6" s="353"/>
      <c r="Q6" s="353"/>
      <c r="R6" s="353"/>
      <c r="S6" s="353"/>
      <c r="T6" s="355"/>
      <c r="U6" s="183" t="s">
        <v>8</v>
      </c>
      <c r="V6" s="184"/>
      <c r="W6" s="184"/>
      <c r="X6" s="184"/>
      <c r="Y6" s="184"/>
      <c r="Z6" s="184"/>
      <c r="AA6" s="184"/>
      <c r="AB6" s="299"/>
      <c r="AC6" s="292" t="s">
        <v>9</v>
      </c>
      <c r="AD6" s="184"/>
      <c r="AE6" s="184"/>
      <c r="AF6" s="184"/>
      <c r="AG6" s="184"/>
      <c r="AH6" s="184"/>
      <c r="AI6" s="184"/>
      <c r="AJ6" s="299"/>
      <c r="AK6" s="292" t="s">
        <v>10</v>
      </c>
      <c r="AL6" s="184"/>
      <c r="AM6" s="184"/>
      <c r="AN6" s="184"/>
      <c r="AO6" s="184"/>
      <c r="AP6" s="184"/>
      <c r="AQ6" s="184"/>
      <c r="AR6" s="299"/>
      <c r="AS6" s="292" t="s">
        <v>11</v>
      </c>
      <c r="AT6" s="184"/>
      <c r="AU6" s="184"/>
      <c r="AV6" s="184"/>
      <c r="AW6" s="184"/>
      <c r="AX6" s="184"/>
      <c r="AY6" s="184"/>
      <c r="AZ6" s="293"/>
      <c r="BA6" s="320"/>
      <c r="BB6" s="334"/>
      <c r="BC6" s="336"/>
    </row>
    <row r="7" spans="1:55" ht="16.5" customHeight="1" thickBot="1" x14ac:dyDescent="0.4">
      <c r="A7" s="321" t="s">
        <v>12</v>
      </c>
      <c r="B7" s="324" t="s">
        <v>13</v>
      </c>
      <c r="C7" s="327"/>
      <c r="D7" s="329">
        <v>581</v>
      </c>
      <c r="E7" s="103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5">
        <v>1</v>
      </c>
      <c r="N7" s="3">
        <v>2</v>
      </c>
      <c r="O7" s="3">
        <v>3</v>
      </c>
      <c r="P7" s="3">
        <v>4</v>
      </c>
      <c r="Q7" s="4">
        <v>5</v>
      </c>
      <c r="R7" s="5">
        <v>6</v>
      </c>
      <c r="S7" s="5">
        <v>7</v>
      </c>
      <c r="T7" s="5">
        <v>8</v>
      </c>
      <c r="U7" s="44">
        <v>1</v>
      </c>
      <c r="V7" s="44">
        <v>2</v>
      </c>
      <c r="W7" s="44">
        <v>3</v>
      </c>
      <c r="X7" s="44">
        <v>4</v>
      </c>
      <c r="Y7" s="44">
        <v>5</v>
      </c>
      <c r="Z7" s="44">
        <v>6</v>
      </c>
      <c r="AA7" s="44">
        <v>7</v>
      </c>
      <c r="AB7" s="44">
        <v>8</v>
      </c>
      <c r="AC7" s="44">
        <v>1</v>
      </c>
      <c r="AD7" s="44">
        <v>2</v>
      </c>
      <c r="AE7" s="44">
        <v>3</v>
      </c>
      <c r="AF7" s="44">
        <v>4</v>
      </c>
      <c r="AG7" s="44">
        <v>5</v>
      </c>
      <c r="AH7" s="44">
        <v>6</v>
      </c>
      <c r="AI7" s="44">
        <v>7</v>
      </c>
      <c r="AJ7" s="44">
        <v>8</v>
      </c>
      <c r="AK7" s="44">
        <v>1</v>
      </c>
      <c r="AL7" s="44">
        <v>2</v>
      </c>
      <c r="AM7" s="44">
        <v>3</v>
      </c>
      <c r="AN7" s="44">
        <v>4</v>
      </c>
      <c r="AO7" s="44">
        <v>5</v>
      </c>
      <c r="AP7" s="44">
        <v>6</v>
      </c>
      <c r="AQ7" s="44">
        <v>7</v>
      </c>
      <c r="AR7" s="44">
        <v>8</v>
      </c>
      <c r="AS7" s="45">
        <v>1</v>
      </c>
      <c r="AT7" s="45">
        <v>2</v>
      </c>
      <c r="AU7" s="45">
        <v>3</v>
      </c>
      <c r="AV7" s="45">
        <v>4</v>
      </c>
      <c r="AW7" s="45">
        <v>5</v>
      </c>
      <c r="AX7" s="45">
        <v>6</v>
      </c>
      <c r="AY7" s="45">
        <v>7</v>
      </c>
      <c r="AZ7" s="119">
        <v>8</v>
      </c>
      <c r="BA7" s="319"/>
      <c r="BB7" s="335"/>
      <c r="BC7" s="336"/>
    </row>
    <row r="8" spans="1:55" ht="30" customHeight="1" thickBot="1" x14ac:dyDescent="0.4">
      <c r="A8" s="322"/>
      <c r="B8" s="325"/>
      <c r="C8" s="328"/>
      <c r="D8" s="330"/>
      <c r="E8" s="259" t="s">
        <v>101</v>
      </c>
      <c r="F8" s="257"/>
      <c r="G8" s="257"/>
      <c r="H8" s="260"/>
      <c r="I8" s="344"/>
      <c r="J8" s="345"/>
      <c r="K8" s="345"/>
      <c r="L8" s="346"/>
      <c r="M8" s="259" t="s">
        <v>91</v>
      </c>
      <c r="N8" s="257"/>
      <c r="O8" s="257"/>
      <c r="P8" s="260"/>
      <c r="Q8" s="310"/>
      <c r="R8" s="311"/>
      <c r="S8" s="311"/>
      <c r="T8" s="312"/>
      <c r="U8" s="129" t="s">
        <v>92</v>
      </c>
      <c r="V8" s="130"/>
      <c r="W8" s="130"/>
      <c r="X8" s="131"/>
      <c r="Y8" s="313"/>
      <c r="Z8" s="314"/>
      <c r="AA8" s="314"/>
      <c r="AB8" s="315"/>
      <c r="AC8" s="58"/>
      <c r="AD8" s="59"/>
      <c r="AE8" s="59"/>
      <c r="AF8" s="59"/>
      <c r="AG8" s="313"/>
      <c r="AH8" s="314"/>
      <c r="AI8" s="314"/>
      <c r="AJ8" s="315"/>
      <c r="AK8" s="58"/>
      <c r="AL8" s="59"/>
      <c r="AM8" s="59"/>
      <c r="AN8" s="59"/>
      <c r="AO8" s="331"/>
      <c r="AP8" s="332"/>
      <c r="AQ8" s="332"/>
      <c r="AR8" s="127"/>
      <c r="AS8" s="73"/>
      <c r="AT8" s="74"/>
      <c r="AU8" s="74"/>
      <c r="AV8" s="74"/>
      <c r="AW8" s="74"/>
      <c r="AX8" s="74"/>
      <c r="AY8" s="74"/>
      <c r="AZ8" s="120"/>
      <c r="BA8" s="318" t="s">
        <v>129</v>
      </c>
      <c r="BB8" s="320" t="s">
        <v>147</v>
      </c>
      <c r="BC8" s="336"/>
    </row>
    <row r="9" spans="1:55" ht="39" customHeight="1" thickBot="1" x14ac:dyDescent="0.4">
      <c r="A9" s="323"/>
      <c r="B9" s="326"/>
      <c r="C9" s="118" t="s">
        <v>14</v>
      </c>
      <c r="D9" s="117" t="s">
        <v>128</v>
      </c>
      <c r="E9" s="259" t="s">
        <v>92</v>
      </c>
      <c r="F9" s="257"/>
      <c r="G9" s="257"/>
      <c r="H9" s="260"/>
      <c r="I9" s="344"/>
      <c r="J9" s="345"/>
      <c r="K9" s="345"/>
      <c r="L9" s="346"/>
      <c r="M9" s="259" t="s">
        <v>83</v>
      </c>
      <c r="N9" s="257"/>
      <c r="O9" s="257"/>
      <c r="P9" s="260"/>
      <c r="Q9" s="310"/>
      <c r="R9" s="311"/>
      <c r="S9" s="311"/>
      <c r="T9" s="312"/>
      <c r="U9" s="129" t="s">
        <v>93</v>
      </c>
      <c r="V9" s="130"/>
      <c r="W9" s="130"/>
      <c r="X9" s="131"/>
      <c r="Y9" s="316"/>
      <c r="Z9" s="317"/>
      <c r="AA9" s="317"/>
      <c r="AB9" s="128"/>
      <c r="AC9" s="57"/>
      <c r="AD9" s="56"/>
      <c r="AE9" s="56"/>
      <c r="AF9" s="56"/>
      <c r="AG9" s="316"/>
      <c r="AH9" s="317"/>
      <c r="AI9" s="317"/>
      <c r="AJ9" s="128"/>
      <c r="AK9" s="57"/>
      <c r="AL9" s="56"/>
      <c r="AM9" s="56"/>
      <c r="AN9" s="56"/>
      <c r="AO9" s="316"/>
      <c r="AP9" s="317"/>
      <c r="AQ9" s="317"/>
      <c r="AR9" s="128"/>
      <c r="AS9" s="73"/>
      <c r="AT9" s="74"/>
      <c r="AU9" s="74"/>
      <c r="AV9" s="74"/>
      <c r="AW9" s="74"/>
      <c r="AX9" s="74"/>
      <c r="AY9" s="74"/>
      <c r="AZ9" s="120"/>
      <c r="BA9" s="319"/>
      <c r="BB9" s="319"/>
      <c r="BC9" s="336"/>
    </row>
    <row r="10" spans="1:55" ht="15" customHeight="1" x14ac:dyDescent="0.35">
      <c r="A10" s="29">
        <v>820323205061</v>
      </c>
      <c r="B10" s="30" t="s">
        <v>20</v>
      </c>
      <c r="C10" s="6"/>
      <c r="D10" s="7">
        <v>525</v>
      </c>
      <c r="E10" s="61">
        <v>1</v>
      </c>
      <c r="F10" s="62">
        <f t="shared" ref="F10:L10" si="0">E10</f>
        <v>1</v>
      </c>
      <c r="G10" s="62">
        <f t="shared" si="0"/>
        <v>1</v>
      </c>
      <c r="H10" s="62">
        <f t="shared" si="0"/>
        <v>1</v>
      </c>
      <c r="I10" s="307"/>
      <c r="J10" s="133"/>
      <c r="K10" s="133"/>
      <c r="L10" s="134"/>
      <c r="M10" s="61" t="s">
        <v>124</v>
      </c>
      <c r="N10" s="62" t="str">
        <f t="shared" ref="N10:T25" si="1">M10</f>
        <v>a</v>
      </c>
      <c r="O10" s="62" t="str">
        <f t="shared" si="1"/>
        <v>a</v>
      </c>
      <c r="P10" s="62" t="str">
        <f t="shared" si="1"/>
        <v>a</v>
      </c>
      <c r="Q10" s="307"/>
      <c r="R10" s="133"/>
      <c r="S10" s="133"/>
      <c r="T10" s="134"/>
      <c r="U10" s="61" t="s">
        <v>124</v>
      </c>
      <c r="V10" s="62" t="str">
        <f t="shared" ref="V10:AB25" si="2">U10</f>
        <v>a</v>
      </c>
      <c r="W10" s="62" t="str">
        <f t="shared" si="2"/>
        <v>a</v>
      </c>
      <c r="X10" s="62" t="str">
        <f t="shared" si="2"/>
        <v>a</v>
      </c>
      <c r="Y10" s="307"/>
      <c r="Z10" s="133"/>
      <c r="AA10" s="133"/>
      <c r="AB10" s="134"/>
      <c r="AC10" s="61">
        <v>1</v>
      </c>
      <c r="AD10" s="62">
        <f t="shared" ref="AD10:AJ25" si="3">AC10</f>
        <v>1</v>
      </c>
      <c r="AE10" s="62">
        <f t="shared" si="3"/>
        <v>1</v>
      </c>
      <c r="AF10" s="62">
        <f t="shared" si="3"/>
        <v>1</v>
      </c>
      <c r="AG10" s="307"/>
      <c r="AH10" s="133"/>
      <c r="AI10" s="133"/>
      <c r="AJ10" s="134"/>
      <c r="AK10" s="153" t="s">
        <v>275</v>
      </c>
      <c r="AL10" s="133"/>
      <c r="AM10" s="133"/>
      <c r="AN10" s="133"/>
      <c r="AO10" s="133"/>
      <c r="AP10" s="133"/>
      <c r="AQ10" s="133"/>
      <c r="AR10" s="134"/>
      <c r="AS10" s="153" t="s">
        <v>115</v>
      </c>
      <c r="AT10" s="133"/>
      <c r="AU10" s="133"/>
      <c r="AV10" s="133"/>
      <c r="AW10" s="133"/>
      <c r="AX10" s="133"/>
      <c r="AY10" s="133"/>
      <c r="AZ10" s="134"/>
      <c r="BA10" s="36">
        <f t="shared" ref="BA10:BA37" si="4">SUM(E10:AZ10)</f>
        <v>8</v>
      </c>
      <c r="BB10" s="9">
        <f>BA10+D10+C10</f>
        <v>533</v>
      </c>
      <c r="BC10" s="10">
        <f>ROUND((BB10/BB$5)*100,0)</f>
        <v>89</v>
      </c>
    </row>
    <row r="11" spans="1:55" ht="15" customHeight="1" x14ac:dyDescent="0.35">
      <c r="A11" s="29">
        <v>820323205062</v>
      </c>
      <c r="B11" s="30" t="s">
        <v>21</v>
      </c>
      <c r="C11" s="11"/>
      <c r="D11" s="7">
        <v>499</v>
      </c>
      <c r="E11" s="61">
        <v>1</v>
      </c>
      <c r="F11" s="62">
        <f>E11</f>
        <v>1</v>
      </c>
      <c r="G11" s="62">
        <f>F11</f>
        <v>1</v>
      </c>
      <c r="H11" s="62">
        <f>G11</f>
        <v>1</v>
      </c>
      <c r="I11" s="308"/>
      <c r="J11" s="302"/>
      <c r="K11" s="302"/>
      <c r="L11" s="137"/>
      <c r="M11" s="61" t="s">
        <v>124</v>
      </c>
      <c r="N11" s="62" t="str">
        <f t="shared" si="1"/>
        <v>a</v>
      </c>
      <c r="O11" s="62" t="str">
        <f t="shared" si="1"/>
        <v>a</v>
      </c>
      <c r="P11" s="62" t="str">
        <f t="shared" si="1"/>
        <v>a</v>
      </c>
      <c r="Q11" s="308"/>
      <c r="R11" s="302"/>
      <c r="S11" s="302"/>
      <c r="T11" s="137"/>
      <c r="U11" s="61">
        <v>1</v>
      </c>
      <c r="V11" s="62">
        <f t="shared" si="2"/>
        <v>1</v>
      </c>
      <c r="W11" s="62">
        <f t="shared" si="2"/>
        <v>1</v>
      </c>
      <c r="X11" s="62">
        <f t="shared" si="2"/>
        <v>1</v>
      </c>
      <c r="Y11" s="308"/>
      <c r="Z11" s="302"/>
      <c r="AA11" s="302"/>
      <c r="AB11" s="137"/>
      <c r="AC11" s="61">
        <v>1</v>
      </c>
      <c r="AD11" s="62">
        <f t="shared" si="3"/>
        <v>1</v>
      </c>
      <c r="AE11" s="62">
        <f t="shared" si="3"/>
        <v>1</v>
      </c>
      <c r="AF11" s="62">
        <f t="shared" si="3"/>
        <v>1</v>
      </c>
      <c r="AG11" s="308"/>
      <c r="AH11" s="302"/>
      <c r="AI11" s="302"/>
      <c r="AJ11" s="137"/>
      <c r="AK11" s="135"/>
      <c r="AL11" s="302"/>
      <c r="AM11" s="302"/>
      <c r="AN11" s="302"/>
      <c r="AO11" s="302"/>
      <c r="AP11" s="302"/>
      <c r="AQ11" s="302"/>
      <c r="AR11" s="137"/>
      <c r="AS11" s="135"/>
      <c r="AT11" s="302"/>
      <c r="AU11" s="302"/>
      <c r="AV11" s="302"/>
      <c r="AW11" s="302"/>
      <c r="AX11" s="302"/>
      <c r="AY11" s="302"/>
      <c r="AZ11" s="137"/>
      <c r="BA11" s="37">
        <f t="shared" si="4"/>
        <v>12</v>
      </c>
      <c r="BB11" s="9">
        <f t="shared" ref="BB11:BB73" si="5">BA11+D11+C11</f>
        <v>511</v>
      </c>
      <c r="BC11" s="10">
        <f t="shared" ref="BC11:BC73" si="6">ROUND((BB11/BB$5)*100,0)</f>
        <v>86</v>
      </c>
    </row>
    <row r="12" spans="1:55" ht="15" customHeight="1" x14ac:dyDescent="0.35">
      <c r="A12" s="29">
        <v>820323205063</v>
      </c>
      <c r="B12" s="30" t="s">
        <v>22</v>
      </c>
      <c r="C12" s="11"/>
      <c r="D12" s="7">
        <v>533</v>
      </c>
      <c r="E12" s="61">
        <v>1</v>
      </c>
      <c r="F12" s="62">
        <f t="shared" ref="F12:L27" si="7">E12</f>
        <v>1</v>
      </c>
      <c r="G12" s="62">
        <f t="shared" si="7"/>
        <v>1</v>
      </c>
      <c r="H12" s="62">
        <f t="shared" si="7"/>
        <v>1</v>
      </c>
      <c r="I12" s="308"/>
      <c r="J12" s="302"/>
      <c r="K12" s="302"/>
      <c r="L12" s="137"/>
      <c r="M12" s="61" t="s">
        <v>124</v>
      </c>
      <c r="N12" s="62" t="str">
        <f t="shared" si="1"/>
        <v>a</v>
      </c>
      <c r="O12" s="62" t="str">
        <f t="shared" si="1"/>
        <v>a</v>
      </c>
      <c r="P12" s="62" t="str">
        <f t="shared" si="1"/>
        <v>a</v>
      </c>
      <c r="Q12" s="308"/>
      <c r="R12" s="302"/>
      <c r="S12" s="302"/>
      <c r="T12" s="137"/>
      <c r="U12" s="61">
        <v>1</v>
      </c>
      <c r="V12" s="62">
        <f t="shared" si="2"/>
        <v>1</v>
      </c>
      <c r="W12" s="62">
        <f t="shared" si="2"/>
        <v>1</v>
      </c>
      <c r="X12" s="62">
        <f t="shared" si="2"/>
        <v>1</v>
      </c>
      <c r="Y12" s="308"/>
      <c r="Z12" s="302"/>
      <c r="AA12" s="302"/>
      <c r="AB12" s="137"/>
      <c r="AC12" s="61">
        <v>1</v>
      </c>
      <c r="AD12" s="62">
        <f t="shared" si="3"/>
        <v>1</v>
      </c>
      <c r="AE12" s="62">
        <f t="shared" si="3"/>
        <v>1</v>
      </c>
      <c r="AF12" s="62">
        <f t="shared" si="3"/>
        <v>1</v>
      </c>
      <c r="AG12" s="308"/>
      <c r="AH12" s="302"/>
      <c r="AI12" s="302"/>
      <c r="AJ12" s="137"/>
      <c r="AK12" s="135"/>
      <c r="AL12" s="302"/>
      <c r="AM12" s="302"/>
      <c r="AN12" s="302"/>
      <c r="AO12" s="302"/>
      <c r="AP12" s="302"/>
      <c r="AQ12" s="302"/>
      <c r="AR12" s="137"/>
      <c r="AS12" s="135"/>
      <c r="AT12" s="302"/>
      <c r="AU12" s="302"/>
      <c r="AV12" s="302"/>
      <c r="AW12" s="302"/>
      <c r="AX12" s="302"/>
      <c r="AY12" s="302"/>
      <c r="AZ12" s="137"/>
      <c r="BA12" s="37">
        <f t="shared" si="4"/>
        <v>12</v>
      </c>
      <c r="BB12" s="9">
        <f t="shared" si="5"/>
        <v>545</v>
      </c>
      <c r="BC12" s="10">
        <f t="shared" si="6"/>
        <v>91</v>
      </c>
    </row>
    <row r="13" spans="1:55" ht="15" customHeight="1" x14ac:dyDescent="0.35">
      <c r="A13" s="29">
        <v>820323205064</v>
      </c>
      <c r="B13" s="30" t="s">
        <v>23</v>
      </c>
      <c r="C13" s="11"/>
      <c r="D13" s="7">
        <v>542</v>
      </c>
      <c r="E13" s="61">
        <v>1</v>
      </c>
      <c r="F13" s="62">
        <f t="shared" si="7"/>
        <v>1</v>
      </c>
      <c r="G13" s="62">
        <f t="shared" si="7"/>
        <v>1</v>
      </c>
      <c r="H13" s="62">
        <f t="shared" si="7"/>
        <v>1</v>
      </c>
      <c r="I13" s="308"/>
      <c r="J13" s="302"/>
      <c r="K13" s="302"/>
      <c r="L13" s="137"/>
      <c r="M13" s="61" t="s">
        <v>124</v>
      </c>
      <c r="N13" s="62" t="str">
        <f t="shared" si="1"/>
        <v>a</v>
      </c>
      <c r="O13" s="62" t="str">
        <f t="shared" si="1"/>
        <v>a</v>
      </c>
      <c r="P13" s="62" t="str">
        <f t="shared" si="1"/>
        <v>a</v>
      </c>
      <c r="Q13" s="308"/>
      <c r="R13" s="302"/>
      <c r="S13" s="302"/>
      <c r="T13" s="137"/>
      <c r="U13" s="61" t="s">
        <v>124</v>
      </c>
      <c r="V13" s="62" t="str">
        <f t="shared" si="2"/>
        <v>a</v>
      </c>
      <c r="W13" s="62" t="str">
        <f t="shared" si="2"/>
        <v>a</v>
      </c>
      <c r="X13" s="62" t="str">
        <f t="shared" si="2"/>
        <v>a</v>
      </c>
      <c r="Y13" s="308"/>
      <c r="Z13" s="302"/>
      <c r="AA13" s="302"/>
      <c r="AB13" s="137"/>
      <c r="AC13" s="61">
        <v>1</v>
      </c>
      <c r="AD13" s="62">
        <f t="shared" si="3"/>
        <v>1</v>
      </c>
      <c r="AE13" s="62">
        <f t="shared" si="3"/>
        <v>1</v>
      </c>
      <c r="AF13" s="62">
        <f t="shared" si="3"/>
        <v>1</v>
      </c>
      <c r="AG13" s="308"/>
      <c r="AH13" s="302"/>
      <c r="AI13" s="302"/>
      <c r="AJ13" s="137"/>
      <c r="AK13" s="135"/>
      <c r="AL13" s="302"/>
      <c r="AM13" s="302"/>
      <c r="AN13" s="302"/>
      <c r="AO13" s="302"/>
      <c r="AP13" s="302"/>
      <c r="AQ13" s="302"/>
      <c r="AR13" s="137"/>
      <c r="AS13" s="135"/>
      <c r="AT13" s="302"/>
      <c r="AU13" s="302"/>
      <c r="AV13" s="302"/>
      <c r="AW13" s="302"/>
      <c r="AX13" s="302"/>
      <c r="AY13" s="302"/>
      <c r="AZ13" s="137"/>
      <c r="BA13" s="37">
        <f t="shared" si="4"/>
        <v>8</v>
      </c>
      <c r="BB13" s="9">
        <f t="shared" si="5"/>
        <v>550</v>
      </c>
      <c r="BC13" s="10">
        <f t="shared" si="6"/>
        <v>92</v>
      </c>
    </row>
    <row r="14" spans="1:55" ht="15" customHeight="1" x14ac:dyDescent="0.35">
      <c r="A14" s="29">
        <v>820323205065</v>
      </c>
      <c r="B14" s="30" t="s">
        <v>24</v>
      </c>
      <c r="C14" s="11"/>
      <c r="D14" s="7">
        <v>505</v>
      </c>
      <c r="E14" s="61">
        <v>1</v>
      </c>
      <c r="F14" s="62">
        <f t="shared" si="7"/>
        <v>1</v>
      </c>
      <c r="G14" s="62">
        <f t="shared" si="7"/>
        <v>1</v>
      </c>
      <c r="H14" s="62">
        <f t="shared" si="7"/>
        <v>1</v>
      </c>
      <c r="I14" s="308"/>
      <c r="J14" s="302"/>
      <c r="K14" s="302"/>
      <c r="L14" s="137"/>
      <c r="M14" s="61" t="s">
        <v>124</v>
      </c>
      <c r="N14" s="62" t="str">
        <f t="shared" si="1"/>
        <v>a</v>
      </c>
      <c r="O14" s="62" t="str">
        <f t="shared" si="1"/>
        <v>a</v>
      </c>
      <c r="P14" s="62" t="str">
        <f t="shared" si="1"/>
        <v>a</v>
      </c>
      <c r="Q14" s="308"/>
      <c r="R14" s="302"/>
      <c r="S14" s="302"/>
      <c r="T14" s="137"/>
      <c r="U14" s="61">
        <v>1</v>
      </c>
      <c r="V14" s="62">
        <f t="shared" si="2"/>
        <v>1</v>
      </c>
      <c r="W14" s="62">
        <f t="shared" si="2"/>
        <v>1</v>
      </c>
      <c r="X14" s="62">
        <f t="shared" si="2"/>
        <v>1</v>
      </c>
      <c r="Y14" s="308"/>
      <c r="Z14" s="302"/>
      <c r="AA14" s="302"/>
      <c r="AB14" s="137"/>
      <c r="AC14" s="61">
        <v>1</v>
      </c>
      <c r="AD14" s="62">
        <f t="shared" si="3"/>
        <v>1</v>
      </c>
      <c r="AE14" s="62">
        <f t="shared" si="3"/>
        <v>1</v>
      </c>
      <c r="AF14" s="62">
        <f t="shared" si="3"/>
        <v>1</v>
      </c>
      <c r="AG14" s="308"/>
      <c r="AH14" s="302"/>
      <c r="AI14" s="302"/>
      <c r="AJ14" s="137"/>
      <c r="AK14" s="135"/>
      <c r="AL14" s="302"/>
      <c r="AM14" s="302"/>
      <c r="AN14" s="302"/>
      <c r="AO14" s="302"/>
      <c r="AP14" s="302"/>
      <c r="AQ14" s="302"/>
      <c r="AR14" s="137"/>
      <c r="AS14" s="135"/>
      <c r="AT14" s="302"/>
      <c r="AU14" s="302"/>
      <c r="AV14" s="302"/>
      <c r="AW14" s="302"/>
      <c r="AX14" s="302"/>
      <c r="AY14" s="302"/>
      <c r="AZ14" s="137"/>
      <c r="BA14" s="37">
        <f t="shared" si="4"/>
        <v>12</v>
      </c>
      <c r="BB14" s="9">
        <f t="shared" si="5"/>
        <v>517</v>
      </c>
      <c r="BC14" s="10">
        <f t="shared" si="6"/>
        <v>87</v>
      </c>
    </row>
    <row r="15" spans="1:55" ht="15" customHeight="1" x14ac:dyDescent="0.35">
      <c r="A15" s="29">
        <v>820323205066</v>
      </c>
      <c r="B15" s="30" t="s">
        <v>25</v>
      </c>
      <c r="C15" s="11"/>
      <c r="D15" s="7">
        <v>440</v>
      </c>
      <c r="E15" s="61">
        <v>1</v>
      </c>
      <c r="F15" s="62">
        <f t="shared" si="7"/>
        <v>1</v>
      </c>
      <c r="G15" s="62">
        <f t="shared" si="7"/>
        <v>1</v>
      </c>
      <c r="H15" s="62">
        <f t="shared" si="7"/>
        <v>1</v>
      </c>
      <c r="I15" s="308"/>
      <c r="J15" s="302"/>
      <c r="K15" s="302"/>
      <c r="L15" s="137"/>
      <c r="M15" s="61" t="s">
        <v>124</v>
      </c>
      <c r="N15" s="62" t="str">
        <f t="shared" si="1"/>
        <v>a</v>
      </c>
      <c r="O15" s="62" t="str">
        <f t="shared" si="1"/>
        <v>a</v>
      </c>
      <c r="P15" s="62" t="str">
        <f t="shared" si="1"/>
        <v>a</v>
      </c>
      <c r="Q15" s="308"/>
      <c r="R15" s="302"/>
      <c r="S15" s="302"/>
      <c r="T15" s="137"/>
      <c r="U15" s="61">
        <v>1</v>
      </c>
      <c r="V15" s="62">
        <f t="shared" si="2"/>
        <v>1</v>
      </c>
      <c r="W15" s="62">
        <f t="shared" si="2"/>
        <v>1</v>
      </c>
      <c r="X15" s="62">
        <f t="shared" si="2"/>
        <v>1</v>
      </c>
      <c r="Y15" s="308"/>
      <c r="Z15" s="302"/>
      <c r="AA15" s="302"/>
      <c r="AB15" s="137"/>
      <c r="AC15" s="61">
        <v>1</v>
      </c>
      <c r="AD15" s="62">
        <f t="shared" si="3"/>
        <v>1</v>
      </c>
      <c r="AE15" s="62">
        <f t="shared" si="3"/>
        <v>1</v>
      </c>
      <c r="AF15" s="62">
        <f t="shared" si="3"/>
        <v>1</v>
      </c>
      <c r="AG15" s="308"/>
      <c r="AH15" s="302"/>
      <c r="AI15" s="302"/>
      <c r="AJ15" s="137"/>
      <c r="AK15" s="135"/>
      <c r="AL15" s="302"/>
      <c r="AM15" s="302"/>
      <c r="AN15" s="302"/>
      <c r="AO15" s="302"/>
      <c r="AP15" s="302"/>
      <c r="AQ15" s="302"/>
      <c r="AR15" s="137"/>
      <c r="AS15" s="135"/>
      <c r="AT15" s="302"/>
      <c r="AU15" s="302"/>
      <c r="AV15" s="302"/>
      <c r="AW15" s="302"/>
      <c r="AX15" s="302"/>
      <c r="AY15" s="302"/>
      <c r="AZ15" s="137"/>
      <c r="BA15" s="37">
        <f t="shared" si="4"/>
        <v>12</v>
      </c>
      <c r="BB15" s="9">
        <f t="shared" si="5"/>
        <v>452</v>
      </c>
      <c r="BC15" s="10">
        <f t="shared" si="6"/>
        <v>76</v>
      </c>
    </row>
    <row r="16" spans="1:55" ht="15" customHeight="1" x14ac:dyDescent="0.35">
      <c r="A16" s="29">
        <v>820323205068</v>
      </c>
      <c r="B16" s="30" t="s">
        <v>26</v>
      </c>
      <c r="C16" s="11"/>
      <c r="D16" s="7">
        <v>482</v>
      </c>
      <c r="E16" s="61">
        <v>1</v>
      </c>
      <c r="F16" s="62">
        <f t="shared" si="7"/>
        <v>1</v>
      </c>
      <c r="G16" s="62">
        <f t="shared" si="7"/>
        <v>1</v>
      </c>
      <c r="H16" s="62">
        <f t="shared" si="7"/>
        <v>1</v>
      </c>
      <c r="I16" s="308"/>
      <c r="J16" s="302"/>
      <c r="K16" s="302"/>
      <c r="L16" s="137"/>
      <c r="M16" s="61" t="s">
        <v>124</v>
      </c>
      <c r="N16" s="62" t="str">
        <f t="shared" si="1"/>
        <v>a</v>
      </c>
      <c r="O16" s="62" t="str">
        <f t="shared" si="1"/>
        <v>a</v>
      </c>
      <c r="P16" s="62" t="str">
        <f t="shared" si="1"/>
        <v>a</v>
      </c>
      <c r="Q16" s="308"/>
      <c r="R16" s="302"/>
      <c r="S16" s="302"/>
      <c r="T16" s="137"/>
      <c r="U16" s="61" t="s">
        <v>124</v>
      </c>
      <c r="V16" s="62" t="str">
        <f t="shared" si="2"/>
        <v>a</v>
      </c>
      <c r="W16" s="62" t="str">
        <f t="shared" si="2"/>
        <v>a</v>
      </c>
      <c r="X16" s="62" t="str">
        <f t="shared" si="2"/>
        <v>a</v>
      </c>
      <c r="Y16" s="308"/>
      <c r="Z16" s="302"/>
      <c r="AA16" s="302"/>
      <c r="AB16" s="137"/>
      <c r="AC16" s="61">
        <v>1</v>
      </c>
      <c r="AD16" s="62">
        <f t="shared" si="3"/>
        <v>1</v>
      </c>
      <c r="AE16" s="62">
        <f t="shared" si="3"/>
        <v>1</v>
      </c>
      <c r="AF16" s="62">
        <f t="shared" si="3"/>
        <v>1</v>
      </c>
      <c r="AG16" s="308"/>
      <c r="AH16" s="302"/>
      <c r="AI16" s="302"/>
      <c r="AJ16" s="137"/>
      <c r="AK16" s="135"/>
      <c r="AL16" s="302"/>
      <c r="AM16" s="302"/>
      <c r="AN16" s="302"/>
      <c r="AO16" s="302"/>
      <c r="AP16" s="302"/>
      <c r="AQ16" s="302"/>
      <c r="AR16" s="137"/>
      <c r="AS16" s="135"/>
      <c r="AT16" s="302"/>
      <c r="AU16" s="302"/>
      <c r="AV16" s="302"/>
      <c r="AW16" s="302"/>
      <c r="AX16" s="302"/>
      <c r="AY16" s="302"/>
      <c r="AZ16" s="137"/>
      <c r="BA16" s="37">
        <f t="shared" si="4"/>
        <v>8</v>
      </c>
      <c r="BB16" s="9">
        <f t="shared" si="5"/>
        <v>490</v>
      </c>
      <c r="BC16" s="10">
        <f t="shared" si="6"/>
        <v>82</v>
      </c>
    </row>
    <row r="17" spans="1:55" ht="15" customHeight="1" x14ac:dyDescent="0.35">
      <c r="A17" s="29">
        <v>820323205069</v>
      </c>
      <c r="B17" s="30" t="s">
        <v>27</v>
      </c>
      <c r="C17" s="11"/>
      <c r="D17" s="7">
        <v>528</v>
      </c>
      <c r="E17" s="61">
        <v>1</v>
      </c>
      <c r="F17" s="62">
        <f t="shared" si="7"/>
        <v>1</v>
      </c>
      <c r="G17" s="62">
        <f t="shared" si="7"/>
        <v>1</v>
      </c>
      <c r="H17" s="62">
        <f t="shared" si="7"/>
        <v>1</v>
      </c>
      <c r="I17" s="308"/>
      <c r="J17" s="302"/>
      <c r="K17" s="302"/>
      <c r="L17" s="137"/>
      <c r="M17" s="61" t="s">
        <v>124</v>
      </c>
      <c r="N17" s="62" t="str">
        <f t="shared" si="1"/>
        <v>a</v>
      </c>
      <c r="O17" s="62" t="str">
        <f t="shared" si="1"/>
        <v>a</v>
      </c>
      <c r="P17" s="62" t="str">
        <f t="shared" si="1"/>
        <v>a</v>
      </c>
      <c r="Q17" s="308"/>
      <c r="R17" s="302"/>
      <c r="S17" s="302"/>
      <c r="T17" s="137"/>
      <c r="U17" s="61" t="s">
        <v>124</v>
      </c>
      <c r="V17" s="62" t="str">
        <f t="shared" si="2"/>
        <v>a</v>
      </c>
      <c r="W17" s="62" t="str">
        <f t="shared" si="2"/>
        <v>a</v>
      </c>
      <c r="X17" s="62" t="str">
        <f t="shared" si="2"/>
        <v>a</v>
      </c>
      <c r="Y17" s="308"/>
      <c r="Z17" s="302"/>
      <c r="AA17" s="302"/>
      <c r="AB17" s="137"/>
      <c r="AC17" s="61">
        <v>1</v>
      </c>
      <c r="AD17" s="62">
        <f t="shared" si="3"/>
        <v>1</v>
      </c>
      <c r="AE17" s="62">
        <f t="shared" si="3"/>
        <v>1</v>
      </c>
      <c r="AF17" s="62">
        <f t="shared" si="3"/>
        <v>1</v>
      </c>
      <c r="AG17" s="308"/>
      <c r="AH17" s="302"/>
      <c r="AI17" s="302"/>
      <c r="AJ17" s="137"/>
      <c r="AK17" s="135"/>
      <c r="AL17" s="302"/>
      <c r="AM17" s="302"/>
      <c r="AN17" s="302"/>
      <c r="AO17" s="302"/>
      <c r="AP17" s="302"/>
      <c r="AQ17" s="302"/>
      <c r="AR17" s="137"/>
      <c r="AS17" s="135"/>
      <c r="AT17" s="302"/>
      <c r="AU17" s="302"/>
      <c r="AV17" s="302"/>
      <c r="AW17" s="302"/>
      <c r="AX17" s="302"/>
      <c r="AY17" s="302"/>
      <c r="AZ17" s="137"/>
      <c r="BA17" s="37">
        <f t="shared" si="4"/>
        <v>8</v>
      </c>
      <c r="BB17" s="9">
        <f t="shared" si="5"/>
        <v>536</v>
      </c>
      <c r="BC17" s="10">
        <f t="shared" si="6"/>
        <v>90</v>
      </c>
    </row>
    <row r="18" spans="1:55" ht="15" customHeight="1" x14ac:dyDescent="0.35">
      <c r="A18" s="29">
        <v>820323205070</v>
      </c>
      <c r="B18" s="30" t="s">
        <v>28</v>
      </c>
      <c r="C18" s="11"/>
      <c r="D18" s="7">
        <v>452</v>
      </c>
      <c r="E18" s="61">
        <v>1</v>
      </c>
      <c r="F18" s="62">
        <f t="shared" si="7"/>
        <v>1</v>
      </c>
      <c r="G18" s="62">
        <f t="shared" si="7"/>
        <v>1</v>
      </c>
      <c r="H18" s="62">
        <f t="shared" si="7"/>
        <v>1</v>
      </c>
      <c r="I18" s="308"/>
      <c r="J18" s="302"/>
      <c r="K18" s="302"/>
      <c r="L18" s="137"/>
      <c r="M18" s="61" t="s">
        <v>124</v>
      </c>
      <c r="N18" s="62" t="str">
        <f t="shared" si="1"/>
        <v>a</v>
      </c>
      <c r="O18" s="62" t="str">
        <f t="shared" si="1"/>
        <v>a</v>
      </c>
      <c r="P18" s="62" t="str">
        <f t="shared" si="1"/>
        <v>a</v>
      </c>
      <c r="Q18" s="308"/>
      <c r="R18" s="302"/>
      <c r="S18" s="302"/>
      <c r="T18" s="137"/>
      <c r="U18" s="61" t="s">
        <v>124</v>
      </c>
      <c r="V18" s="62" t="str">
        <f t="shared" si="2"/>
        <v>a</v>
      </c>
      <c r="W18" s="62" t="str">
        <f t="shared" si="2"/>
        <v>a</v>
      </c>
      <c r="X18" s="62" t="str">
        <f t="shared" si="2"/>
        <v>a</v>
      </c>
      <c r="Y18" s="308"/>
      <c r="Z18" s="302"/>
      <c r="AA18" s="302"/>
      <c r="AB18" s="137"/>
      <c r="AC18" s="61">
        <v>1</v>
      </c>
      <c r="AD18" s="62">
        <f t="shared" si="3"/>
        <v>1</v>
      </c>
      <c r="AE18" s="62">
        <f t="shared" si="3"/>
        <v>1</v>
      </c>
      <c r="AF18" s="62">
        <f t="shared" si="3"/>
        <v>1</v>
      </c>
      <c r="AG18" s="308"/>
      <c r="AH18" s="302"/>
      <c r="AI18" s="302"/>
      <c r="AJ18" s="137"/>
      <c r="AK18" s="135"/>
      <c r="AL18" s="302"/>
      <c r="AM18" s="302"/>
      <c r="AN18" s="302"/>
      <c r="AO18" s="302"/>
      <c r="AP18" s="302"/>
      <c r="AQ18" s="302"/>
      <c r="AR18" s="137"/>
      <c r="AS18" s="135"/>
      <c r="AT18" s="302"/>
      <c r="AU18" s="302"/>
      <c r="AV18" s="302"/>
      <c r="AW18" s="302"/>
      <c r="AX18" s="302"/>
      <c r="AY18" s="302"/>
      <c r="AZ18" s="137"/>
      <c r="BA18" s="37">
        <f t="shared" si="4"/>
        <v>8</v>
      </c>
      <c r="BB18" s="9">
        <f t="shared" si="5"/>
        <v>460</v>
      </c>
      <c r="BC18" s="10">
        <f t="shared" si="6"/>
        <v>77</v>
      </c>
    </row>
    <row r="19" spans="1:55" ht="15" customHeight="1" x14ac:dyDescent="0.35">
      <c r="A19" s="29">
        <v>820323205071</v>
      </c>
      <c r="B19" s="30" t="s">
        <v>29</v>
      </c>
      <c r="C19" s="11"/>
      <c r="D19" s="7">
        <v>491</v>
      </c>
      <c r="E19" s="61">
        <v>1</v>
      </c>
      <c r="F19" s="62">
        <f t="shared" si="7"/>
        <v>1</v>
      </c>
      <c r="G19" s="62">
        <f t="shared" si="7"/>
        <v>1</v>
      </c>
      <c r="H19" s="62">
        <f t="shared" si="7"/>
        <v>1</v>
      </c>
      <c r="I19" s="308"/>
      <c r="J19" s="302"/>
      <c r="K19" s="302"/>
      <c r="L19" s="137"/>
      <c r="M19" s="61" t="s">
        <v>124</v>
      </c>
      <c r="N19" s="62" t="str">
        <f t="shared" si="1"/>
        <v>a</v>
      </c>
      <c r="O19" s="62" t="str">
        <f t="shared" si="1"/>
        <v>a</v>
      </c>
      <c r="P19" s="62" t="str">
        <f t="shared" si="1"/>
        <v>a</v>
      </c>
      <c r="Q19" s="308"/>
      <c r="R19" s="302"/>
      <c r="S19" s="302"/>
      <c r="T19" s="137"/>
      <c r="U19" s="61">
        <v>1</v>
      </c>
      <c r="V19" s="62">
        <f t="shared" si="2"/>
        <v>1</v>
      </c>
      <c r="W19" s="62">
        <f t="shared" si="2"/>
        <v>1</v>
      </c>
      <c r="X19" s="62">
        <f t="shared" si="2"/>
        <v>1</v>
      </c>
      <c r="Y19" s="308"/>
      <c r="Z19" s="302"/>
      <c r="AA19" s="302"/>
      <c r="AB19" s="137"/>
      <c r="AC19" s="61">
        <v>1</v>
      </c>
      <c r="AD19" s="62">
        <f t="shared" si="3"/>
        <v>1</v>
      </c>
      <c r="AE19" s="62">
        <f t="shared" si="3"/>
        <v>1</v>
      </c>
      <c r="AF19" s="62">
        <f t="shared" si="3"/>
        <v>1</v>
      </c>
      <c r="AG19" s="308"/>
      <c r="AH19" s="302"/>
      <c r="AI19" s="302"/>
      <c r="AJ19" s="137"/>
      <c r="AK19" s="135"/>
      <c r="AL19" s="302"/>
      <c r="AM19" s="302"/>
      <c r="AN19" s="302"/>
      <c r="AO19" s="302"/>
      <c r="AP19" s="302"/>
      <c r="AQ19" s="302"/>
      <c r="AR19" s="137"/>
      <c r="AS19" s="135"/>
      <c r="AT19" s="302"/>
      <c r="AU19" s="302"/>
      <c r="AV19" s="302"/>
      <c r="AW19" s="302"/>
      <c r="AX19" s="302"/>
      <c r="AY19" s="302"/>
      <c r="AZ19" s="137"/>
      <c r="BA19" s="37">
        <f t="shared" si="4"/>
        <v>12</v>
      </c>
      <c r="BB19" s="9">
        <f t="shared" si="5"/>
        <v>503</v>
      </c>
      <c r="BC19" s="10">
        <f t="shared" si="6"/>
        <v>84</v>
      </c>
    </row>
    <row r="20" spans="1:55" ht="15" customHeight="1" x14ac:dyDescent="0.35">
      <c r="A20" s="29">
        <v>820323205073</v>
      </c>
      <c r="B20" s="30" t="s">
        <v>30</v>
      </c>
      <c r="C20" s="11"/>
      <c r="D20" s="7">
        <v>525</v>
      </c>
      <c r="E20" s="61">
        <v>1</v>
      </c>
      <c r="F20" s="62">
        <f t="shared" si="7"/>
        <v>1</v>
      </c>
      <c r="G20" s="62">
        <f t="shared" si="7"/>
        <v>1</v>
      </c>
      <c r="H20" s="62">
        <f t="shared" si="7"/>
        <v>1</v>
      </c>
      <c r="I20" s="308"/>
      <c r="J20" s="302"/>
      <c r="K20" s="302"/>
      <c r="L20" s="137"/>
      <c r="M20" s="61" t="s">
        <v>124</v>
      </c>
      <c r="N20" s="62" t="str">
        <f t="shared" si="1"/>
        <v>a</v>
      </c>
      <c r="O20" s="62" t="str">
        <f t="shared" si="1"/>
        <v>a</v>
      </c>
      <c r="P20" s="62" t="str">
        <f t="shared" si="1"/>
        <v>a</v>
      </c>
      <c r="Q20" s="308"/>
      <c r="R20" s="302"/>
      <c r="S20" s="302"/>
      <c r="T20" s="137"/>
      <c r="U20" s="61">
        <v>1</v>
      </c>
      <c r="V20" s="62">
        <f t="shared" si="2"/>
        <v>1</v>
      </c>
      <c r="W20" s="62">
        <f t="shared" si="2"/>
        <v>1</v>
      </c>
      <c r="X20" s="62">
        <f t="shared" si="2"/>
        <v>1</v>
      </c>
      <c r="Y20" s="308"/>
      <c r="Z20" s="302"/>
      <c r="AA20" s="302"/>
      <c r="AB20" s="137"/>
      <c r="AC20" s="61">
        <v>1</v>
      </c>
      <c r="AD20" s="62">
        <f t="shared" si="3"/>
        <v>1</v>
      </c>
      <c r="AE20" s="62">
        <f t="shared" si="3"/>
        <v>1</v>
      </c>
      <c r="AF20" s="62">
        <f t="shared" si="3"/>
        <v>1</v>
      </c>
      <c r="AG20" s="308"/>
      <c r="AH20" s="302"/>
      <c r="AI20" s="302"/>
      <c r="AJ20" s="137"/>
      <c r="AK20" s="135"/>
      <c r="AL20" s="302"/>
      <c r="AM20" s="302"/>
      <c r="AN20" s="302"/>
      <c r="AO20" s="302"/>
      <c r="AP20" s="302"/>
      <c r="AQ20" s="302"/>
      <c r="AR20" s="137"/>
      <c r="AS20" s="135"/>
      <c r="AT20" s="302"/>
      <c r="AU20" s="302"/>
      <c r="AV20" s="302"/>
      <c r="AW20" s="302"/>
      <c r="AX20" s="302"/>
      <c r="AY20" s="302"/>
      <c r="AZ20" s="137"/>
      <c r="BA20" s="37">
        <f t="shared" si="4"/>
        <v>12</v>
      </c>
      <c r="BB20" s="9">
        <f t="shared" si="5"/>
        <v>537</v>
      </c>
      <c r="BC20" s="10">
        <f t="shared" si="6"/>
        <v>90</v>
      </c>
    </row>
    <row r="21" spans="1:55" ht="15" customHeight="1" x14ac:dyDescent="0.35">
      <c r="A21" s="29">
        <v>820323205074</v>
      </c>
      <c r="B21" s="30" t="s">
        <v>31</v>
      </c>
      <c r="C21" s="11"/>
      <c r="D21" s="7">
        <v>537</v>
      </c>
      <c r="E21" s="61">
        <v>1</v>
      </c>
      <c r="F21" s="62">
        <f t="shared" si="7"/>
        <v>1</v>
      </c>
      <c r="G21" s="62">
        <f t="shared" si="7"/>
        <v>1</v>
      </c>
      <c r="H21" s="62">
        <f t="shared" si="7"/>
        <v>1</v>
      </c>
      <c r="I21" s="308"/>
      <c r="J21" s="302"/>
      <c r="K21" s="302"/>
      <c r="L21" s="137"/>
      <c r="M21" s="61" t="s">
        <v>124</v>
      </c>
      <c r="N21" s="62" t="str">
        <f t="shared" si="1"/>
        <v>a</v>
      </c>
      <c r="O21" s="62" t="str">
        <f t="shared" si="1"/>
        <v>a</v>
      </c>
      <c r="P21" s="62" t="str">
        <f t="shared" si="1"/>
        <v>a</v>
      </c>
      <c r="Q21" s="308"/>
      <c r="R21" s="302"/>
      <c r="S21" s="302"/>
      <c r="T21" s="137"/>
      <c r="U21" s="61">
        <v>1</v>
      </c>
      <c r="V21" s="62">
        <f t="shared" si="2"/>
        <v>1</v>
      </c>
      <c r="W21" s="62">
        <f t="shared" si="2"/>
        <v>1</v>
      </c>
      <c r="X21" s="62">
        <f t="shared" si="2"/>
        <v>1</v>
      </c>
      <c r="Y21" s="308"/>
      <c r="Z21" s="302"/>
      <c r="AA21" s="302"/>
      <c r="AB21" s="137"/>
      <c r="AC21" s="61">
        <v>1</v>
      </c>
      <c r="AD21" s="62">
        <f t="shared" si="3"/>
        <v>1</v>
      </c>
      <c r="AE21" s="62">
        <f t="shared" si="3"/>
        <v>1</v>
      </c>
      <c r="AF21" s="62">
        <f t="shared" si="3"/>
        <v>1</v>
      </c>
      <c r="AG21" s="308"/>
      <c r="AH21" s="302"/>
      <c r="AI21" s="302"/>
      <c r="AJ21" s="137"/>
      <c r="AK21" s="135"/>
      <c r="AL21" s="302"/>
      <c r="AM21" s="302"/>
      <c r="AN21" s="302"/>
      <c r="AO21" s="302"/>
      <c r="AP21" s="302"/>
      <c r="AQ21" s="302"/>
      <c r="AR21" s="137"/>
      <c r="AS21" s="135"/>
      <c r="AT21" s="302"/>
      <c r="AU21" s="302"/>
      <c r="AV21" s="302"/>
      <c r="AW21" s="302"/>
      <c r="AX21" s="302"/>
      <c r="AY21" s="302"/>
      <c r="AZ21" s="137"/>
      <c r="BA21" s="37">
        <f t="shared" si="4"/>
        <v>12</v>
      </c>
      <c r="BB21" s="9">
        <f t="shared" si="5"/>
        <v>549</v>
      </c>
      <c r="BC21" s="10">
        <f t="shared" si="6"/>
        <v>92</v>
      </c>
    </row>
    <row r="22" spans="1:55" ht="15" customHeight="1" x14ac:dyDescent="0.35">
      <c r="A22" s="29">
        <v>820323205075</v>
      </c>
      <c r="B22" s="30" t="s">
        <v>32</v>
      </c>
      <c r="C22" s="11"/>
      <c r="D22" s="7">
        <v>534</v>
      </c>
      <c r="E22" s="61">
        <v>1</v>
      </c>
      <c r="F22" s="62">
        <f t="shared" si="7"/>
        <v>1</v>
      </c>
      <c r="G22" s="62">
        <f t="shared" si="7"/>
        <v>1</v>
      </c>
      <c r="H22" s="62">
        <f t="shared" si="7"/>
        <v>1</v>
      </c>
      <c r="I22" s="308"/>
      <c r="J22" s="302"/>
      <c r="K22" s="302"/>
      <c r="L22" s="137"/>
      <c r="M22" s="61" t="s">
        <v>124</v>
      </c>
      <c r="N22" s="62" t="str">
        <f t="shared" si="1"/>
        <v>a</v>
      </c>
      <c r="O22" s="62" t="str">
        <f t="shared" si="1"/>
        <v>a</v>
      </c>
      <c r="P22" s="62" t="str">
        <f t="shared" si="1"/>
        <v>a</v>
      </c>
      <c r="Q22" s="308"/>
      <c r="R22" s="302"/>
      <c r="S22" s="302"/>
      <c r="T22" s="137"/>
      <c r="U22" s="61" t="s">
        <v>124</v>
      </c>
      <c r="V22" s="62" t="str">
        <f t="shared" si="2"/>
        <v>a</v>
      </c>
      <c r="W22" s="62" t="str">
        <f t="shared" si="2"/>
        <v>a</v>
      </c>
      <c r="X22" s="62" t="str">
        <f t="shared" si="2"/>
        <v>a</v>
      </c>
      <c r="Y22" s="308"/>
      <c r="Z22" s="302"/>
      <c r="AA22" s="302"/>
      <c r="AB22" s="137"/>
      <c r="AC22" s="61">
        <v>1</v>
      </c>
      <c r="AD22" s="62">
        <f t="shared" si="3"/>
        <v>1</v>
      </c>
      <c r="AE22" s="62">
        <f t="shared" si="3"/>
        <v>1</v>
      </c>
      <c r="AF22" s="62">
        <f t="shared" si="3"/>
        <v>1</v>
      </c>
      <c r="AG22" s="308"/>
      <c r="AH22" s="302"/>
      <c r="AI22" s="302"/>
      <c r="AJ22" s="137"/>
      <c r="AK22" s="135"/>
      <c r="AL22" s="302"/>
      <c r="AM22" s="302"/>
      <c r="AN22" s="302"/>
      <c r="AO22" s="302"/>
      <c r="AP22" s="302"/>
      <c r="AQ22" s="302"/>
      <c r="AR22" s="137"/>
      <c r="AS22" s="135"/>
      <c r="AT22" s="302"/>
      <c r="AU22" s="302"/>
      <c r="AV22" s="302"/>
      <c r="AW22" s="302"/>
      <c r="AX22" s="302"/>
      <c r="AY22" s="302"/>
      <c r="AZ22" s="137"/>
      <c r="BA22" s="37">
        <f t="shared" si="4"/>
        <v>8</v>
      </c>
      <c r="BB22" s="9">
        <f t="shared" si="5"/>
        <v>542</v>
      </c>
      <c r="BC22" s="10">
        <f t="shared" si="6"/>
        <v>91</v>
      </c>
    </row>
    <row r="23" spans="1:55" ht="15" customHeight="1" x14ac:dyDescent="0.35">
      <c r="A23" s="29">
        <v>820323205076</v>
      </c>
      <c r="B23" s="30" t="s">
        <v>33</v>
      </c>
      <c r="C23" s="11"/>
      <c r="D23" s="7">
        <v>544</v>
      </c>
      <c r="E23" s="61">
        <v>1</v>
      </c>
      <c r="F23" s="62">
        <f t="shared" si="7"/>
        <v>1</v>
      </c>
      <c r="G23" s="62">
        <f t="shared" si="7"/>
        <v>1</v>
      </c>
      <c r="H23" s="62">
        <f t="shared" si="7"/>
        <v>1</v>
      </c>
      <c r="I23" s="308"/>
      <c r="J23" s="302"/>
      <c r="K23" s="302"/>
      <c r="L23" s="137"/>
      <c r="M23" s="61" t="s">
        <v>124</v>
      </c>
      <c r="N23" s="62" t="str">
        <f t="shared" si="1"/>
        <v>a</v>
      </c>
      <c r="O23" s="62" t="str">
        <f t="shared" si="1"/>
        <v>a</v>
      </c>
      <c r="P23" s="62" t="str">
        <f t="shared" si="1"/>
        <v>a</v>
      </c>
      <c r="Q23" s="308"/>
      <c r="R23" s="302"/>
      <c r="S23" s="302"/>
      <c r="T23" s="137"/>
      <c r="U23" s="61" t="s">
        <v>124</v>
      </c>
      <c r="V23" s="62" t="str">
        <f t="shared" si="2"/>
        <v>a</v>
      </c>
      <c r="W23" s="62" t="str">
        <f t="shared" si="2"/>
        <v>a</v>
      </c>
      <c r="X23" s="62" t="str">
        <f t="shared" si="2"/>
        <v>a</v>
      </c>
      <c r="Y23" s="308"/>
      <c r="Z23" s="302"/>
      <c r="AA23" s="302"/>
      <c r="AB23" s="137"/>
      <c r="AC23" s="61">
        <v>1</v>
      </c>
      <c r="AD23" s="62">
        <f t="shared" si="3"/>
        <v>1</v>
      </c>
      <c r="AE23" s="62">
        <f t="shared" si="3"/>
        <v>1</v>
      </c>
      <c r="AF23" s="62">
        <f t="shared" si="3"/>
        <v>1</v>
      </c>
      <c r="AG23" s="308"/>
      <c r="AH23" s="302"/>
      <c r="AI23" s="302"/>
      <c r="AJ23" s="137"/>
      <c r="AK23" s="135"/>
      <c r="AL23" s="302"/>
      <c r="AM23" s="302"/>
      <c r="AN23" s="302"/>
      <c r="AO23" s="302"/>
      <c r="AP23" s="302"/>
      <c r="AQ23" s="302"/>
      <c r="AR23" s="137"/>
      <c r="AS23" s="135"/>
      <c r="AT23" s="302"/>
      <c r="AU23" s="302"/>
      <c r="AV23" s="302"/>
      <c r="AW23" s="302"/>
      <c r="AX23" s="302"/>
      <c r="AY23" s="302"/>
      <c r="AZ23" s="137"/>
      <c r="BA23" s="37">
        <f t="shared" si="4"/>
        <v>8</v>
      </c>
      <c r="BB23" s="9">
        <f t="shared" si="5"/>
        <v>552</v>
      </c>
      <c r="BC23" s="10">
        <f t="shared" si="6"/>
        <v>92</v>
      </c>
    </row>
    <row r="24" spans="1:55" ht="15" customHeight="1" x14ac:dyDescent="0.35">
      <c r="A24" s="29">
        <v>820323205077</v>
      </c>
      <c r="B24" s="30" t="s">
        <v>34</v>
      </c>
      <c r="C24" s="11"/>
      <c r="D24" s="7">
        <v>496</v>
      </c>
      <c r="E24" s="61">
        <v>1</v>
      </c>
      <c r="F24" s="62">
        <f t="shared" si="7"/>
        <v>1</v>
      </c>
      <c r="G24" s="62">
        <f t="shared" si="7"/>
        <v>1</v>
      </c>
      <c r="H24" s="62">
        <f t="shared" si="7"/>
        <v>1</v>
      </c>
      <c r="I24" s="308"/>
      <c r="J24" s="302"/>
      <c r="K24" s="302"/>
      <c r="L24" s="137"/>
      <c r="M24" s="61" t="s">
        <v>124</v>
      </c>
      <c r="N24" s="62" t="str">
        <f t="shared" si="1"/>
        <v>a</v>
      </c>
      <c r="O24" s="62" t="str">
        <f t="shared" si="1"/>
        <v>a</v>
      </c>
      <c r="P24" s="62" t="str">
        <f t="shared" si="1"/>
        <v>a</v>
      </c>
      <c r="Q24" s="308"/>
      <c r="R24" s="302"/>
      <c r="S24" s="302"/>
      <c r="T24" s="137"/>
      <c r="U24" s="61">
        <v>1</v>
      </c>
      <c r="V24" s="62">
        <f t="shared" si="2"/>
        <v>1</v>
      </c>
      <c r="W24" s="62">
        <f t="shared" si="2"/>
        <v>1</v>
      </c>
      <c r="X24" s="62">
        <f t="shared" si="2"/>
        <v>1</v>
      </c>
      <c r="Y24" s="308"/>
      <c r="Z24" s="302"/>
      <c r="AA24" s="302"/>
      <c r="AB24" s="137"/>
      <c r="AC24" s="61">
        <v>1</v>
      </c>
      <c r="AD24" s="62">
        <f t="shared" si="3"/>
        <v>1</v>
      </c>
      <c r="AE24" s="62">
        <f t="shared" si="3"/>
        <v>1</v>
      </c>
      <c r="AF24" s="62">
        <f t="shared" si="3"/>
        <v>1</v>
      </c>
      <c r="AG24" s="308"/>
      <c r="AH24" s="302"/>
      <c r="AI24" s="302"/>
      <c r="AJ24" s="137"/>
      <c r="AK24" s="135"/>
      <c r="AL24" s="302"/>
      <c r="AM24" s="302"/>
      <c r="AN24" s="302"/>
      <c r="AO24" s="302"/>
      <c r="AP24" s="302"/>
      <c r="AQ24" s="302"/>
      <c r="AR24" s="137"/>
      <c r="AS24" s="135"/>
      <c r="AT24" s="302"/>
      <c r="AU24" s="302"/>
      <c r="AV24" s="302"/>
      <c r="AW24" s="302"/>
      <c r="AX24" s="302"/>
      <c r="AY24" s="302"/>
      <c r="AZ24" s="137"/>
      <c r="BA24" s="37">
        <f t="shared" si="4"/>
        <v>12</v>
      </c>
      <c r="BB24" s="9">
        <f t="shared" si="5"/>
        <v>508</v>
      </c>
      <c r="BC24" s="10">
        <f t="shared" si="6"/>
        <v>85</v>
      </c>
    </row>
    <row r="25" spans="1:55" ht="15" customHeight="1" x14ac:dyDescent="0.35">
      <c r="A25" s="29">
        <v>820323205078</v>
      </c>
      <c r="B25" s="30" t="s">
        <v>35</v>
      </c>
      <c r="C25" s="12"/>
      <c r="D25" s="7">
        <v>486</v>
      </c>
      <c r="E25" s="61">
        <v>1</v>
      </c>
      <c r="F25" s="62">
        <f t="shared" si="7"/>
        <v>1</v>
      </c>
      <c r="G25" s="62">
        <f t="shared" si="7"/>
        <v>1</v>
      </c>
      <c r="H25" s="62">
        <f t="shared" si="7"/>
        <v>1</v>
      </c>
      <c r="I25" s="308"/>
      <c r="J25" s="302"/>
      <c r="K25" s="302"/>
      <c r="L25" s="137"/>
      <c r="M25" s="61" t="s">
        <v>124</v>
      </c>
      <c r="N25" s="62" t="str">
        <f t="shared" si="1"/>
        <v>a</v>
      </c>
      <c r="O25" s="62" t="str">
        <f t="shared" si="1"/>
        <v>a</v>
      </c>
      <c r="P25" s="62" t="str">
        <f t="shared" si="1"/>
        <v>a</v>
      </c>
      <c r="Q25" s="308"/>
      <c r="R25" s="302"/>
      <c r="S25" s="302"/>
      <c r="T25" s="137"/>
      <c r="U25" s="61" t="s">
        <v>124</v>
      </c>
      <c r="V25" s="62" t="str">
        <f t="shared" si="2"/>
        <v>a</v>
      </c>
      <c r="W25" s="62" t="str">
        <f t="shared" si="2"/>
        <v>a</v>
      </c>
      <c r="X25" s="62" t="str">
        <f t="shared" si="2"/>
        <v>a</v>
      </c>
      <c r="Y25" s="308"/>
      <c r="Z25" s="302"/>
      <c r="AA25" s="302"/>
      <c r="AB25" s="137"/>
      <c r="AC25" s="61">
        <v>1</v>
      </c>
      <c r="AD25" s="62">
        <f t="shared" si="3"/>
        <v>1</v>
      </c>
      <c r="AE25" s="62">
        <f t="shared" si="3"/>
        <v>1</v>
      </c>
      <c r="AF25" s="62">
        <f t="shared" si="3"/>
        <v>1</v>
      </c>
      <c r="AG25" s="308"/>
      <c r="AH25" s="302"/>
      <c r="AI25" s="302"/>
      <c r="AJ25" s="137"/>
      <c r="AK25" s="135"/>
      <c r="AL25" s="302"/>
      <c r="AM25" s="302"/>
      <c r="AN25" s="302"/>
      <c r="AO25" s="302"/>
      <c r="AP25" s="302"/>
      <c r="AQ25" s="302"/>
      <c r="AR25" s="137"/>
      <c r="AS25" s="135"/>
      <c r="AT25" s="302"/>
      <c r="AU25" s="302"/>
      <c r="AV25" s="302"/>
      <c r="AW25" s="302"/>
      <c r="AX25" s="302"/>
      <c r="AY25" s="302"/>
      <c r="AZ25" s="137"/>
      <c r="BA25" s="37">
        <f t="shared" si="4"/>
        <v>8</v>
      </c>
      <c r="BB25" s="9">
        <f t="shared" si="5"/>
        <v>494</v>
      </c>
      <c r="BC25" s="10">
        <f t="shared" si="6"/>
        <v>83</v>
      </c>
    </row>
    <row r="26" spans="1:55" ht="15" customHeight="1" x14ac:dyDescent="0.35">
      <c r="A26" s="29">
        <v>820323205079</v>
      </c>
      <c r="B26" s="30" t="s">
        <v>36</v>
      </c>
      <c r="C26" s="11"/>
      <c r="D26" s="7">
        <v>483</v>
      </c>
      <c r="E26" s="61">
        <v>1</v>
      </c>
      <c r="F26" s="62">
        <f t="shared" si="7"/>
        <v>1</v>
      </c>
      <c r="G26" s="62">
        <f t="shared" si="7"/>
        <v>1</v>
      </c>
      <c r="H26" s="62">
        <f t="shared" si="7"/>
        <v>1</v>
      </c>
      <c r="I26" s="308"/>
      <c r="J26" s="302"/>
      <c r="K26" s="302"/>
      <c r="L26" s="137"/>
      <c r="M26" s="61" t="s">
        <v>124</v>
      </c>
      <c r="N26" s="62" t="str">
        <f t="shared" ref="N26:T41" si="8">M26</f>
        <v>a</v>
      </c>
      <c r="O26" s="62" t="str">
        <f t="shared" si="8"/>
        <v>a</v>
      </c>
      <c r="P26" s="62" t="str">
        <f t="shared" si="8"/>
        <v>a</v>
      </c>
      <c r="Q26" s="308"/>
      <c r="R26" s="302"/>
      <c r="S26" s="302"/>
      <c r="T26" s="137"/>
      <c r="U26" s="61" t="s">
        <v>124</v>
      </c>
      <c r="V26" s="62" t="str">
        <f t="shared" ref="V26:AB41" si="9">U26</f>
        <v>a</v>
      </c>
      <c r="W26" s="62" t="str">
        <f t="shared" si="9"/>
        <v>a</v>
      </c>
      <c r="X26" s="62" t="str">
        <f t="shared" si="9"/>
        <v>a</v>
      </c>
      <c r="Y26" s="308"/>
      <c r="Z26" s="302"/>
      <c r="AA26" s="302"/>
      <c r="AB26" s="137"/>
      <c r="AC26" s="61">
        <v>1</v>
      </c>
      <c r="AD26" s="62">
        <f t="shared" ref="AD26:AJ41" si="10">AC26</f>
        <v>1</v>
      </c>
      <c r="AE26" s="62">
        <f t="shared" si="10"/>
        <v>1</v>
      </c>
      <c r="AF26" s="62">
        <f t="shared" si="10"/>
        <v>1</v>
      </c>
      <c r="AG26" s="308"/>
      <c r="AH26" s="302"/>
      <c r="AI26" s="302"/>
      <c r="AJ26" s="137"/>
      <c r="AK26" s="135"/>
      <c r="AL26" s="302"/>
      <c r="AM26" s="302"/>
      <c r="AN26" s="302"/>
      <c r="AO26" s="302"/>
      <c r="AP26" s="302"/>
      <c r="AQ26" s="302"/>
      <c r="AR26" s="137"/>
      <c r="AS26" s="135"/>
      <c r="AT26" s="302"/>
      <c r="AU26" s="302"/>
      <c r="AV26" s="302"/>
      <c r="AW26" s="302"/>
      <c r="AX26" s="302"/>
      <c r="AY26" s="302"/>
      <c r="AZ26" s="137"/>
      <c r="BA26" s="37">
        <f t="shared" si="4"/>
        <v>8</v>
      </c>
      <c r="BB26" s="9">
        <f t="shared" si="5"/>
        <v>491</v>
      </c>
      <c r="BC26" s="10">
        <f t="shared" si="6"/>
        <v>82</v>
      </c>
    </row>
    <row r="27" spans="1:55" ht="15" customHeight="1" x14ac:dyDescent="0.35">
      <c r="A27" s="29">
        <v>820323205080</v>
      </c>
      <c r="B27" s="30" t="s">
        <v>37</v>
      </c>
      <c r="C27" s="11"/>
      <c r="D27" s="7">
        <v>525</v>
      </c>
      <c r="E27" s="61">
        <v>1</v>
      </c>
      <c r="F27" s="62">
        <f t="shared" si="7"/>
        <v>1</v>
      </c>
      <c r="G27" s="62">
        <f t="shared" si="7"/>
        <v>1</v>
      </c>
      <c r="H27" s="62">
        <f t="shared" si="7"/>
        <v>1</v>
      </c>
      <c r="I27" s="308"/>
      <c r="J27" s="302"/>
      <c r="K27" s="302"/>
      <c r="L27" s="137"/>
      <c r="M27" s="61" t="s">
        <v>124</v>
      </c>
      <c r="N27" s="62" t="str">
        <f t="shared" si="8"/>
        <v>a</v>
      </c>
      <c r="O27" s="62" t="str">
        <f t="shared" si="8"/>
        <v>a</v>
      </c>
      <c r="P27" s="62" t="str">
        <f t="shared" si="8"/>
        <v>a</v>
      </c>
      <c r="Q27" s="308"/>
      <c r="R27" s="302"/>
      <c r="S27" s="302"/>
      <c r="T27" s="137"/>
      <c r="U27" s="61" t="s">
        <v>124</v>
      </c>
      <c r="V27" s="62" t="str">
        <f t="shared" si="9"/>
        <v>a</v>
      </c>
      <c r="W27" s="62" t="str">
        <f t="shared" si="9"/>
        <v>a</v>
      </c>
      <c r="X27" s="62" t="str">
        <f t="shared" si="9"/>
        <v>a</v>
      </c>
      <c r="Y27" s="308"/>
      <c r="Z27" s="302"/>
      <c r="AA27" s="302"/>
      <c r="AB27" s="137"/>
      <c r="AC27" s="61">
        <v>1</v>
      </c>
      <c r="AD27" s="62">
        <f t="shared" si="10"/>
        <v>1</v>
      </c>
      <c r="AE27" s="62">
        <f t="shared" si="10"/>
        <v>1</v>
      </c>
      <c r="AF27" s="62">
        <f t="shared" si="10"/>
        <v>1</v>
      </c>
      <c r="AG27" s="308"/>
      <c r="AH27" s="302"/>
      <c r="AI27" s="302"/>
      <c r="AJ27" s="137"/>
      <c r="AK27" s="135"/>
      <c r="AL27" s="302"/>
      <c r="AM27" s="302"/>
      <c r="AN27" s="302"/>
      <c r="AO27" s="302"/>
      <c r="AP27" s="302"/>
      <c r="AQ27" s="302"/>
      <c r="AR27" s="137"/>
      <c r="AS27" s="135"/>
      <c r="AT27" s="302"/>
      <c r="AU27" s="302"/>
      <c r="AV27" s="302"/>
      <c r="AW27" s="302"/>
      <c r="AX27" s="302"/>
      <c r="AY27" s="302"/>
      <c r="AZ27" s="137"/>
      <c r="BA27" s="37">
        <f t="shared" si="4"/>
        <v>8</v>
      </c>
      <c r="BB27" s="9">
        <f t="shared" si="5"/>
        <v>533</v>
      </c>
      <c r="BC27" s="10">
        <f t="shared" si="6"/>
        <v>89</v>
      </c>
    </row>
    <row r="28" spans="1:55" ht="15" customHeight="1" x14ac:dyDescent="0.35">
      <c r="A28" s="29">
        <v>820323205081</v>
      </c>
      <c r="B28" s="30" t="s">
        <v>38</v>
      </c>
      <c r="C28" s="13"/>
      <c r="D28" s="7">
        <v>525</v>
      </c>
      <c r="E28" s="61">
        <v>1</v>
      </c>
      <c r="F28" s="62">
        <f t="shared" ref="F28:L43" si="11">E28</f>
        <v>1</v>
      </c>
      <c r="G28" s="62">
        <f t="shared" si="11"/>
        <v>1</v>
      </c>
      <c r="H28" s="62">
        <f t="shared" si="11"/>
        <v>1</v>
      </c>
      <c r="I28" s="308"/>
      <c r="J28" s="302"/>
      <c r="K28" s="302"/>
      <c r="L28" s="137"/>
      <c r="M28" s="61" t="s">
        <v>124</v>
      </c>
      <c r="N28" s="62" t="str">
        <f t="shared" si="8"/>
        <v>a</v>
      </c>
      <c r="O28" s="62" t="str">
        <f t="shared" si="8"/>
        <v>a</v>
      </c>
      <c r="P28" s="62" t="str">
        <f t="shared" si="8"/>
        <v>a</v>
      </c>
      <c r="Q28" s="308"/>
      <c r="R28" s="302"/>
      <c r="S28" s="302"/>
      <c r="T28" s="137"/>
      <c r="U28" s="61">
        <v>1</v>
      </c>
      <c r="V28" s="62">
        <f t="shared" si="9"/>
        <v>1</v>
      </c>
      <c r="W28" s="62">
        <f t="shared" si="9"/>
        <v>1</v>
      </c>
      <c r="X28" s="62">
        <f t="shared" si="9"/>
        <v>1</v>
      </c>
      <c r="Y28" s="308"/>
      <c r="Z28" s="302"/>
      <c r="AA28" s="302"/>
      <c r="AB28" s="137"/>
      <c r="AC28" s="61">
        <v>1</v>
      </c>
      <c r="AD28" s="62">
        <f t="shared" si="10"/>
        <v>1</v>
      </c>
      <c r="AE28" s="62">
        <f t="shared" si="10"/>
        <v>1</v>
      </c>
      <c r="AF28" s="62">
        <f t="shared" si="10"/>
        <v>1</v>
      </c>
      <c r="AG28" s="308"/>
      <c r="AH28" s="302"/>
      <c r="AI28" s="302"/>
      <c r="AJ28" s="137"/>
      <c r="AK28" s="135"/>
      <c r="AL28" s="302"/>
      <c r="AM28" s="302"/>
      <c r="AN28" s="302"/>
      <c r="AO28" s="302"/>
      <c r="AP28" s="302"/>
      <c r="AQ28" s="302"/>
      <c r="AR28" s="137"/>
      <c r="AS28" s="135"/>
      <c r="AT28" s="302"/>
      <c r="AU28" s="302"/>
      <c r="AV28" s="302"/>
      <c r="AW28" s="302"/>
      <c r="AX28" s="302"/>
      <c r="AY28" s="302"/>
      <c r="AZ28" s="137"/>
      <c r="BA28" s="37">
        <f t="shared" si="4"/>
        <v>12</v>
      </c>
      <c r="BB28" s="9">
        <f t="shared" si="5"/>
        <v>537</v>
      </c>
      <c r="BC28" s="10">
        <f t="shared" si="6"/>
        <v>90</v>
      </c>
    </row>
    <row r="29" spans="1:55" ht="15" customHeight="1" x14ac:dyDescent="0.35">
      <c r="A29" s="29">
        <v>820323205082</v>
      </c>
      <c r="B29" s="30" t="s">
        <v>39</v>
      </c>
      <c r="C29" s="13"/>
      <c r="D29" s="7">
        <v>456</v>
      </c>
      <c r="E29" s="61">
        <v>1</v>
      </c>
      <c r="F29" s="62">
        <f t="shared" si="11"/>
        <v>1</v>
      </c>
      <c r="G29" s="62">
        <f t="shared" si="11"/>
        <v>1</v>
      </c>
      <c r="H29" s="62">
        <f t="shared" si="11"/>
        <v>1</v>
      </c>
      <c r="I29" s="308"/>
      <c r="J29" s="302"/>
      <c r="K29" s="302"/>
      <c r="L29" s="137"/>
      <c r="M29" s="61" t="s">
        <v>124</v>
      </c>
      <c r="N29" s="62" t="str">
        <f t="shared" si="8"/>
        <v>a</v>
      </c>
      <c r="O29" s="62" t="str">
        <f t="shared" si="8"/>
        <v>a</v>
      </c>
      <c r="P29" s="62" t="str">
        <f t="shared" si="8"/>
        <v>a</v>
      </c>
      <c r="Q29" s="308"/>
      <c r="R29" s="302"/>
      <c r="S29" s="302"/>
      <c r="T29" s="137"/>
      <c r="U29" s="61">
        <v>1</v>
      </c>
      <c r="V29" s="62">
        <f t="shared" si="9"/>
        <v>1</v>
      </c>
      <c r="W29" s="62">
        <f t="shared" si="9"/>
        <v>1</v>
      </c>
      <c r="X29" s="62">
        <f t="shared" si="9"/>
        <v>1</v>
      </c>
      <c r="Y29" s="308"/>
      <c r="Z29" s="302"/>
      <c r="AA29" s="302"/>
      <c r="AB29" s="137"/>
      <c r="AC29" s="61">
        <v>1</v>
      </c>
      <c r="AD29" s="62">
        <f t="shared" si="10"/>
        <v>1</v>
      </c>
      <c r="AE29" s="62">
        <f t="shared" si="10"/>
        <v>1</v>
      </c>
      <c r="AF29" s="62">
        <f t="shared" si="10"/>
        <v>1</v>
      </c>
      <c r="AG29" s="308"/>
      <c r="AH29" s="302"/>
      <c r="AI29" s="302"/>
      <c r="AJ29" s="137"/>
      <c r="AK29" s="135"/>
      <c r="AL29" s="302"/>
      <c r="AM29" s="302"/>
      <c r="AN29" s="302"/>
      <c r="AO29" s="302"/>
      <c r="AP29" s="302"/>
      <c r="AQ29" s="302"/>
      <c r="AR29" s="137"/>
      <c r="AS29" s="135"/>
      <c r="AT29" s="302"/>
      <c r="AU29" s="302"/>
      <c r="AV29" s="302"/>
      <c r="AW29" s="302"/>
      <c r="AX29" s="302"/>
      <c r="AY29" s="302"/>
      <c r="AZ29" s="137"/>
      <c r="BA29" s="37">
        <f t="shared" si="4"/>
        <v>12</v>
      </c>
      <c r="BB29" s="9">
        <f t="shared" si="5"/>
        <v>468</v>
      </c>
      <c r="BC29" s="10">
        <f t="shared" si="6"/>
        <v>78</v>
      </c>
    </row>
    <row r="30" spans="1:55" ht="15" customHeight="1" x14ac:dyDescent="0.35">
      <c r="A30" s="29">
        <v>820323205083</v>
      </c>
      <c r="B30" s="30" t="s">
        <v>40</v>
      </c>
      <c r="C30" s="11"/>
      <c r="D30" s="7">
        <v>495</v>
      </c>
      <c r="E30" s="61">
        <v>1</v>
      </c>
      <c r="F30" s="62">
        <f t="shared" si="11"/>
        <v>1</v>
      </c>
      <c r="G30" s="62">
        <f t="shared" si="11"/>
        <v>1</v>
      </c>
      <c r="H30" s="62">
        <f t="shared" si="11"/>
        <v>1</v>
      </c>
      <c r="I30" s="308"/>
      <c r="J30" s="302"/>
      <c r="K30" s="302"/>
      <c r="L30" s="137"/>
      <c r="M30" s="61" t="s">
        <v>124</v>
      </c>
      <c r="N30" s="62" t="str">
        <f t="shared" si="8"/>
        <v>a</v>
      </c>
      <c r="O30" s="62" t="str">
        <f t="shared" si="8"/>
        <v>a</v>
      </c>
      <c r="P30" s="62" t="str">
        <f t="shared" si="8"/>
        <v>a</v>
      </c>
      <c r="Q30" s="308"/>
      <c r="R30" s="302"/>
      <c r="S30" s="302"/>
      <c r="T30" s="137"/>
      <c r="U30" s="61">
        <v>1</v>
      </c>
      <c r="V30" s="62">
        <f t="shared" si="9"/>
        <v>1</v>
      </c>
      <c r="W30" s="62">
        <f t="shared" si="9"/>
        <v>1</v>
      </c>
      <c r="X30" s="62">
        <f t="shared" si="9"/>
        <v>1</v>
      </c>
      <c r="Y30" s="308"/>
      <c r="Z30" s="302"/>
      <c r="AA30" s="302"/>
      <c r="AB30" s="137"/>
      <c r="AC30" s="61">
        <v>1</v>
      </c>
      <c r="AD30" s="62">
        <f t="shared" si="10"/>
        <v>1</v>
      </c>
      <c r="AE30" s="62">
        <f t="shared" si="10"/>
        <v>1</v>
      </c>
      <c r="AF30" s="62">
        <f t="shared" si="10"/>
        <v>1</v>
      </c>
      <c r="AG30" s="308"/>
      <c r="AH30" s="302"/>
      <c r="AI30" s="302"/>
      <c r="AJ30" s="137"/>
      <c r="AK30" s="135"/>
      <c r="AL30" s="302"/>
      <c r="AM30" s="302"/>
      <c r="AN30" s="302"/>
      <c r="AO30" s="302"/>
      <c r="AP30" s="302"/>
      <c r="AQ30" s="302"/>
      <c r="AR30" s="137"/>
      <c r="AS30" s="135"/>
      <c r="AT30" s="302"/>
      <c r="AU30" s="302"/>
      <c r="AV30" s="302"/>
      <c r="AW30" s="302"/>
      <c r="AX30" s="302"/>
      <c r="AY30" s="302"/>
      <c r="AZ30" s="137"/>
      <c r="BA30" s="37">
        <f t="shared" si="4"/>
        <v>12</v>
      </c>
      <c r="BB30" s="9">
        <f t="shared" si="5"/>
        <v>507</v>
      </c>
      <c r="BC30" s="10">
        <f t="shared" si="6"/>
        <v>85</v>
      </c>
    </row>
    <row r="31" spans="1:55" ht="15" customHeight="1" x14ac:dyDescent="0.35">
      <c r="A31" s="29">
        <v>820323205084</v>
      </c>
      <c r="B31" s="30" t="s">
        <v>41</v>
      </c>
      <c r="C31" s="11"/>
      <c r="D31" s="7">
        <v>509</v>
      </c>
      <c r="E31" s="61">
        <v>1</v>
      </c>
      <c r="F31" s="62">
        <f t="shared" si="11"/>
        <v>1</v>
      </c>
      <c r="G31" s="62">
        <f t="shared" si="11"/>
        <v>1</v>
      </c>
      <c r="H31" s="62">
        <f t="shared" si="11"/>
        <v>1</v>
      </c>
      <c r="I31" s="308"/>
      <c r="J31" s="302"/>
      <c r="K31" s="302"/>
      <c r="L31" s="137"/>
      <c r="M31" s="61" t="s">
        <v>124</v>
      </c>
      <c r="N31" s="62" t="str">
        <f t="shared" si="8"/>
        <v>a</v>
      </c>
      <c r="O31" s="62" t="str">
        <f t="shared" si="8"/>
        <v>a</v>
      </c>
      <c r="P31" s="62" t="str">
        <f t="shared" si="8"/>
        <v>a</v>
      </c>
      <c r="Q31" s="308"/>
      <c r="R31" s="302"/>
      <c r="S31" s="302"/>
      <c r="T31" s="137"/>
      <c r="U31" s="61" t="s">
        <v>124</v>
      </c>
      <c r="V31" s="62" t="str">
        <f t="shared" si="9"/>
        <v>a</v>
      </c>
      <c r="W31" s="62" t="str">
        <f t="shared" si="9"/>
        <v>a</v>
      </c>
      <c r="X31" s="62" t="str">
        <f t="shared" si="9"/>
        <v>a</v>
      </c>
      <c r="Y31" s="308"/>
      <c r="Z31" s="302"/>
      <c r="AA31" s="302"/>
      <c r="AB31" s="137"/>
      <c r="AC31" s="61">
        <v>1</v>
      </c>
      <c r="AD31" s="62">
        <f t="shared" si="10"/>
        <v>1</v>
      </c>
      <c r="AE31" s="62">
        <f t="shared" si="10"/>
        <v>1</v>
      </c>
      <c r="AF31" s="62">
        <f t="shared" si="10"/>
        <v>1</v>
      </c>
      <c r="AG31" s="308"/>
      <c r="AH31" s="302"/>
      <c r="AI31" s="302"/>
      <c r="AJ31" s="137"/>
      <c r="AK31" s="135"/>
      <c r="AL31" s="302"/>
      <c r="AM31" s="302"/>
      <c r="AN31" s="302"/>
      <c r="AO31" s="302"/>
      <c r="AP31" s="302"/>
      <c r="AQ31" s="302"/>
      <c r="AR31" s="137"/>
      <c r="AS31" s="135"/>
      <c r="AT31" s="302"/>
      <c r="AU31" s="302"/>
      <c r="AV31" s="302"/>
      <c r="AW31" s="302"/>
      <c r="AX31" s="302"/>
      <c r="AY31" s="302"/>
      <c r="AZ31" s="137"/>
      <c r="BA31" s="37">
        <f t="shared" si="4"/>
        <v>8</v>
      </c>
      <c r="BB31" s="9">
        <f t="shared" si="5"/>
        <v>517</v>
      </c>
      <c r="BC31" s="10">
        <f t="shared" si="6"/>
        <v>87</v>
      </c>
    </row>
    <row r="32" spans="1:55" ht="15" customHeight="1" x14ac:dyDescent="0.35">
      <c r="A32" s="29">
        <v>820323205085</v>
      </c>
      <c r="B32" s="30" t="s">
        <v>42</v>
      </c>
      <c r="C32" s="11"/>
      <c r="D32" s="7">
        <v>492</v>
      </c>
      <c r="E32" s="61">
        <v>1</v>
      </c>
      <c r="F32" s="62">
        <f t="shared" si="11"/>
        <v>1</v>
      </c>
      <c r="G32" s="62">
        <f t="shared" si="11"/>
        <v>1</v>
      </c>
      <c r="H32" s="62">
        <f t="shared" si="11"/>
        <v>1</v>
      </c>
      <c r="I32" s="308"/>
      <c r="J32" s="302"/>
      <c r="K32" s="302"/>
      <c r="L32" s="137"/>
      <c r="M32" s="61" t="s">
        <v>124</v>
      </c>
      <c r="N32" s="62" t="str">
        <f t="shared" si="8"/>
        <v>a</v>
      </c>
      <c r="O32" s="62" t="str">
        <f t="shared" si="8"/>
        <v>a</v>
      </c>
      <c r="P32" s="62" t="str">
        <f t="shared" si="8"/>
        <v>a</v>
      </c>
      <c r="Q32" s="308"/>
      <c r="R32" s="302"/>
      <c r="S32" s="302"/>
      <c r="T32" s="137"/>
      <c r="U32" s="61" t="s">
        <v>124</v>
      </c>
      <c r="V32" s="62" t="str">
        <f t="shared" si="9"/>
        <v>a</v>
      </c>
      <c r="W32" s="62" t="str">
        <f t="shared" si="9"/>
        <v>a</v>
      </c>
      <c r="X32" s="62" t="str">
        <f t="shared" si="9"/>
        <v>a</v>
      </c>
      <c r="Y32" s="308"/>
      <c r="Z32" s="302"/>
      <c r="AA32" s="302"/>
      <c r="AB32" s="137"/>
      <c r="AC32" s="61">
        <v>1</v>
      </c>
      <c r="AD32" s="62">
        <f t="shared" si="10"/>
        <v>1</v>
      </c>
      <c r="AE32" s="62">
        <f t="shared" si="10"/>
        <v>1</v>
      </c>
      <c r="AF32" s="62">
        <f t="shared" si="10"/>
        <v>1</v>
      </c>
      <c r="AG32" s="308"/>
      <c r="AH32" s="302"/>
      <c r="AI32" s="302"/>
      <c r="AJ32" s="137"/>
      <c r="AK32" s="135"/>
      <c r="AL32" s="302"/>
      <c r="AM32" s="302"/>
      <c r="AN32" s="302"/>
      <c r="AO32" s="302"/>
      <c r="AP32" s="302"/>
      <c r="AQ32" s="302"/>
      <c r="AR32" s="137"/>
      <c r="AS32" s="135"/>
      <c r="AT32" s="302"/>
      <c r="AU32" s="302"/>
      <c r="AV32" s="302"/>
      <c r="AW32" s="302"/>
      <c r="AX32" s="302"/>
      <c r="AY32" s="302"/>
      <c r="AZ32" s="137"/>
      <c r="BA32" s="37">
        <f t="shared" si="4"/>
        <v>8</v>
      </c>
      <c r="BB32" s="9">
        <f t="shared" si="5"/>
        <v>500</v>
      </c>
      <c r="BC32" s="10">
        <f t="shared" si="6"/>
        <v>84</v>
      </c>
    </row>
    <row r="33" spans="1:55" ht="15" customHeight="1" x14ac:dyDescent="0.35">
      <c r="A33" s="29">
        <v>820323205086</v>
      </c>
      <c r="B33" s="30" t="s">
        <v>43</v>
      </c>
      <c r="C33" s="11"/>
      <c r="D33" s="7">
        <v>527</v>
      </c>
      <c r="E33" s="61">
        <v>1</v>
      </c>
      <c r="F33" s="62">
        <f t="shared" si="11"/>
        <v>1</v>
      </c>
      <c r="G33" s="62">
        <f t="shared" si="11"/>
        <v>1</v>
      </c>
      <c r="H33" s="62">
        <f t="shared" si="11"/>
        <v>1</v>
      </c>
      <c r="I33" s="308"/>
      <c r="J33" s="302"/>
      <c r="K33" s="302"/>
      <c r="L33" s="137"/>
      <c r="M33" s="61">
        <v>1</v>
      </c>
      <c r="N33" s="62">
        <f t="shared" si="8"/>
        <v>1</v>
      </c>
      <c r="O33" s="62">
        <f t="shared" si="8"/>
        <v>1</v>
      </c>
      <c r="P33" s="62">
        <f t="shared" si="8"/>
        <v>1</v>
      </c>
      <c r="Q33" s="308"/>
      <c r="R33" s="302"/>
      <c r="S33" s="302"/>
      <c r="T33" s="137"/>
      <c r="U33" s="61" t="s">
        <v>124</v>
      </c>
      <c r="V33" s="62" t="str">
        <f t="shared" si="9"/>
        <v>a</v>
      </c>
      <c r="W33" s="62" t="str">
        <f t="shared" si="9"/>
        <v>a</v>
      </c>
      <c r="X33" s="62" t="str">
        <f t="shared" si="9"/>
        <v>a</v>
      </c>
      <c r="Y33" s="308"/>
      <c r="Z33" s="302"/>
      <c r="AA33" s="302"/>
      <c r="AB33" s="137"/>
      <c r="AC33" s="61">
        <v>1</v>
      </c>
      <c r="AD33" s="62">
        <f t="shared" si="10"/>
        <v>1</v>
      </c>
      <c r="AE33" s="62">
        <f t="shared" si="10"/>
        <v>1</v>
      </c>
      <c r="AF33" s="62">
        <f t="shared" si="10"/>
        <v>1</v>
      </c>
      <c r="AG33" s="308"/>
      <c r="AH33" s="302"/>
      <c r="AI33" s="302"/>
      <c r="AJ33" s="137"/>
      <c r="AK33" s="135"/>
      <c r="AL33" s="302"/>
      <c r="AM33" s="302"/>
      <c r="AN33" s="302"/>
      <c r="AO33" s="302"/>
      <c r="AP33" s="302"/>
      <c r="AQ33" s="302"/>
      <c r="AR33" s="137"/>
      <c r="AS33" s="135"/>
      <c r="AT33" s="302"/>
      <c r="AU33" s="302"/>
      <c r="AV33" s="302"/>
      <c r="AW33" s="302"/>
      <c r="AX33" s="302"/>
      <c r="AY33" s="302"/>
      <c r="AZ33" s="137"/>
      <c r="BA33" s="37">
        <f t="shared" si="4"/>
        <v>12</v>
      </c>
      <c r="BB33" s="9">
        <f t="shared" si="5"/>
        <v>539</v>
      </c>
      <c r="BC33" s="10">
        <f t="shared" si="6"/>
        <v>90</v>
      </c>
    </row>
    <row r="34" spans="1:55" ht="15" customHeight="1" x14ac:dyDescent="0.35">
      <c r="A34" s="29">
        <v>820323205087</v>
      </c>
      <c r="B34" s="30" t="s">
        <v>44</v>
      </c>
      <c r="C34" s="14"/>
      <c r="D34" s="7">
        <v>462</v>
      </c>
      <c r="E34" s="61">
        <v>1</v>
      </c>
      <c r="F34" s="62">
        <f t="shared" si="11"/>
        <v>1</v>
      </c>
      <c r="G34" s="62">
        <f t="shared" si="11"/>
        <v>1</v>
      </c>
      <c r="H34" s="62">
        <f t="shared" si="11"/>
        <v>1</v>
      </c>
      <c r="I34" s="308"/>
      <c r="J34" s="302"/>
      <c r="K34" s="302"/>
      <c r="L34" s="137"/>
      <c r="M34" s="61" t="s">
        <v>124</v>
      </c>
      <c r="N34" s="62" t="str">
        <f t="shared" si="8"/>
        <v>a</v>
      </c>
      <c r="O34" s="62" t="str">
        <f t="shared" si="8"/>
        <v>a</v>
      </c>
      <c r="P34" s="62" t="str">
        <f t="shared" si="8"/>
        <v>a</v>
      </c>
      <c r="Q34" s="308"/>
      <c r="R34" s="302"/>
      <c r="S34" s="302"/>
      <c r="T34" s="137"/>
      <c r="U34" s="61" t="s">
        <v>124</v>
      </c>
      <c r="V34" s="62" t="str">
        <f t="shared" si="9"/>
        <v>a</v>
      </c>
      <c r="W34" s="62" t="str">
        <f t="shared" si="9"/>
        <v>a</v>
      </c>
      <c r="X34" s="62" t="str">
        <f t="shared" si="9"/>
        <v>a</v>
      </c>
      <c r="Y34" s="308"/>
      <c r="Z34" s="302"/>
      <c r="AA34" s="302"/>
      <c r="AB34" s="137"/>
      <c r="AC34" s="61">
        <v>1</v>
      </c>
      <c r="AD34" s="62">
        <f t="shared" si="10"/>
        <v>1</v>
      </c>
      <c r="AE34" s="62">
        <f t="shared" si="10"/>
        <v>1</v>
      </c>
      <c r="AF34" s="62">
        <f t="shared" si="10"/>
        <v>1</v>
      </c>
      <c r="AG34" s="308"/>
      <c r="AH34" s="302"/>
      <c r="AI34" s="302"/>
      <c r="AJ34" s="137"/>
      <c r="AK34" s="135"/>
      <c r="AL34" s="302"/>
      <c r="AM34" s="302"/>
      <c r="AN34" s="302"/>
      <c r="AO34" s="302"/>
      <c r="AP34" s="302"/>
      <c r="AQ34" s="302"/>
      <c r="AR34" s="137"/>
      <c r="AS34" s="135"/>
      <c r="AT34" s="302"/>
      <c r="AU34" s="302"/>
      <c r="AV34" s="302"/>
      <c r="AW34" s="302"/>
      <c r="AX34" s="302"/>
      <c r="AY34" s="302"/>
      <c r="AZ34" s="137"/>
      <c r="BA34" s="37">
        <f t="shared" si="4"/>
        <v>8</v>
      </c>
      <c r="BB34" s="9">
        <f t="shared" si="5"/>
        <v>470</v>
      </c>
      <c r="BC34" s="10">
        <f t="shared" si="6"/>
        <v>79</v>
      </c>
    </row>
    <row r="35" spans="1:55" ht="15" customHeight="1" x14ac:dyDescent="0.35">
      <c r="A35" s="29">
        <v>820323205088</v>
      </c>
      <c r="B35" s="30" t="s">
        <v>45</v>
      </c>
      <c r="C35" s="14"/>
      <c r="D35" s="7">
        <v>549</v>
      </c>
      <c r="E35" s="61">
        <v>1</v>
      </c>
      <c r="F35" s="62">
        <f t="shared" si="11"/>
        <v>1</v>
      </c>
      <c r="G35" s="62">
        <f t="shared" si="11"/>
        <v>1</v>
      </c>
      <c r="H35" s="62">
        <f t="shared" si="11"/>
        <v>1</v>
      </c>
      <c r="I35" s="308"/>
      <c r="J35" s="302"/>
      <c r="K35" s="302"/>
      <c r="L35" s="137"/>
      <c r="M35" s="61" t="s">
        <v>124</v>
      </c>
      <c r="N35" s="62" t="str">
        <f t="shared" si="8"/>
        <v>a</v>
      </c>
      <c r="O35" s="62" t="str">
        <f t="shared" si="8"/>
        <v>a</v>
      </c>
      <c r="P35" s="62" t="str">
        <f t="shared" si="8"/>
        <v>a</v>
      </c>
      <c r="Q35" s="308"/>
      <c r="R35" s="302"/>
      <c r="S35" s="302"/>
      <c r="T35" s="137"/>
      <c r="U35" s="61" t="s">
        <v>124</v>
      </c>
      <c r="V35" s="62" t="str">
        <f t="shared" si="9"/>
        <v>a</v>
      </c>
      <c r="W35" s="62" t="str">
        <f t="shared" si="9"/>
        <v>a</v>
      </c>
      <c r="X35" s="62" t="str">
        <f t="shared" si="9"/>
        <v>a</v>
      </c>
      <c r="Y35" s="308"/>
      <c r="Z35" s="302"/>
      <c r="AA35" s="302"/>
      <c r="AB35" s="137"/>
      <c r="AC35" s="61">
        <v>1</v>
      </c>
      <c r="AD35" s="62">
        <f t="shared" si="10"/>
        <v>1</v>
      </c>
      <c r="AE35" s="62">
        <f t="shared" si="10"/>
        <v>1</v>
      </c>
      <c r="AF35" s="62">
        <f t="shared" si="10"/>
        <v>1</v>
      </c>
      <c r="AG35" s="308"/>
      <c r="AH35" s="302"/>
      <c r="AI35" s="302"/>
      <c r="AJ35" s="137"/>
      <c r="AK35" s="135"/>
      <c r="AL35" s="302"/>
      <c r="AM35" s="302"/>
      <c r="AN35" s="302"/>
      <c r="AO35" s="302"/>
      <c r="AP35" s="302"/>
      <c r="AQ35" s="302"/>
      <c r="AR35" s="137"/>
      <c r="AS35" s="135"/>
      <c r="AT35" s="302"/>
      <c r="AU35" s="302"/>
      <c r="AV35" s="302"/>
      <c r="AW35" s="302"/>
      <c r="AX35" s="302"/>
      <c r="AY35" s="302"/>
      <c r="AZ35" s="137"/>
      <c r="BA35" s="37">
        <f t="shared" si="4"/>
        <v>8</v>
      </c>
      <c r="BB35" s="9">
        <f t="shared" si="5"/>
        <v>557</v>
      </c>
      <c r="BC35" s="10">
        <f t="shared" si="6"/>
        <v>93</v>
      </c>
    </row>
    <row r="36" spans="1:55" ht="15" customHeight="1" x14ac:dyDescent="0.35">
      <c r="A36" s="29">
        <v>820323205089</v>
      </c>
      <c r="B36" s="30" t="s">
        <v>46</v>
      </c>
      <c r="C36" s="14"/>
      <c r="D36" s="7">
        <v>473</v>
      </c>
      <c r="E36" s="61">
        <v>1</v>
      </c>
      <c r="F36" s="62">
        <f t="shared" si="11"/>
        <v>1</v>
      </c>
      <c r="G36" s="62">
        <f t="shared" si="11"/>
        <v>1</v>
      </c>
      <c r="H36" s="62">
        <f t="shared" si="11"/>
        <v>1</v>
      </c>
      <c r="I36" s="308"/>
      <c r="J36" s="302"/>
      <c r="K36" s="302"/>
      <c r="L36" s="137"/>
      <c r="M36" s="61" t="s">
        <v>124</v>
      </c>
      <c r="N36" s="62" t="str">
        <f t="shared" si="8"/>
        <v>a</v>
      </c>
      <c r="O36" s="62" t="str">
        <f t="shared" si="8"/>
        <v>a</v>
      </c>
      <c r="P36" s="62" t="str">
        <f t="shared" si="8"/>
        <v>a</v>
      </c>
      <c r="Q36" s="308"/>
      <c r="R36" s="302"/>
      <c r="S36" s="302"/>
      <c r="T36" s="137"/>
      <c r="U36" s="61">
        <v>1</v>
      </c>
      <c r="V36" s="62">
        <f t="shared" si="9"/>
        <v>1</v>
      </c>
      <c r="W36" s="62">
        <f t="shared" si="9"/>
        <v>1</v>
      </c>
      <c r="X36" s="62">
        <f t="shared" si="9"/>
        <v>1</v>
      </c>
      <c r="Y36" s="308"/>
      <c r="Z36" s="302"/>
      <c r="AA36" s="302"/>
      <c r="AB36" s="137"/>
      <c r="AC36" s="61">
        <v>1</v>
      </c>
      <c r="AD36" s="62">
        <f t="shared" si="10"/>
        <v>1</v>
      </c>
      <c r="AE36" s="62">
        <f t="shared" si="10"/>
        <v>1</v>
      </c>
      <c r="AF36" s="62">
        <f t="shared" si="10"/>
        <v>1</v>
      </c>
      <c r="AG36" s="308"/>
      <c r="AH36" s="302"/>
      <c r="AI36" s="302"/>
      <c r="AJ36" s="137"/>
      <c r="AK36" s="135"/>
      <c r="AL36" s="302"/>
      <c r="AM36" s="302"/>
      <c r="AN36" s="302"/>
      <c r="AO36" s="302"/>
      <c r="AP36" s="302"/>
      <c r="AQ36" s="302"/>
      <c r="AR36" s="137"/>
      <c r="AS36" s="135"/>
      <c r="AT36" s="302"/>
      <c r="AU36" s="302"/>
      <c r="AV36" s="302"/>
      <c r="AW36" s="302"/>
      <c r="AX36" s="302"/>
      <c r="AY36" s="302"/>
      <c r="AZ36" s="137"/>
      <c r="BA36" s="37">
        <f t="shared" si="4"/>
        <v>12</v>
      </c>
      <c r="BB36" s="9">
        <f t="shared" si="5"/>
        <v>485</v>
      </c>
      <c r="BC36" s="10">
        <f t="shared" si="6"/>
        <v>81</v>
      </c>
    </row>
    <row r="37" spans="1:55" ht="15" customHeight="1" thickBot="1" x14ac:dyDescent="0.4">
      <c r="A37" s="29">
        <v>820323205090</v>
      </c>
      <c r="B37" s="30" t="s">
        <v>47</v>
      </c>
      <c r="C37" s="15"/>
      <c r="D37" s="7">
        <v>549</v>
      </c>
      <c r="E37" s="61">
        <v>1</v>
      </c>
      <c r="F37" s="62">
        <f t="shared" si="11"/>
        <v>1</v>
      </c>
      <c r="G37" s="62">
        <f t="shared" si="11"/>
        <v>1</v>
      </c>
      <c r="H37" s="62">
        <f t="shared" si="11"/>
        <v>1</v>
      </c>
      <c r="I37" s="308"/>
      <c r="J37" s="302"/>
      <c r="K37" s="302"/>
      <c r="L37" s="137"/>
      <c r="M37" s="61" t="s">
        <v>124</v>
      </c>
      <c r="N37" s="62" t="str">
        <f t="shared" si="8"/>
        <v>a</v>
      </c>
      <c r="O37" s="62" t="str">
        <f t="shared" si="8"/>
        <v>a</v>
      </c>
      <c r="P37" s="62" t="str">
        <f t="shared" si="8"/>
        <v>a</v>
      </c>
      <c r="Q37" s="308"/>
      <c r="R37" s="302"/>
      <c r="S37" s="302"/>
      <c r="T37" s="137"/>
      <c r="U37" s="61" t="s">
        <v>124</v>
      </c>
      <c r="V37" s="62" t="str">
        <f t="shared" si="9"/>
        <v>a</v>
      </c>
      <c r="W37" s="62" t="str">
        <f t="shared" si="9"/>
        <v>a</v>
      </c>
      <c r="X37" s="62" t="str">
        <f t="shared" si="9"/>
        <v>a</v>
      </c>
      <c r="Y37" s="308"/>
      <c r="Z37" s="302"/>
      <c r="AA37" s="302"/>
      <c r="AB37" s="137"/>
      <c r="AC37" s="61">
        <v>1</v>
      </c>
      <c r="AD37" s="62">
        <f t="shared" si="10"/>
        <v>1</v>
      </c>
      <c r="AE37" s="62">
        <f t="shared" si="10"/>
        <v>1</v>
      </c>
      <c r="AF37" s="62">
        <f t="shared" si="10"/>
        <v>1</v>
      </c>
      <c r="AG37" s="308"/>
      <c r="AH37" s="302"/>
      <c r="AI37" s="302"/>
      <c r="AJ37" s="137"/>
      <c r="AK37" s="135"/>
      <c r="AL37" s="302"/>
      <c r="AM37" s="302"/>
      <c r="AN37" s="302"/>
      <c r="AO37" s="302"/>
      <c r="AP37" s="302"/>
      <c r="AQ37" s="302"/>
      <c r="AR37" s="137"/>
      <c r="AS37" s="135"/>
      <c r="AT37" s="302"/>
      <c r="AU37" s="302"/>
      <c r="AV37" s="302"/>
      <c r="AW37" s="302"/>
      <c r="AX37" s="302"/>
      <c r="AY37" s="302"/>
      <c r="AZ37" s="137"/>
      <c r="BA37" s="38">
        <f t="shared" si="4"/>
        <v>8</v>
      </c>
      <c r="BB37" s="9">
        <f t="shared" si="5"/>
        <v>557</v>
      </c>
      <c r="BC37" s="10">
        <f t="shared" si="6"/>
        <v>93</v>
      </c>
    </row>
    <row r="38" spans="1:55" ht="15" customHeight="1" x14ac:dyDescent="0.35">
      <c r="A38" s="29">
        <v>820323205091</v>
      </c>
      <c r="B38" s="30" t="s">
        <v>48</v>
      </c>
      <c r="C38" s="6"/>
      <c r="D38" s="46">
        <v>454</v>
      </c>
      <c r="E38" s="61">
        <v>1</v>
      </c>
      <c r="F38" s="62">
        <f t="shared" si="11"/>
        <v>1</v>
      </c>
      <c r="G38" s="62">
        <f t="shared" si="11"/>
        <v>1</v>
      </c>
      <c r="H38" s="62">
        <f t="shared" si="11"/>
        <v>1</v>
      </c>
      <c r="I38" s="308"/>
      <c r="J38" s="302"/>
      <c r="K38" s="302"/>
      <c r="L38" s="137"/>
      <c r="M38" s="61" t="s">
        <v>124</v>
      </c>
      <c r="N38" s="62" t="str">
        <f t="shared" si="8"/>
        <v>a</v>
      </c>
      <c r="O38" s="62" t="str">
        <f t="shared" si="8"/>
        <v>a</v>
      </c>
      <c r="P38" s="62" t="str">
        <f t="shared" si="8"/>
        <v>a</v>
      </c>
      <c r="Q38" s="308"/>
      <c r="R38" s="302"/>
      <c r="S38" s="302"/>
      <c r="T38" s="137"/>
      <c r="U38" s="61" t="s">
        <v>124</v>
      </c>
      <c r="V38" s="62" t="str">
        <f t="shared" si="9"/>
        <v>a</v>
      </c>
      <c r="W38" s="62" t="str">
        <f t="shared" si="9"/>
        <v>a</v>
      </c>
      <c r="X38" s="62" t="str">
        <f t="shared" si="9"/>
        <v>a</v>
      </c>
      <c r="Y38" s="308"/>
      <c r="Z38" s="302"/>
      <c r="AA38" s="302"/>
      <c r="AB38" s="137"/>
      <c r="AC38" s="61">
        <v>1</v>
      </c>
      <c r="AD38" s="62">
        <f t="shared" si="10"/>
        <v>1</v>
      </c>
      <c r="AE38" s="62">
        <f t="shared" si="10"/>
        <v>1</v>
      </c>
      <c r="AF38" s="62">
        <f t="shared" si="10"/>
        <v>1</v>
      </c>
      <c r="AG38" s="308"/>
      <c r="AH38" s="302"/>
      <c r="AI38" s="302"/>
      <c r="AJ38" s="137"/>
      <c r="AK38" s="135"/>
      <c r="AL38" s="302"/>
      <c r="AM38" s="302"/>
      <c r="AN38" s="302"/>
      <c r="AO38" s="302"/>
      <c r="AP38" s="302"/>
      <c r="AQ38" s="302"/>
      <c r="AR38" s="137"/>
      <c r="AS38" s="135"/>
      <c r="AT38" s="302"/>
      <c r="AU38" s="302"/>
      <c r="AV38" s="302"/>
      <c r="AW38" s="302"/>
      <c r="AX38" s="302"/>
      <c r="AY38" s="302"/>
      <c r="AZ38" s="137"/>
      <c r="BA38" s="36">
        <f>SUM(E38:AZ38)</f>
        <v>8</v>
      </c>
      <c r="BB38" s="9">
        <f t="shared" si="5"/>
        <v>462</v>
      </c>
      <c r="BC38" s="10">
        <f t="shared" si="6"/>
        <v>77</v>
      </c>
    </row>
    <row r="39" spans="1:55" ht="15" customHeight="1" x14ac:dyDescent="0.35">
      <c r="A39" s="29">
        <v>820323205092</v>
      </c>
      <c r="B39" s="30" t="s">
        <v>49</v>
      </c>
      <c r="C39" s="11"/>
      <c r="D39" s="46">
        <v>478</v>
      </c>
      <c r="E39" s="61">
        <v>1</v>
      </c>
      <c r="F39" s="62">
        <f t="shared" si="11"/>
        <v>1</v>
      </c>
      <c r="G39" s="62">
        <f t="shared" si="11"/>
        <v>1</v>
      </c>
      <c r="H39" s="62">
        <f t="shared" si="11"/>
        <v>1</v>
      </c>
      <c r="I39" s="308"/>
      <c r="J39" s="302"/>
      <c r="K39" s="302"/>
      <c r="L39" s="137"/>
      <c r="M39" s="61" t="s">
        <v>124</v>
      </c>
      <c r="N39" s="62" t="str">
        <f t="shared" si="8"/>
        <v>a</v>
      </c>
      <c r="O39" s="62" t="str">
        <f t="shared" si="8"/>
        <v>a</v>
      </c>
      <c r="P39" s="62" t="str">
        <f t="shared" si="8"/>
        <v>a</v>
      </c>
      <c r="Q39" s="308"/>
      <c r="R39" s="302"/>
      <c r="S39" s="302"/>
      <c r="T39" s="137"/>
      <c r="U39" s="61" t="s">
        <v>124</v>
      </c>
      <c r="V39" s="62" t="str">
        <f t="shared" si="9"/>
        <v>a</v>
      </c>
      <c r="W39" s="62" t="str">
        <f t="shared" si="9"/>
        <v>a</v>
      </c>
      <c r="X39" s="62" t="str">
        <f t="shared" si="9"/>
        <v>a</v>
      </c>
      <c r="Y39" s="308"/>
      <c r="Z39" s="302"/>
      <c r="AA39" s="302"/>
      <c r="AB39" s="137"/>
      <c r="AC39" s="61">
        <v>1</v>
      </c>
      <c r="AD39" s="62">
        <f t="shared" si="10"/>
        <v>1</v>
      </c>
      <c r="AE39" s="62">
        <f t="shared" si="10"/>
        <v>1</v>
      </c>
      <c r="AF39" s="62">
        <f t="shared" si="10"/>
        <v>1</v>
      </c>
      <c r="AG39" s="308"/>
      <c r="AH39" s="302"/>
      <c r="AI39" s="302"/>
      <c r="AJ39" s="137"/>
      <c r="AK39" s="135"/>
      <c r="AL39" s="302"/>
      <c r="AM39" s="302"/>
      <c r="AN39" s="302"/>
      <c r="AO39" s="302"/>
      <c r="AP39" s="302"/>
      <c r="AQ39" s="302"/>
      <c r="AR39" s="137"/>
      <c r="AS39" s="135"/>
      <c r="AT39" s="302"/>
      <c r="AU39" s="302"/>
      <c r="AV39" s="302"/>
      <c r="AW39" s="302"/>
      <c r="AX39" s="302"/>
      <c r="AY39" s="302"/>
      <c r="AZ39" s="137"/>
      <c r="BA39" s="37">
        <f t="shared" ref="BA39:BA73" si="12">SUM(E39:AZ39)</f>
        <v>8</v>
      </c>
      <c r="BB39" s="9">
        <f t="shared" si="5"/>
        <v>486</v>
      </c>
      <c r="BC39" s="10">
        <f t="shared" si="6"/>
        <v>81</v>
      </c>
    </row>
    <row r="40" spans="1:55" ht="15" customHeight="1" x14ac:dyDescent="0.35">
      <c r="A40" s="29">
        <v>820323205093</v>
      </c>
      <c r="B40" s="30" t="s">
        <v>50</v>
      </c>
      <c r="C40" s="11">
        <v>2</v>
      </c>
      <c r="D40" s="46">
        <v>440</v>
      </c>
      <c r="E40" s="61">
        <v>1</v>
      </c>
      <c r="F40" s="62">
        <f t="shared" si="11"/>
        <v>1</v>
      </c>
      <c r="G40" s="62">
        <f t="shared" si="11"/>
        <v>1</v>
      </c>
      <c r="H40" s="62">
        <f t="shared" si="11"/>
        <v>1</v>
      </c>
      <c r="I40" s="308"/>
      <c r="J40" s="302"/>
      <c r="K40" s="302"/>
      <c r="L40" s="137"/>
      <c r="M40" s="61" t="s">
        <v>124</v>
      </c>
      <c r="N40" s="62" t="str">
        <f t="shared" si="8"/>
        <v>a</v>
      </c>
      <c r="O40" s="62" t="str">
        <f t="shared" si="8"/>
        <v>a</v>
      </c>
      <c r="P40" s="62" t="str">
        <f t="shared" si="8"/>
        <v>a</v>
      </c>
      <c r="Q40" s="308"/>
      <c r="R40" s="302"/>
      <c r="S40" s="302"/>
      <c r="T40" s="137"/>
      <c r="U40" s="61" t="s">
        <v>124</v>
      </c>
      <c r="V40" s="62" t="str">
        <f t="shared" si="9"/>
        <v>a</v>
      </c>
      <c r="W40" s="62" t="str">
        <f t="shared" si="9"/>
        <v>a</v>
      </c>
      <c r="X40" s="62" t="str">
        <f t="shared" si="9"/>
        <v>a</v>
      </c>
      <c r="Y40" s="308"/>
      <c r="Z40" s="302"/>
      <c r="AA40" s="302"/>
      <c r="AB40" s="137"/>
      <c r="AC40" s="61">
        <v>1</v>
      </c>
      <c r="AD40" s="62">
        <f t="shared" si="10"/>
        <v>1</v>
      </c>
      <c r="AE40" s="62">
        <f t="shared" si="10"/>
        <v>1</v>
      </c>
      <c r="AF40" s="62">
        <f t="shared" si="10"/>
        <v>1</v>
      </c>
      <c r="AG40" s="308"/>
      <c r="AH40" s="302"/>
      <c r="AI40" s="302"/>
      <c r="AJ40" s="137"/>
      <c r="AK40" s="135"/>
      <c r="AL40" s="302"/>
      <c r="AM40" s="302"/>
      <c r="AN40" s="302"/>
      <c r="AO40" s="302"/>
      <c r="AP40" s="302"/>
      <c r="AQ40" s="302"/>
      <c r="AR40" s="137"/>
      <c r="AS40" s="135"/>
      <c r="AT40" s="302"/>
      <c r="AU40" s="302"/>
      <c r="AV40" s="302"/>
      <c r="AW40" s="302"/>
      <c r="AX40" s="302"/>
      <c r="AY40" s="302"/>
      <c r="AZ40" s="137"/>
      <c r="BA40" s="37">
        <f t="shared" si="12"/>
        <v>8</v>
      </c>
      <c r="BB40" s="9">
        <f t="shared" si="5"/>
        <v>450</v>
      </c>
      <c r="BC40" s="10">
        <f t="shared" si="6"/>
        <v>75</v>
      </c>
    </row>
    <row r="41" spans="1:55" ht="15" customHeight="1" x14ac:dyDescent="0.35">
      <c r="A41" s="29">
        <v>820323205094</v>
      </c>
      <c r="B41" s="30" t="s">
        <v>51</v>
      </c>
      <c r="C41" s="11"/>
      <c r="D41" s="46">
        <v>474</v>
      </c>
      <c r="E41" s="61">
        <v>1</v>
      </c>
      <c r="F41" s="62">
        <f t="shared" si="11"/>
        <v>1</v>
      </c>
      <c r="G41" s="62">
        <f t="shared" si="11"/>
        <v>1</v>
      </c>
      <c r="H41" s="62">
        <f t="shared" si="11"/>
        <v>1</v>
      </c>
      <c r="I41" s="308"/>
      <c r="J41" s="302"/>
      <c r="K41" s="302"/>
      <c r="L41" s="137"/>
      <c r="M41" s="61" t="s">
        <v>124</v>
      </c>
      <c r="N41" s="62" t="str">
        <f t="shared" si="8"/>
        <v>a</v>
      </c>
      <c r="O41" s="62" t="str">
        <f t="shared" si="8"/>
        <v>a</v>
      </c>
      <c r="P41" s="62" t="str">
        <f t="shared" si="8"/>
        <v>a</v>
      </c>
      <c r="Q41" s="308"/>
      <c r="R41" s="302"/>
      <c r="S41" s="302"/>
      <c r="T41" s="137"/>
      <c r="U41" s="61" t="s">
        <v>124</v>
      </c>
      <c r="V41" s="62" t="str">
        <f t="shared" si="9"/>
        <v>a</v>
      </c>
      <c r="W41" s="62" t="str">
        <f t="shared" si="9"/>
        <v>a</v>
      </c>
      <c r="X41" s="62" t="str">
        <f t="shared" si="9"/>
        <v>a</v>
      </c>
      <c r="Y41" s="308"/>
      <c r="Z41" s="302"/>
      <c r="AA41" s="302"/>
      <c r="AB41" s="137"/>
      <c r="AC41" s="61">
        <v>1</v>
      </c>
      <c r="AD41" s="62">
        <f t="shared" si="10"/>
        <v>1</v>
      </c>
      <c r="AE41" s="62">
        <f t="shared" si="10"/>
        <v>1</v>
      </c>
      <c r="AF41" s="62">
        <f t="shared" si="10"/>
        <v>1</v>
      </c>
      <c r="AG41" s="308"/>
      <c r="AH41" s="302"/>
      <c r="AI41" s="302"/>
      <c r="AJ41" s="137"/>
      <c r="AK41" s="135"/>
      <c r="AL41" s="302"/>
      <c r="AM41" s="302"/>
      <c r="AN41" s="302"/>
      <c r="AO41" s="302"/>
      <c r="AP41" s="302"/>
      <c r="AQ41" s="302"/>
      <c r="AR41" s="137"/>
      <c r="AS41" s="135"/>
      <c r="AT41" s="302"/>
      <c r="AU41" s="302"/>
      <c r="AV41" s="302"/>
      <c r="AW41" s="302"/>
      <c r="AX41" s="302"/>
      <c r="AY41" s="302"/>
      <c r="AZ41" s="137"/>
      <c r="BA41" s="37">
        <f t="shared" si="12"/>
        <v>8</v>
      </c>
      <c r="BB41" s="9">
        <f t="shared" si="5"/>
        <v>482</v>
      </c>
      <c r="BC41" s="10">
        <f t="shared" si="6"/>
        <v>81</v>
      </c>
    </row>
    <row r="42" spans="1:55" ht="15" customHeight="1" x14ac:dyDescent="0.35">
      <c r="A42" s="29">
        <v>820323205095</v>
      </c>
      <c r="B42" s="30" t="s">
        <v>52</v>
      </c>
      <c r="C42" s="11"/>
      <c r="D42" s="46">
        <v>501</v>
      </c>
      <c r="E42" s="61">
        <v>1</v>
      </c>
      <c r="F42" s="62">
        <f t="shared" si="11"/>
        <v>1</v>
      </c>
      <c r="G42" s="62">
        <f t="shared" si="11"/>
        <v>1</v>
      </c>
      <c r="H42" s="62">
        <f t="shared" si="11"/>
        <v>1</v>
      </c>
      <c r="I42" s="309"/>
      <c r="J42" s="139"/>
      <c r="K42" s="139"/>
      <c r="L42" s="140"/>
      <c r="M42" s="61" t="s">
        <v>124</v>
      </c>
      <c r="N42" s="62" t="str">
        <f t="shared" ref="N42:T57" si="13">M42</f>
        <v>a</v>
      </c>
      <c r="O42" s="62" t="str">
        <f t="shared" si="13"/>
        <v>a</v>
      </c>
      <c r="P42" s="62" t="str">
        <f t="shared" si="13"/>
        <v>a</v>
      </c>
      <c r="Q42" s="309"/>
      <c r="R42" s="139"/>
      <c r="S42" s="139"/>
      <c r="T42" s="140"/>
      <c r="U42" s="61">
        <v>1</v>
      </c>
      <c r="V42" s="62">
        <f t="shared" ref="V42:AB57" si="14">U42</f>
        <v>1</v>
      </c>
      <c r="W42" s="62">
        <f t="shared" si="14"/>
        <v>1</v>
      </c>
      <c r="X42" s="62">
        <f t="shared" si="14"/>
        <v>1</v>
      </c>
      <c r="Y42" s="309"/>
      <c r="Z42" s="139"/>
      <c r="AA42" s="139"/>
      <c r="AB42" s="140"/>
      <c r="AC42" s="61">
        <v>1</v>
      </c>
      <c r="AD42" s="62">
        <f t="shared" ref="AD42:AJ57" si="15">AC42</f>
        <v>1</v>
      </c>
      <c r="AE42" s="62">
        <f t="shared" si="15"/>
        <v>1</v>
      </c>
      <c r="AF42" s="62">
        <f t="shared" si="15"/>
        <v>1</v>
      </c>
      <c r="AG42" s="309"/>
      <c r="AH42" s="139"/>
      <c r="AI42" s="139"/>
      <c r="AJ42" s="140"/>
      <c r="AK42" s="138"/>
      <c r="AL42" s="139"/>
      <c r="AM42" s="139"/>
      <c r="AN42" s="139"/>
      <c r="AO42" s="139"/>
      <c r="AP42" s="139"/>
      <c r="AQ42" s="139"/>
      <c r="AR42" s="140"/>
      <c r="AS42" s="138"/>
      <c r="AT42" s="139"/>
      <c r="AU42" s="139"/>
      <c r="AV42" s="139"/>
      <c r="AW42" s="139"/>
      <c r="AX42" s="139"/>
      <c r="AY42" s="139"/>
      <c r="AZ42" s="140"/>
      <c r="BA42" s="37">
        <f t="shared" si="12"/>
        <v>12</v>
      </c>
      <c r="BB42" s="9">
        <f t="shared" si="5"/>
        <v>513</v>
      </c>
      <c r="BC42" s="10">
        <f t="shared" si="6"/>
        <v>86</v>
      </c>
    </row>
    <row r="43" spans="1:55" ht="15" customHeight="1" x14ac:dyDescent="0.35">
      <c r="A43" s="29">
        <v>820323205096</v>
      </c>
      <c r="B43" s="30" t="s">
        <v>53</v>
      </c>
      <c r="C43" s="11"/>
      <c r="D43" s="46">
        <v>453</v>
      </c>
      <c r="E43" s="61">
        <v>1</v>
      </c>
      <c r="F43" s="62">
        <f t="shared" si="11"/>
        <v>1</v>
      </c>
      <c r="G43" s="62">
        <f t="shared" si="11"/>
        <v>1</v>
      </c>
      <c r="H43" s="62">
        <f t="shared" si="11"/>
        <v>1</v>
      </c>
      <c r="I43" s="142">
        <f t="shared" si="11"/>
        <v>1</v>
      </c>
      <c r="J43" s="142"/>
      <c r="K43" s="142"/>
      <c r="L43" s="143"/>
      <c r="M43" s="61" t="s">
        <v>124</v>
      </c>
      <c r="N43" s="62" t="str">
        <f t="shared" si="13"/>
        <v>a</v>
      </c>
      <c r="O43" s="62" t="str">
        <f t="shared" si="13"/>
        <v>a</v>
      </c>
      <c r="P43" s="62" t="str">
        <f t="shared" si="13"/>
        <v>a</v>
      </c>
      <c r="Q43" s="347"/>
      <c r="R43" s="347"/>
      <c r="S43" s="347"/>
      <c r="T43" s="348"/>
      <c r="U43" s="61">
        <v>1</v>
      </c>
      <c r="V43" s="62">
        <f t="shared" si="14"/>
        <v>1</v>
      </c>
      <c r="W43" s="62">
        <f t="shared" si="14"/>
        <v>1</v>
      </c>
      <c r="X43" s="62">
        <f t="shared" si="14"/>
        <v>1</v>
      </c>
      <c r="Y43" s="347"/>
      <c r="Z43" s="347"/>
      <c r="AA43" s="347"/>
      <c r="AB43" s="348"/>
      <c r="AC43" s="61">
        <v>1</v>
      </c>
      <c r="AD43" s="62">
        <f t="shared" si="15"/>
        <v>1</v>
      </c>
      <c r="AE43" s="62">
        <f t="shared" si="15"/>
        <v>1</v>
      </c>
      <c r="AF43" s="62">
        <f t="shared" si="15"/>
        <v>1</v>
      </c>
      <c r="AG43" s="347"/>
      <c r="AH43" s="347"/>
      <c r="AI43" s="347"/>
      <c r="AJ43" s="348"/>
      <c r="AK43" s="154" t="s">
        <v>275</v>
      </c>
      <c r="AL43" s="142"/>
      <c r="AM43" s="142"/>
      <c r="AN43" s="142"/>
      <c r="AO43" s="142"/>
      <c r="AP43" s="142"/>
      <c r="AQ43" s="142"/>
      <c r="AR43" s="143"/>
      <c r="AS43" s="154" t="s">
        <v>115</v>
      </c>
      <c r="AT43" s="142"/>
      <c r="AU43" s="142"/>
      <c r="AV43" s="142"/>
      <c r="AW43" s="142"/>
      <c r="AX43" s="142"/>
      <c r="AY43" s="142"/>
      <c r="AZ43" s="143"/>
      <c r="BA43" s="37">
        <f t="shared" si="12"/>
        <v>13</v>
      </c>
      <c r="BB43" s="9">
        <f t="shared" si="5"/>
        <v>466</v>
      </c>
      <c r="BC43" s="10">
        <f t="shared" si="6"/>
        <v>78</v>
      </c>
    </row>
    <row r="44" spans="1:55" ht="15" customHeight="1" x14ac:dyDescent="0.35">
      <c r="A44" s="29">
        <v>820323205097</v>
      </c>
      <c r="B44" s="30" t="s">
        <v>54</v>
      </c>
      <c r="C44" s="11"/>
      <c r="D44" s="46">
        <v>472</v>
      </c>
      <c r="E44" s="61">
        <v>1</v>
      </c>
      <c r="F44" s="62">
        <f t="shared" ref="F44:L59" si="16">E44</f>
        <v>1</v>
      </c>
      <c r="G44" s="62">
        <f t="shared" si="16"/>
        <v>1</v>
      </c>
      <c r="H44" s="62">
        <f t="shared" si="16"/>
        <v>1</v>
      </c>
      <c r="I44" s="302"/>
      <c r="J44" s="302"/>
      <c r="K44" s="302"/>
      <c r="L44" s="137"/>
      <c r="M44" s="61" t="s">
        <v>124</v>
      </c>
      <c r="N44" s="62" t="str">
        <f t="shared" si="13"/>
        <v>a</v>
      </c>
      <c r="O44" s="62" t="str">
        <f t="shared" si="13"/>
        <v>a</v>
      </c>
      <c r="P44" s="62" t="str">
        <f t="shared" si="13"/>
        <v>a</v>
      </c>
      <c r="Q44" s="349"/>
      <c r="R44" s="349"/>
      <c r="S44" s="349"/>
      <c r="T44" s="350"/>
      <c r="U44" s="61" t="s">
        <v>124</v>
      </c>
      <c r="V44" s="62" t="str">
        <f t="shared" si="14"/>
        <v>a</v>
      </c>
      <c r="W44" s="62" t="str">
        <f t="shared" si="14"/>
        <v>a</v>
      </c>
      <c r="X44" s="62" t="str">
        <f t="shared" si="14"/>
        <v>a</v>
      </c>
      <c r="Y44" s="349"/>
      <c r="Z44" s="349"/>
      <c r="AA44" s="349"/>
      <c r="AB44" s="350"/>
      <c r="AC44" s="61">
        <v>1</v>
      </c>
      <c r="AD44" s="62">
        <f t="shared" si="15"/>
        <v>1</v>
      </c>
      <c r="AE44" s="62">
        <f t="shared" si="15"/>
        <v>1</v>
      </c>
      <c r="AF44" s="62">
        <f t="shared" si="15"/>
        <v>1</v>
      </c>
      <c r="AG44" s="349"/>
      <c r="AH44" s="349"/>
      <c r="AI44" s="349"/>
      <c r="AJ44" s="350"/>
      <c r="AK44" s="135"/>
      <c r="AL44" s="302"/>
      <c r="AM44" s="302"/>
      <c r="AN44" s="302"/>
      <c r="AO44" s="302"/>
      <c r="AP44" s="302"/>
      <c r="AQ44" s="302"/>
      <c r="AR44" s="137"/>
      <c r="AS44" s="135"/>
      <c r="AT44" s="302"/>
      <c r="AU44" s="302"/>
      <c r="AV44" s="302"/>
      <c r="AW44" s="302"/>
      <c r="AX44" s="302"/>
      <c r="AY44" s="302"/>
      <c r="AZ44" s="137"/>
      <c r="BA44" s="37">
        <f t="shared" si="12"/>
        <v>8</v>
      </c>
      <c r="BB44" s="9">
        <f t="shared" si="5"/>
        <v>480</v>
      </c>
      <c r="BC44" s="10">
        <f t="shared" si="6"/>
        <v>80</v>
      </c>
    </row>
    <row r="45" spans="1:55" ht="15" customHeight="1" x14ac:dyDescent="0.35">
      <c r="A45" s="29">
        <v>820323205098</v>
      </c>
      <c r="B45" s="30" t="s">
        <v>55</v>
      </c>
      <c r="C45" s="11"/>
      <c r="D45" s="46">
        <v>509</v>
      </c>
      <c r="E45" s="61">
        <v>1</v>
      </c>
      <c r="F45" s="62">
        <f t="shared" si="16"/>
        <v>1</v>
      </c>
      <c r="G45" s="62">
        <f t="shared" si="16"/>
        <v>1</v>
      </c>
      <c r="H45" s="62">
        <f t="shared" si="16"/>
        <v>1</v>
      </c>
      <c r="I45" s="302"/>
      <c r="J45" s="302"/>
      <c r="K45" s="302"/>
      <c r="L45" s="137"/>
      <c r="M45" s="61" t="s">
        <v>124</v>
      </c>
      <c r="N45" s="62" t="str">
        <f t="shared" si="13"/>
        <v>a</v>
      </c>
      <c r="O45" s="62" t="str">
        <f t="shared" si="13"/>
        <v>a</v>
      </c>
      <c r="P45" s="62" t="str">
        <f t="shared" si="13"/>
        <v>a</v>
      </c>
      <c r="Q45" s="349"/>
      <c r="R45" s="349"/>
      <c r="S45" s="349"/>
      <c r="T45" s="350"/>
      <c r="U45" s="61" t="s">
        <v>124</v>
      </c>
      <c r="V45" s="62" t="str">
        <f t="shared" si="14"/>
        <v>a</v>
      </c>
      <c r="W45" s="62" t="str">
        <f t="shared" si="14"/>
        <v>a</v>
      </c>
      <c r="X45" s="62" t="str">
        <f t="shared" si="14"/>
        <v>a</v>
      </c>
      <c r="Y45" s="349"/>
      <c r="Z45" s="349"/>
      <c r="AA45" s="349"/>
      <c r="AB45" s="350"/>
      <c r="AC45" s="61">
        <v>1</v>
      </c>
      <c r="AD45" s="62">
        <f t="shared" si="15"/>
        <v>1</v>
      </c>
      <c r="AE45" s="62">
        <f t="shared" si="15"/>
        <v>1</v>
      </c>
      <c r="AF45" s="62">
        <f t="shared" si="15"/>
        <v>1</v>
      </c>
      <c r="AG45" s="349"/>
      <c r="AH45" s="349"/>
      <c r="AI45" s="349"/>
      <c r="AJ45" s="350"/>
      <c r="AK45" s="135"/>
      <c r="AL45" s="302"/>
      <c r="AM45" s="302"/>
      <c r="AN45" s="302"/>
      <c r="AO45" s="302"/>
      <c r="AP45" s="302"/>
      <c r="AQ45" s="302"/>
      <c r="AR45" s="137"/>
      <c r="AS45" s="135"/>
      <c r="AT45" s="302"/>
      <c r="AU45" s="302"/>
      <c r="AV45" s="302"/>
      <c r="AW45" s="302"/>
      <c r="AX45" s="302"/>
      <c r="AY45" s="302"/>
      <c r="AZ45" s="137"/>
      <c r="BA45" s="37">
        <f t="shared" si="12"/>
        <v>8</v>
      </c>
      <c r="BB45" s="9">
        <f t="shared" si="5"/>
        <v>517</v>
      </c>
      <c r="BC45" s="10">
        <f t="shared" si="6"/>
        <v>87</v>
      </c>
    </row>
    <row r="46" spans="1:55" ht="15" customHeight="1" x14ac:dyDescent="0.35">
      <c r="A46" s="29">
        <v>820323205099</v>
      </c>
      <c r="B46" s="30" t="s">
        <v>56</v>
      </c>
      <c r="C46" s="11"/>
      <c r="D46" s="46">
        <v>496</v>
      </c>
      <c r="E46" s="61">
        <v>1</v>
      </c>
      <c r="F46" s="62">
        <f t="shared" si="16"/>
        <v>1</v>
      </c>
      <c r="G46" s="62">
        <f t="shared" si="16"/>
        <v>1</v>
      </c>
      <c r="H46" s="62">
        <f t="shared" si="16"/>
        <v>1</v>
      </c>
      <c r="I46" s="302"/>
      <c r="J46" s="302"/>
      <c r="K46" s="302"/>
      <c r="L46" s="137"/>
      <c r="M46" s="61">
        <v>1</v>
      </c>
      <c r="N46" s="62">
        <f t="shared" si="13"/>
        <v>1</v>
      </c>
      <c r="O46" s="62">
        <f t="shared" si="13"/>
        <v>1</v>
      </c>
      <c r="P46" s="62">
        <f t="shared" si="13"/>
        <v>1</v>
      </c>
      <c r="Q46" s="349"/>
      <c r="R46" s="349"/>
      <c r="S46" s="349"/>
      <c r="T46" s="350"/>
      <c r="U46" s="61" t="s">
        <v>124</v>
      </c>
      <c r="V46" s="62" t="str">
        <f t="shared" si="14"/>
        <v>a</v>
      </c>
      <c r="W46" s="62" t="str">
        <f t="shared" si="14"/>
        <v>a</v>
      </c>
      <c r="X46" s="62" t="str">
        <f t="shared" si="14"/>
        <v>a</v>
      </c>
      <c r="Y46" s="349"/>
      <c r="Z46" s="349"/>
      <c r="AA46" s="349"/>
      <c r="AB46" s="350"/>
      <c r="AC46" s="61">
        <v>1</v>
      </c>
      <c r="AD46" s="62">
        <f t="shared" si="15"/>
        <v>1</v>
      </c>
      <c r="AE46" s="62">
        <f t="shared" si="15"/>
        <v>1</v>
      </c>
      <c r="AF46" s="62">
        <f t="shared" si="15"/>
        <v>1</v>
      </c>
      <c r="AG46" s="349"/>
      <c r="AH46" s="349"/>
      <c r="AI46" s="349"/>
      <c r="AJ46" s="350"/>
      <c r="AK46" s="135"/>
      <c r="AL46" s="302"/>
      <c r="AM46" s="302"/>
      <c r="AN46" s="302"/>
      <c r="AO46" s="302"/>
      <c r="AP46" s="302"/>
      <c r="AQ46" s="302"/>
      <c r="AR46" s="137"/>
      <c r="AS46" s="135"/>
      <c r="AT46" s="302"/>
      <c r="AU46" s="302"/>
      <c r="AV46" s="302"/>
      <c r="AW46" s="302"/>
      <c r="AX46" s="302"/>
      <c r="AY46" s="302"/>
      <c r="AZ46" s="137"/>
      <c r="BA46" s="37">
        <f t="shared" si="12"/>
        <v>12</v>
      </c>
      <c r="BB46" s="9">
        <f t="shared" si="5"/>
        <v>508</v>
      </c>
      <c r="BC46" s="10">
        <f t="shared" si="6"/>
        <v>85</v>
      </c>
    </row>
    <row r="47" spans="1:55" ht="15" customHeight="1" x14ac:dyDescent="0.35">
      <c r="A47" s="29">
        <v>820323205100</v>
      </c>
      <c r="B47" s="30" t="s">
        <v>57</v>
      </c>
      <c r="C47" s="11"/>
      <c r="D47" s="46">
        <v>480</v>
      </c>
      <c r="E47" s="61">
        <v>1</v>
      </c>
      <c r="F47" s="62">
        <f t="shared" si="16"/>
        <v>1</v>
      </c>
      <c r="G47" s="62">
        <f t="shared" si="16"/>
        <v>1</v>
      </c>
      <c r="H47" s="62">
        <f t="shared" si="16"/>
        <v>1</v>
      </c>
      <c r="I47" s="302"/>
      <c r="J47" s="302"/>
      <c r="K47" s="302"/>
      <c r="L47" s="137"/>
      <c r="M47" s="61" t="s">
        <v>124</v>
      </c>
      <c r="N47" s="62" t="str">
        <f t="shared" si="13"/>
        <v>a</v>
      </c>
      <c r="O47" s="62" t="str">
        <f t="shared" si="13"/>
        <v>a</v>
      </c>
      <c r="P47" s="62" t="str">
        <f t="shared" si="13"/>
        <v>a</v>
      </c>
      <c r="Q47" s="349"/>
      <c r="R47" s="349"/>
      <c r="S47" s="349"/>
      <c r="T47" s="350"/>
      <c r="U47" s="61">
        <v>1</v>
      </c>
      <c r="V47" s="62">
        <f t="shared" si="14"/>
        <v>1</v>
      </c>
      <c r="W47" s="62">
        <f t="shared" si="14"/>
        <v>1</v>
      </c>
      <c r="X47" s="62">
        <f t="shared" si="14"/>
        <v>1</v>
      </c>
      <c r="Y47" s="349"/>
      <c r="Z47" s="349"/>
      <c r="AA47" s="349"/>
      <c r="AB47" s="350"/>
      <c r="AC47" s="61">
        <v>1</v>
      </c>
      <c r="AD47" s="62">
        <f t="shared" si="15"/>
        <v>1</v>
      </c>
      <c r="AE47" s="62">
        <f t="shared" si="15"/>
        <v>1</v>
      </c>
      <c r="AF47" s="62">
        <f t="shared" si="15"/>
        <v>1</v>
      </c>
      <c r="AG47" s="349"/>
      <c r="AH47" s="349"/>
      <c r="AI47" s="349"/>
      <c r="AJ47" s="350"/>
      <c r="AK47" s="135"/>
      <c r="AL47" s="302"/>
      <c r="AM47" s="302"/>
      <c r="AN47" s="302"/>
      <c r="AO47" s="302"/>
      <c r="AP47" s="302"/>
      <c r="AQ47" s="302"/>
      <c r="AR47" s="137"/>
      <c r="AS47" s="135"/>
      <c r="AT47" s="302"/>
      <c r="AU47" s="302"/>
      <c r="AV47" s="302"/>
      <c r="AW47" s="302"/>
      <c r="AX47" s="302"/>
      <c r="AY47" s="302"/>
      <c r="AZ47" s="137"/>
      <c r="BA47" s="37">
        <f t="shared" si="12"/>
        <v>12</v>
      </c>
      <c r="BB47" s="9">
        <f t="shared" si="5"/>
        <v>492</v>
      </c>
      <c r="BC47" s="10">
        <f t="shared" si="6"/>
        <v>82</v>
      </c>
    </row>
    <row r="48" spans="1:55" ht="15" customHeight="1" x14ac:dyDescent="0.35">
      <c r="A48" s="29">
        <v>820323205101</v>
      </c>
      <c r="B48" s="30" t="s">
        <v>58</v>
      </c>
      <c r="C48" s="11"/>
      <c r="D48" s="46">
        <v>458</v>
      </c>
      <c r="E48" s="61">
        <v>1</v>
      </c>
      <c r="F48" s="62">
        <f t="shared" si="16"/>
        <v>1</v>
      </c>
      <c r="G48" s="62">
        <f t="shared" si="16"/>
        <v>1</v>
      </c>
      <c r="H48" s="62">
        <f t="shared" si="16"/>
        <v>1</v>
      </c>
      <c r="I48" s="302"/>
      <c r="J48" s="302"/>
      <c r="K48" s="302"/>
      <c r="L48" s="137"/>
      <c r="M48" s="61" t="s">
        <v>124</v>
      </c>
      <c r="N48" s="62" t="str">
        <f t="shared" si="13"/>
        <v>a</v>
      </c>
      <c r="O48" s="62" t="str">
        <f t="shared" si="13"/>
        <v>a</v>
      </c>
      <c r="P48" s="62" t="str">
        <f t="shared" si="13"/>
        <v>a</v>
      </c>
      <c r="Q48" s="349"/>
      <c r="R48" s="349"/>
      <c r="S48" s="349"/>
      <c r="T48" s="350"/>
      <c r="U48" s="61" t="s">
        <v>124</v>
      </c>
      <c r="V48" s="62" t="str">
        <f t="shared" si="14"/>
        <v>a</v>
      </c>
      <c r="W48" s="62" t="str">
        <f t="shared" si="14"/>
        <v>a</v>
      </c>
      <c r="X48" s="62" t="str">
        <f t="shared" si="14"/>
        <v>a</v>
      </c>
      <c r="Y48" s="349"/>
      <c r="Z48" s="349"/>
      <c r="AA48" s="349"/>
      <c r="AB48" s="350"/>
      <c r="AC48" s="61">
        <v>1</v>
      </c>
      <c r="AD48" s="62">
        <f t="shared" si="15"/>
        <v>1</v>
      </c>
      <c r="AE48" s="62">
        <f t="shared" si="15"/>
        <v>1</v>
      </c>
      <c r="AF48" s="62">
        <f t="shared" si="15"/>
        <v>1</v>
      </c>
      <c r="AG48" s="349"/>
      <c r="AH48" s="349"/>
      <c r="AI48" s="349"/>
      <c r="AJ48" s="350"/>
      <c r="AK48" s="135"/>
      <c r="AL48" s="302"/>
      <c r="AM48" s="302"/>
      <c r="AN48" s="302"/>
      <c r="AO48" s="302"/>
      <c r="AP48" s="302"/>
      <c r="AQ48" s="302"/>
      <c r="AR48" s="137"/>
      <c r="AS48" s="135"/>
      <c r="AT48" s="302"/>
      <c r="AU48" s="302"/>
      <c r="AV48" s="302"/>
      <c r="AW48" s="302"/>
      <c r="AX48" s="302"/>
      <c r="AY48" s="302"/>
      <c r="AZ48" s="137"/>
      <c r="BA48" s="37">
        <f t="shared" si="12"/>
        <v>8</v>
      </c>
      <c r="BB48" s="9">
        <f t="shared" si="5"/>
        <v>466</v>
      </c>
      <c r="BC48" s="10">
        <f t="shared" si="6"/>
        <v>78</v>
      </c>
    </row>
    <row r="49" spans="1:55" ht="15" customHeight="1" x14ac:dyDescent="0.35">
      <c r="A49" s="29">
        <v>820323205102</v>
      </c>
      <c r="B49" s="30" t="s">
        <v>59</v>
      </c>
      <c r="C49" s="11"/>
      <c r="D49" s="46">
        <v>534</v>
      </c>
      <c r="E49" s="61">
        <v>1</v>
      </c>
      <c r="F49" s="62">
        <f t="shared" si="16"/>
        <v>1</v>
      </c>
      <c r="G49" s="62">
        <f t="shared" si="16"/>
        <v>1</v>
      </c>
      <c r="H49" s="62">
        <f t="shared" si="16"/>
        <v>1</v>
      </c>
      <c r="I49" s="302"/>
      <c r="J49" s="302"/>
      <c r="K49" s="302"/>
      <c r="L49" s="137"/>
      <c r="M49" s="61">
        <v>1</v>
      </c>
      <c r="N49" s="62">
        <f t="shared" si="13"/>
        <v>1</v>
      </c>
      <c r="O49" s="62">
        <f t="shared" si="13"/>
        <v>1</v>
      </c>
      <c r="P49" s="62">
        <f t="shared" si="13"/>
        <v>1</v>
      </c>
      <c r="Q49" s="349"/>
      <c r="R49" s="349"/>
      <c r="S49" s="349"/>
      <c r="T49" s="350"/>
      <c r="U49" s="61" t="s">
        <v>124</v>
      </c>
      <c r="V49" s="62" t="str">
        <f t="shared" si="14"/>
        <v>a</v>
      </c>
      <c r="W49" s="62" t="str">
        <f t="shared" si="14"/>
        <v>a</v>
      </c>
      <c r="X49" s="62" t="str">
        <f t="shared" si="14"/>
        <v>a</v>
      </c>
      <c r="Y49" s="349"/>
      <c r="Z49" s="349"/>
      <c r="AA49" s="349"/>
      <c r="AB49" s="350"/>
      <c r="AC49" s="61">
        <v>1</v>
      </c>
      <c r="AD49" s="62">
        <f t="shared" si="15"/>
        <v>1</v>
      </c>
      <c r="AE49" s="62">
        <f t="shared" si="15"/>
        <v>1</v>
      </c>
      <c r="AF49" s="62">
        <f t="shared" si="15"/>
        <v>1</v>
      </c>
      <c r="AG49" s="349"/>
      <c r="AH49" s="349"/>
      <c r="AI49" s="349"/>
      <c r="AJ49" s="350"/>
      <c r="AK49" s="135"/>
      <c r="AL49" s="302"/>
      <c r="AM49" s="302"/>
      <c r="AN49" s="302"/>
      <c r="AO49" s="302"/>
      <c r="AP49" s="302"/>
      <c r="AQ49" s="302"/>
      <c r="AR49" s="137"/>
      <c r="AS49" s="135"/>
      <c r="AT49" s="302"/>
      <c r="AU49" s="302"/>
      <c r="AV49" s="302"/>
      <c r="AW49" s="302"/>
      <c r="AX49" s="302"/>
      <c r="AY49" s="302"/>
      <c r="AZ49" s="137"/>
      <c r="BA49" s="37">
        <f t="shared" si="12"/>
        <v>12</v>
      </c>
      <c r="BB49" s="9">
        <f t="shared" si="5"/>
        <v>546</v>
      </c>
      <c r="BC49" s="10">
        <f t="shared" si="6"/>
        <v>91</v>
      </c>
    </row>
    <row r="50" spans="1:55" ht="15" customHeight="1" x14ac:dyDescent="0.35">
      <c r="A50" s="29">
        <v>820323205103</v>
      </c>
      <c r="B50" s="30" t="s">
        <v>60</v>
      </c>
      <c r="C50" s="11"/>
      <c r="D50" s="46">
        <v>519</v>
      </c>
      <c r="E50" s="61">
        <v>1</v>
      </c>
      <c r="F50" s="62">
        <f t="shared" si="16"/>
        <v>1</v>
      </c>
      <c r="G50" s="62">
        <f t="shared" si="16"/>
        <v>1</v>
      </c>
      <c r="H50" s="62">
        <f t="shared" si="16"/>
        <v>1</v>
      </c>
      <c r="I50" s="302"/>
      <c r="J50" s="302"/>
      <c r="K50" s="302"/>
      <c r="L50" s="137"/>
      <c r="M50" s="61" t="s">
        <v>124</v>
      </c>
      <c r="N50" s="62" t="str">
        <f t="shared" si="13"/>
        <v>a</v>
      </c>
      <c r="O50" s="62" t="str">
        <f t="shared" si="13"/>
        <v>a</v>
      </c>
      <c r="P50" s="62" t="str">
        <f t="shared" si="13"/>
        <v>a</v>
      </c>
      <c r="Q50" s="349"/>
      <c r="R50" s="349"/>
      <c r="S50" s="349"/>
      <c r="T50" s="350"/>
      <c r="U50" s="61">
        <v>1</v>
      </c>
      <c r="V50" s="62">
        <f t="shared" si="14"/>
        <v>1</v>
      </c>
      <c r="W50" s="62">
        <f t="shared" si="14"/>
        <v>1</v>
      </c>
      <c r="X50" s="62">
        <f t="shared" si="14"/>
        <v>1</v>
      </c>
      <c r="Y50" s="349"/>
      <c r="Z50" s="349"/>
      <c r="AA50" s="349"/>
      <c r="AB50" s="350"/>
      <c r="AC50" s="61">
        <v>1</v>
      </c>
      <c r="AD50" s="62">
        <f t="shared" si="15"/>
        <v>1</v>
      </c>
      <c r="AE50" s="62">
        <f t="shared" si="15"/>
        <v>1</v>
      </c>
      <c r="AF50" s="62">
        <f t="shared" si="15"/>
        <v>1</v>
      </c>
      <c r="AG50" s="349"/>
      <c r="AH50" s="349"/>
      <c r="AI50" s="349"/>
      <c r="AJ50" s="350"/>
      <c r="AK50" s="135"/>
      <c r="AL50" s="302"/>
      <c r="AM50" s="302"/>
      <c r="AN50" s="302"/>
      <c r="AO50" s="302"/>
      <c r="AP50" s="302"/>
      <c r="AQ50" s="302"/>
      <c r="AR50" s="137"/>
      <c r="AS50" s="135"/>
      <c r="AT50" s="302"/>
      <c r="AU50" s="302"/>
      <c r="AV50" s="302"/>
      <c r="AW50" s="302"/>
      <c r="AX50" s="302"/>
      <c r="AY50" s="302"/>
      <c r="AZ50" s="137"/>
      <c r="BA50" s="37">
        <f t="shared" si="12"/>
        <v>12</v>
      </c>
      <c r="BB50" s="9">
        <f t="shared" si="5"/>
        <v>531</v>
      </c>
      <c r="BC50" s="10">
        <f t="shared" si="6"/>
        <v>89</v>
      </c>
    </row>
    <row r="51" spans="1:55" ht="15" customHeight="1" x14ac:dyDescent="0.35">
      <c r="A51" s="29">
        <v>820323205104</v>
      </c>
      <c r="B51" s="30" t="s">
        <v>61</v>
      </c>
      <c r="C51" s="11"/>
      <c r="D51" s="46">
        <v>520</v>
      </c>
      <c r="E51" s="61">
        <v>1</v>
      </c>
      <c r="F51" s="62">
        <f t="shared" si="16"/>
        <v>1</v>
      </c>
      <c r="G51" s="62">
        <f t="shared" si="16"/>
        <v>1</v>
      </c>
      <c r="H51" s="62">
        <f t="shared" si="16"/>
        <v>1</v>
      </c>
      <c r="I51" s="302"/>
      <c r="J51" s="302"/>
      <c r="K51" s="302"/>
      <c r="L51" s="137"/>
      <c r="M51" s="61">
        <v>1</v>
      </c>
      <c r="N51" s="62">
        <f t="shared" si="13"/>
        <v>1</v>
      </c>
      <c r="O51" s="62">
        <f t="shared" si="13"/>
        <v>1</v>
      </c>
      <c r="P51" s="62">
        <f t="shared" si="13"/>
        <v>1</v>
      </c>
      <c r="Q51" s="349"/>
      <c r="R51" s="349"/>
      <c r="S51" s="349"/>
      <c r="T51" s="350"/>
      <c r="U51" s="61" t="s">
        <v>124</v>
      </c>
      <c r="V51" s="62" t="str">
        <f t="shared" si="14"/>
        <v>a</v>
      </c>
      <c r="W51" s="62" t="str">
        <f t="shared" si="14"/>
        <v>a</v>
      </c>
      <c r="X51" s="62" t="str">
        <f t="shared" si="14"/>
        <v>a</v>
      </c>
      <c r="Y51" s="349"/>
      <c r="Z51" s="349"/>
      <c r="AA51" s="349"/>
      <c r="AB51" s="350"/>
      <c r="AC51" s="61">
        <v>1</v>
      </c>
      <c r="AD51" s="62">
        <f t="shared" si="15"/>
        <v>1</v>
      </c>
      <c r="AE51" s="62">
        <f t="shared" si="15"/>
        <v>1</v>
      </c>
      <c r="AF51" s="62">
        <f t="shared" si="15"/>
        <v>1</v>
      </c>
      <c r="AG51" s="349"/>
      <c r="AH51" s="349"/>
      <c r="AI51" s="349"/>
      <c r="AJ51" s="350"/>
      <c r="AK51" s="135"/>
      <c r="AL51" s="302"/>
      <c r="AM51" s="302"/>
      <c r="AN51" s="302"/>
      <c r="AO51" s="302"/>
      <c r="AP51" s="302"/>
      <c r="AQ51" s="302"/>
      <c r="AR51" s="137"/>
      <c r="AS51" s="135"/>
      <c r="AT51" s="302"/>
      <c r="AU51" s="302"/>
      <c r="AV51" s="302"/>
      <c r="AW51" s="302"/>
      <c r="AX51" s="302"/>
      <c r="AY51" s="302"/>
      <c r="AZ51" s="137"/>
      <c r="BA51" s="37">
        <f t="shared" si="12"/>
        <v>12</v>
      </c>
      <c r="BB51" s="9">
        <f t="shared" si="5"/>
        <v>532</v>
      </c>
      <c r="BC51" s="10">
        <f t="shared" si="6"/>
        <v>89</v>
      </c>
    </row>
    <row r="52" spans="1:55" ht="15" customHeight="1" x14ac:dyDescent="0.35">
      <c r="A52" s="29">
        <v>820323205105</v>
      </c>
      <c r="B52" s="30" t="s">
        <v>62</v>
      </c>
      <c r="C52" s="11"/>
      <c r="D52" s="46">
        <v>507</v>
      </c>
      <c r="E52" s="61">
        <v>1</v>
      </c>
      <c r="F52" s="62">
        <f t="shared" si="16"/>
        <v>1</v>
      </c>
      <c r="G52" s="62">
        <f t="shared" si="16"/>
        <v>1</v>
      </c>
      <c r="H52" s="62">
        <f t="shared" si="16"/>
        <v>1</v>
      </c>
      <c r="I52" s="302"/>
      <c r="J52" s="302"/>
      <c r="K52" s="302"/>
      <c r="L52" s="137"/>
      <c r="M52" s="61" t="s">
        <v>124</v>
      </c>
      <c r="N52" s="62" t="str">
        <f t="shared" si="13"/>
        <v>a</v>
      </c>
      <c r="O52" s="62" t="str">
        <f t="shared" si="13"/>
        <v>a</v>
      </c>
      <c r="P52" s="62" t="str">
        <f t="shared" si="13"/>
        <v>a</v>
      </c>
      <c r="Q52" s="349"/>
      <c r="R52" s="349"/>
      <c r="S52" s="349"/>
      <c r="T52" s="350"/>
      <c r="U52" s="61">
        <v>1</v>
      </c>
      <c r="V52" s="62">
        <f t="shared" si="14"/>
        <v>1</v>
      </c>
      <c r="W52" s="62">
        <f t="shared" si="14"/>
        <v>1</v>
      </c>
      <c r="X52" s="62">
        <f t="shared" si="14"/>
        <v>1</v>
      </c>
      <c r="Y52" s="349"/>
      <c r="Z52" s="349"/>
      <c r="AA52" s="349"/>
      <c r="AB52" s="350"/>
      <c r="AC52" s="61">
        <v>1</v>
      </c>
      <c r="AD52" s="62">
        <f t="shared" si="15"/>
        <v>1</v>
      </c>
      <c r="AE52" s="62">
        <f t="shared" si="15"/>
        <v>1</v>
      </c>
      <c r="AF52" s="62">
        <f t="shared" si="15"/>
        <v>1</v>
      </c>
      <c r="AG52" s="349"/>
      <c r="AH52" s="349"/>
      <c r="AI52" s="349"/>
      <c r="AJ52" s="350"/>
      <c r="AK52" s="135"/>
      <c r="AL52" s="302"/>
      <c r="AM52" s="302"/>
      <c r="AN52" s="302"/>
      <c r="AO52" s="302"/>
      <c r="AP52" s="302"/>
      <c r="AQ52" s="302"/>
      <c r="AR52" s="137"/>
      <c r="AS52" s="135"/>
      <c r="AT52" s="302"/>
      <c r="AU52" s="302"/>
      <c r="AV52" s="302"/>
      <c r="AW52" s="302"/>
      <c r="AX52" s="302"/>
      <c r="AY52" s="302"/>
      <c r="AZ52" s="137"/>
      <c r="BA52" s="37">
        <f t="shared" si="12"/>
        <v>12</v>
      </c>
      <c r="BB52" s="9">
        <f t="shared" si="5"/>
        <v>519</v>
      </c>
      <c r="BC52" s="10">
        <f t="shared" si="6"/>
        <v>87</v>
      </c>
    </row>
    <row r="53" spans="1:55" ht="15" customHeight="1" x14ac:dyDescent="0.35">
      <c r="A53" s="29">
        <v>820323205106</v>
      </c>
      <c r="B53" s="30" t="s">
        <v>63</v>
      </c>
      <c r="C53" s="11"/>
      <c r="D53" s="46">
        <v>502</v>
      </c>
      <c r="E53" s="61">
        <v>1</v>
      </c>
      <c r="F53" s="62">
        <f t="shared" si="16"/>
        <v>1</v>
      </c>
      <c r="G53" s="62">
        <f t="shared" si="16"/>
        <v>1</v>
      </c>
      <c r="H53" s="62">
        <f t="shared" si="16"/>
        <v>1</v>
      </c>
      <c r="I53" s="302"/>
      <c r="J53" s="302"/>
      <c r="K53" s="302"/>
      <c r="L53" s="137"/>
      <c r="M53" s="61" t="s">
        <v>124</v>
      </c>
      <c r="N53" s="62" t="str">
        <f t="shared" si="13"/>
        <v>a</v>
      </c>
      <c r="O53" s="62" t="str">
        <f t="shared" si="13"/>
        <v>a</v>
      </c>
      <c r="P53" s="62" t="str">
        <f t="shared" si="13"/>
        <v>a</v>
      </c>
      <c r="Q53" s="349"/>
      <c r="R53" s="349"/>
      <c r="S53" s="349"/>
      <c r="T53" s="350"/>
      <c r="U53" s="61">
        <v>1</v>
      </c>
      <c r="V53" s="62">
        <f t="shared" si="14"/>
        <v>1</v>
      </c>
      <c r="W53" s="62">
        <f t="shared" si="14"/>
        <v>1</v>
      </c>
      <c r="X53" s="62">
        <f t="shared" si="14"/>
        <v>1</v>
      </c>
      <c r="Y53" s="349"/>
      <c r="Z53" s="349"/>
      <c r="AA53" s="349"/>
      <c r="AB53" s="350"/>
      <c r="AC53" s="61">
        <v>1</v>
      </c>
      <c r="AD53" s="62">
        <f t="shared" si="15"/>
        <v>1</v>
      </c>
      <c r="AE53" s="62">
        <f t="shared" si="15"/>
        <v>1</v>
      </c>
      <c r="AF53" s="62">
        <f t="shared" si="15"/>
        <v>1</v>
      </c>
      <c r="AG53" s="349"/>
      <c r="AH53" s="349"/>
      <c r="AI53" s="349"/>
      <c r="AJ53" s="350"/>
      <c r="AK53" s="135"/>
      <c r="AL53" s="302"/>
      <c r="AM53" s="302"/>
      <c r="AN53" s="302"/>
      <c r="AO53" s="302"/>
      <c r="AP53" s="302"/>
      <c r="AQ53" s="302"/>
      <c r="AR53" s="137"/>
      <c r="AS53" s="135"/>
      <c r="AT53" s="302"/>
      <c r="AU53" s="302"/>
      <c r="AV53" s="302"/>
      <c r="AW53" s="302"/>
      <c r="AX53" s="302"/>
      <c r="AY53" s="302"/>
      <c r="AZ53" s="137"/>
      <c r="BA53" s="37">
        <f t="shared" si="12"/>
        <v>12</v>
      </c>
      <c r="BB53" s="9">
        <f t="shared" si="5"/>
        <v>514</v>
      </c>
      <c r="BC53" s="10">
        <f t="shared" si="6"/>
        <v>86</v>
      </c>
    </row>
    <row r="54" spans="1:55" ht="15" customHeight="1" x14ac:dyDescent="0.35">
      <c r="A54" s="29">
        <v>820323205107</v>
      </c>
      <c r="B54" s="30" t="s">
        <v>64</v>
      </c>
      <c r="C54" s="12"/>
      <c r="D54" s="46">
        <v>488</v>
      </c>
      <c r="E54" s="61">
        <v>1</v>
      </c>
      <c r="F54" s="62">
        <f t="shared" si="16"/>
        <v>1</v>
      </c>
      <c r="G54" s="62">
        <f t="shared" si="16"/>
        <v>1</v>
      </c>
      <c r="H54" s="62">
        <f t="shared" si="16"/>
        <v>1</v>
      </c>
      <c r="I54" s="302"/>
      <c r="J54" s="302"/>
      <c r="K54" s="302"/>
      <c r="L54" s="137"/>
      <c r="M54" s="61" t="s">
        <v>124</v>
      </c>
      <c r="N54" s="62" t="str">
        <f t="shared" si="13"/>
        <v>a</v>
      </c>
      <c r="O54" s="62" t="str">
        <f t="shared" si="13"/>
        <v>a</v>
      </c>
      <c r="P54" s="62" t="str">
        <f t="shared" si="13"/>
        <v>a</v>
      </c>
      <c r="Q54" s="349"/>
      <c r="R54" s="349"/>
      <c r="S54" s="349"/>
      <c r="T54" s="350"/>
      <c r="U54" s="61">
        <v>1</v>
      </c>
      <c r="V54" s="62">
        <f t="shared" si="14"/>
        <v>1</v>
      </c>
      <c r="W54" s="62">
        <f t="shared" si="14"/>
        <v>1</v>
      </c>
      <c r="X54" s="62">
        <f t="shared" si="14"/>
        <v>1</v>
      </c>
      <c r="Y54" s="349"/>
      <c r="Z54" s="349"/>
      <c r="AA54" s="349"/>
      <c r="AB54" s="350"/>
      <c r="AC54" s="61">
        <v>1</v>
      </c>
      <c r="AD54" s="62">
        <f t="shared" si="15"/>
        <v>1</v>
      </c>
      <c r="AE54" s="62">
        <f t="shared" si="15"/>
        <v>1</v>
      </c>
      <c r="AF54" s="62">
        <f t="shared" si="15"/>
        <v>1</v>
      </c>
      <c r="AG54" s="349"/>
      <c r="AH54" s="349"/>
      <c r="AI54" s="349"/>
      <c r="AJ54" s="350"/>
      <c r="AK54" s="135"/>
      <c r="AL54" s="302"/>
      <c r="AM54" s="302"/>
      <c r="AN54" s="302"/>
      <c r="AO54" s="302"/>
      <c r="AP54" s="302"/>
      <c r="AQ54" s="302"/>
      <c r="AR54" s="137"/>
      <c r="AS54" s="135"/>
      <c r="AT54" s="302"/>
      <c r="AU54" s="302"/>
      <c r="AV54" s="302"/>
      <c r="AW54" s="302"/>
      <c r="AX54" s="302"/>
      <c r="AY54" s="302"/>
      <c r="AZ54" s="137"/>
      <c r="BA54" s="37">
        <f t="shared" si="12"/>
        <v>12</v>
      </c>
      <c r="BB54" s="9">
        <f t="shared" si="5"/>
        <v>500</v>
      </c>
      <c r="BC54" s="10">
        <f t="shared" si="6"/>
        <v>84</v>
      </c>
    </row>
    <row r="55" spans="1:55" ht="15" customHeight="1" x14ac:dyDescent="0.35">
      <c r="A55" s="29">
        <v>820323205108</v>
      </c>
      <c r="B55" s="30" t="s">
        <v>65</v>
      </c>
      <c r="C55" s="11"/>
      <c r="D55" s="46">
        <v>469</v>
      </c>
      <c r="E55" s="61">
        <v>1</v>
      </c>
      <c r="F55" s="62">
        <f t="shared" si="16"/>
        <v>1</v>
      </c>
      <c r="G55" s="62">
        <f t="shared" si="16"/>
        <v>1</v>
      </c>
      <c r="H55" s="62">
        <f t="shared" si="16"/>
        <v>1</v>
      </c>
      <c r="I55" s="302"/>
      <c r="J55" s="302"/>
      <c r="K55" s="302"/>
      <c r="L55" s="137"/>
      <c r="M55" s="61" t="s">
        <v>124</v>
      </c>
      <c r="N55" s="62" t="str">
        <f t="shared" si="13"/>
        <v>a</v>
      </c>
      <c r="O55" s="62" t="str">
        <f t="shared" si="13"/>
        <v>a</v>
      </c>
      <c r="P55" s="62" t="str">
        <f t="shared" si="13"/>
        <v>a</v>
      </c>
      <c r="Q55" s="349"/>
      <c r="R55" s="349"/>
      <c r="S55" s="349"/>
      <c r="T55" s="350"/>
      <c r="U55" s="61">
        <v>1</v>
      </c>
      <c r="V55" s="62">
        <f t="shared" si="14"/>
        <v>1</v>
      </c>
      <c r="W55" s="62">
        <f t="shared" si="14"/>
        <v>1</v>
      </c>
      <c r="X55" s="62">
        <f t="shared" si="14"/>
        <v>1</v>
      </c>
      <c r="Y55" s="349"/>
      <c r="Z55" s="349"/>
      <c r="AA55" s="349"/>
      <c r="AB55" s="350"/>
      <c r="AC55" s="61">
        <v>1</v>
      </c>
      <c r="AD55" s="62">
        <f t="shared" si="15"/>
        <v>1</v>
      </c>
      <c r="AE55" s="62">
        <f t="shared" si="15"/>
        <v>1</v>
      </c>
      <c r="AF55" s="62">
        <f t="shared" si="15"/>
        <v>1</v>
      </c>
      <c r="AG55" s="349"/>
      <c r="AH55" s="349"/>
      <c r="AI55" s="349"/>
      <c r="AJ55" s="350"/>
      <c r="AK55" s="135"/>
      <c r="AL55" s="302"/>
      <c r="AM55" s="302"/>
      <c r="AN55" s="302"/>
      <c r="AO55" s="302"/>
      <c r="AP55" s="302"/>
      <c r="AQ55" s="302"/>
      <c r="AR55" s="137"/>
      <c r="AS55" s="135"/>
      <c r="AT55" s="302"/>
      <c r="AU55" s="302"/>
      <c r="AV55" s="302"/>
      <c r="AW55" s="302"/>
      <c r="AX55" s="302"/>
      <c r="AY55" s="302"/>
      <c r="AZ55" s="137"/>
      <c r="BA55" s="37">
        <f t="shared" si="12"/>
        <v>12</v>
      </c>
      <c r="BB55" s="9">
        <f t="shared" si="5"/>
        <v>481</v>
      </c>
      <c r="BC55" s="10">
        <f t="shared" si="6"/>
        <v>81</v>
      </c>
    </row>
    <row r="56" spans="1:55" ht="15" customHeight="1" x14ac:dyDescent="0.35">
      <c r="A56" s="29">
        <v>820323205109</v>
      </c>
      <c r="B56" s="30" t="s">
        <v>66</v>
      </c>
      <c r="C56" s="11"/>
      <c r="D56" s="46">
        <v>518</v>
      </c>
      <c r="E56" s="61">
        <v>1</v>
      </c>
      <c r="F56" s="62">
        <f t="shared" si="16"/>
        <v>1</v>
      </c>
      <c r="G56" s="62">
        <f t="shared" si="16"/>
        <v>1</v>
      </c>
      <c r="H56" s="62">
        <f t="shared" si="16"/>
        <v>1</v>
      </c>
      <c r="I56" s="302"/>
      <c r="J56" s="302"/>
      <c r="K56" s="302"/>
      <c r="L56" s="137"/>
      <c r="M56" s="61" t="s">
        <v>124</v>
      </c>
      <c r="N56" s="62" t="str">
        <f t="shared" si="13"/>
        <v>a</v>
      </c>
      <c r="O56" s="62" t="str">
        <f t="shared" si="13"/>
        <v>a</v>
      </c>
      <c r="P56" s="62" t="str">
        <f t="shared" si="13"/>
        <v>a</v>
      </c>
      <c r="Q56" s="349"/>
      <c r="R56" s="349"/>
      <c r="S56" s="349"/>
      <c r="T56" s="350"/>
      <c r="U56" s="61">
        <v>1</v>
      </c>
      <c r="V56" s="62">
        <f t="shared" si="14"/>
        <v>1</v>
      </c>
      <c r="W56" s="62">
        <f t="shared" si="14"/>
        <v>1</v>
      </c>
      <c r="X56" s="62">
        <f t="shared" si="14"/>
        <v>1</v>
      </c>
      <c r="Y56" s="349"/>
      <c r="Z56" s="349"/>
      <c r="AA56" s="349"/>
      <c r="AB56" s="350"/>
      <c r="AC56" s="61">
        <v>1</v>
      </c>
      <c r="AD56" s="62">
        <f t="shared" si="15"/>
        <v>1</v>
      </c>
      <c r="AE56" s="62">
        <f t="shared" si="15"/>
        <v>1</v>
      </c>
      <c r="AF56" s="62">
        <f t="shared" si="15"/>
        <v>1</v>
      </c>
      <c r="AG56" s="349"/>
      <c r="AH56" s="349"/>
      <c r="AI56" s="349"/>
      <c r="AJ56" s="350"/>
      <c r="AK56" s="135"/>
      <c r="AL56" s="302"/>
      <c r="AM56" s="302"/>
      <c r="AN56" s="302"/>
      <c r="AO56" s="302"/>
      <c r="AP56" s="302"/>
      <c r="AQ56" s="302"/>
      <c r="AR56" s="137"/>
      <c r="AS56" s="135"/>
      <c r="AT56" s="302"/>
      <c r="AU56" s="302"/>
      <c r="AV56" s="302"/>
      <c r="AW56" s="302"/>
      <c r="AX56" s="302"/>
      <c r="AY56" s="302"/>
      <c r="AZ56" s="137"/>
      <c r="BA56" s="37">
        <f t="shared" si="12"/>
        <v>12</v>
      </c>
      <c r="BB56" s="9">
        <f t="shared" si="5"/>
        <v>530</v>
      </c>
      <c r="BC56" s="10">
        <f t="shared" si="6"/>
        <v>89</v>
      </c>
    </row>
    <row r="57" spans="1:55" ht="15" customHeight="1" x14ac:dyDescent="0.35">
      <c r="A57" s="29">
        <v>820323205110</v>
      </c>
      <c r="B57" s="30" t="s">
        <v>67</v>
      </c>
      <c r="C57" s="13"/>
      <c r="D57" s="46">
        <v>493</v>
      </c>
      <c r="E57" s="61">
        <v>1</v>
      </c>
      <c r="F57" s="62">
        <f t="shared" si="16"/>
        <v>1</v>
      </c>
      <c r="G57" s="62">
        <f t="shared" si="16"/>
        <v>1</v>
      </c>
      <c r="H57" s="62">
        <f t="shared" si="16"/>
        <v>1</v>
      </c>
      <c r="I57" s="302"/>
      <c r="J57" s="302"/>
      <c r="K57" s="302"/>
      <c r="L57" s="137"/>
      <c r="M57" s="61" t="s">
        <v>124</v>
      </c>
      <c r="N57" s="62" t="str">
        <f t="shared" si="13"/>
        <v>a</v>
      </c>
      <c r="O57" s="62" t="str">
        <f t="shared" si="13"/>
        <v>a</v>
      </c>
      <c r="P57" s="62" t="str">
        <f t="shared" si="13"/>
        <v>a</v>
      </c>
      <c r="Q57" s="349"/>
      <c r="R57" s="349"/>
      <c r="S57" s="349"/>
      <c r="T57" s="350"/>
      <c r="U57" s="61" t="s">
        <v>124</v>
      </c>
      <c r="V57" s="62" t="str">
        <f t="shared" si="14"/>
        <v>a</v>
      </c>
      <c r="W57" s="62" t="str">
        <f t="shared" si="14"/>
        <v>a</v>
      </c>
      <c r="X57" s="62" t="str">
        <f t="shared" si="14"/>
        <v>a</v>
      </c>
      <c r="Y57" s="349"/>
      <c r="Z57" s="349"/>
      <c r="AA57" s="349"/>
      <c r="AB57" s="350"/>
      <c r="AC57" s="61">
        <v>1</v>
      </c>
      <c r="AD57" s="62">
        <f t="shared" si="15"/>
        <v>1</v>
      </c>
      <c r="AE57" s="62">
        <f t="shared" si="15"/>
        <v>1</v>
      </c>
      <c r="AF57" s="62">
        <f t="shared" si="15"/>
        <v>1</v>
      </c>
      <c r="AG57" s="349"/>
      <c r="AH57" s="349"/>
      <c r="AI57" s="349"/>
      <c r="AJ57" s="350"/>
      <c r="AK57" s="135"/>
      <c r="AL57" s="302"/>
      <c r="AM57" s="302"/>
      <c r="AN57" s="302"/>
      <c r="AO57" s="302"/>
      <c r="AP57" s="302"/>
      <c r="AQ57" s="302"/>
      <c r="AR57" s="137"/>
      <c r="AS57" s="135"/>
      <c r="AT57" s="302"/>
      <c r="AU57" s="302"/>
      <c r="AV57" s="302"/>
      <c r="AW57" s="302"/>
      <c r="AX57" s="302"/>
      <c r="AY57" s="302"/>
      <c r="AZ57" s="137"/>
      <c r="BA57" s="37">
        <f t="shared" si="12"/>
        <v>8</v>
      </c>
      <c r="BB57" s="9">
        <f t="shared" si="5"/>
        <v>501</v>
      </c>
      <c r="BC57" s="10">
        <f t="shared" si="6"/>
        <v>84</v>
      </c>
    </row>
    <row r="58" spans="1:55" ht="15" customHeight="1" x14ac:dyDescent="0.35">
      <c r="A58" s="29">
        <v>820323205111</v>
      </c>
      <c r="B58" s="30" t="s">
        <v>68</v>
      </c>
      <c r="C58" s="13"/>
      <c r="D58" s="46">
        <v>557</v>
      </c>
      <c r="E58" s="61">
        <v>1</v>
      </c>
      <c r="F58" s="62">
        <f t="shared" si="16"/>
        <v>1</v>
      </c>
      <c r="G58" s="62">
        <f t="shared" si="16"/>
        <v>1</v>
      </c>
      <c r="H58" s="62">
        <f t="shared" si="16"/>
        <v>1</v>
      </c>
      <c r="I58" s="302"/>
      <c r="J58" s="302"/>
      <c r="K58" s="302"/>
      <c r="L58" s="137"/>
      <c r="M58" s="61" t="s">
        <v>124</v>
      </c>
      <c r="N58" s="62" t="str">
        <f t="shared" ref="N58:T73" si="17">M58</f>
        <v>a</v>
      </c>
      <c r="O58" s="62" t="str">
        <f t="shared" si="17"/>
        <v>a</v>
      </c>
      <c r="P58" s="62" t="str">
        <f t="shared" si="17"/>
        <v>a</v>
      </c>
      <c r="Q58" s="349"/>
      <c r="R58" s="349"/>
      <c r="S58" s="349"/>
      <c r="T58" s="350"/>
      <c r="U58" s="61">
        <v>1</v>
      </c>
      <c r="V58" s="62">
        <f t="shared" ref="V58:AB73" si="18">U58</f>
        <v>1</v>
      </c>
      <c r="W58" s="62">
        <f t="shared" si="18"/>
        <v>1</v>
      </c>
      <c r="X58" s="62">
        <f t="shared" si="18"/>
        <v>1</v>
      </c>
      <c r="Y58" s="349"/>
      <c r="Z58" s="349"/>
      <c r="AA58" s="349"/>
      <c r="AB58" s="350"/>
      <c r="AC58" s="61">
        <v>1</v>
      </c>
      <c r="AD58" s="62">
        <f t="shared" ref="AD58:AJ73" si="19">AC58</f>
        <v>1</v>
      </c>
      <c r="AE58" s="62">
        <f t="shared" si="19"/>
        <v>1</v>
      </c>
      <c r="AF58" s="62">
        <f t="shared" si="19"/>
        <v>1</v>
      </c>
      <c r="AG58" s="349"/>
      <c r="AH58" s="349"/>
      <c r="AI58" s="349"/>
      <c r="AJ58" s="350"/>
      <c r="AK58" s="135"/>
      <c r="AL58" s="302"/>
      <c r="AM58" s="302"/>
      <c r="AN58" s="302"/>
      <c r="AO58" s="302"/>
      <c r="AP58" s="302"/>
      <c r="AQ58" s="302"/>
      <c r="AR58" s="137"/>
      <c r="AS58" s="135"/>
      <c r="AT58" s="302"/>
      <c r="AU58" s="302"/>
      <c r="AV58" s="302"/>
      <c r="AW58" s="302"/>
      <c r="AX58" s="302"/>
      <c r="AY58" s="302"/>
      <c r="AZ58" s="137"/>
      <c r="BA58" s="37">
        <f t="shared" si="12"/>
        <v>12</v>
      </c>
      <c r="BB58" s="9">
        <f t="shared" si="5"/>
        <v>569</v>
      </c>
      <c r="BC58" s="10">
        <f t="shared" si="6"/>
        <v>95</v>
      </c>
    </row>
    <row r="59" spans="1:55" ht="15" customHeight="1" x14ac:dyDescent="0.35">
      <c r="A59" s="29">
        <v>820323205112</v>
      </c>
      <c r="B59" s="30" t="s">
        <v>69</v>
      </c>
      <c r="C59" s="11"/>
      <c r="D59" s="46">
        <v>533</v>
      </c>
      <c r="E59" s="61">
        <v>1</v>
      </c>
      <c r="F59" s="62">
        <f t="shared" si="16"/>
        <v>1</v>
      </c>
      <c r="G59" s="62">
        <f t="shared" si="16"/>
        <v>1</v>
      </c>
      <c r="H59" s="62">
        <f t="shared" si="16"/>
        <v>1</v>
      </c>
      <c r="I59" s="302"/>
      <c r="J59" s="302"/>
      <c r="K59" s="302"/>
      <c r="L59" s="137"/>
      <c r="M59" s="61" t="s">
        <v>124</v>
      </c>
      <c r="N59" s="62" t="str">
        <f t="shared" si="17"/>
        <v>a</v>
      </c>
      <c r="O59" s="62" t="str">
        <f t="shared" si="17"/>
        <v>a</v>
      </c>
      <c r="P59" s="62" t="str">
        <f t="shared" si="17"/>
        <v>a</v>
      </c>
      <c r="Q59" s="349"/>
      <c r="R59" s="349"/>
      <c r="S59" s="349"/>
      <c r="T59" s="350"/>
      <c r="U59" s="61" t="s">
        <v>124</v>
      </c>
      <c r="V59" s="62" t="str">
        <f t="shared" si="18"/>
        <v>a</v>
      </c>
      <c r="W59" s="62" t="str">
        <f t="shared" si="18"/>
        <v>a</v>
      </c>
      <c r="X59" s="62" t="str">
        <f t="shared" si="18"/>
        <v>a</v>
      </c>
      <c r="Y59" s="349"/>
      <c r="Z59" s="349"/>
      <c r="AA59" s="349"/>
      <c r="AB59" s="350"/>
      <c r="AC59" s="61">
        <v>1</v>
      </c>
      <c r="AD59" s="62">
        <f t="shared" si="19"/>
        <v>1</v>
      </c>
      <c r="AE59" s="62">
        <f t="shared" si="19"/>
        <v>1</v>
      </c>
      <c r="AF59" s="62">
        <f t="shared" si="19"/>
        <v>1</v>
      </c>
      <c r="AG59" s="349"/>
      <c r="AH59" s="349"/>
      <c r="AI59" s="349"/>
      <c r="AJ59" s="350"/>
      <c r="AK59" s="135"/>
      <c r="AL59" s="302"/>
      <c r="AM59" s="302"/>
      <c r="AN59" s="302"/>
      <c r="AO59" s="302"/>
      <c r="AP59" s="302"/>
      <c r="AQ59" s="302"/>
      <c r="AR59" s="137"/>
      <c r="AS59" s="135"/>
      <c r="AT59" s="302"/>
      <c r="AU59" s="302"/>
      <c r="AV59" s="302"/>
      <c r="AW59" s="302"/>
      <c r="AX59" s="302"/>
      <c r="AY59" s="302"/>
      <c r="AZ59" s="137"/>
      <c r="BA59" s="37">
        <f t="shared" si="12"/>
        <v>8</v>
      </c>
      <c r="BB59" s="9">
        <f t="shared" si="5"/>
        <v>541</v>
      </c>
      <c r="BC59" s="10">
        <f t="shared" si="6"/>
        <v>91</v>
      </c>
    </row>
    <row r="60" spans="1:55" ht="15" customHeight="1" x14ac:dyDescent="0.35">
      <c r="A60" s="29">
        <v>820323205113</v>
      </c>
      <c r="B60" s="30" t="s">
        <v>70</v>
      </c>
      <c r="C60" s="11"/>
      <c r="D60" s="46">
        <v>438</v>
      </c>
      <c r="E60" s="61">
        <v>1</v>
      </c>
      <c r="F60" s="62">
        <f t="shared" ref="F60:L73" si="20">E60</f>
        <v>1</v>
      </c>
      <c r="G60" s="62">
        <f t="shared" si="20"/>
        <v>1</v>
      </c>
      <c r="H60" s="62">
        <f t="shared" si="20"/>
        <v>1</v>
      </c>
      <c r="I60" s="302"/>
      <c r="J60" s="302"/>
      <c r="K60" s="302"/>
      <c r="L60" s="137"/>
      <c r="M60" s="61" t="s">
        <v>124</v>
      </c>
      <c r="N60" s="62" t="str">
        <f t="shared" si="17"/>
        <v>a</v>
      </c>
      <c r="O60" s="62" t="str">
        <f t="shared" si="17"/>
        <v>a</v>
      </c>
      <c r="P60" s="62" t="str">
        <f t="shared" si="17"/>
        <v>a</v>
      </c>
      <c r="Q60" s="349"/>
      <c r="R60" s="349"/>
      <c r="S60" s="349"/>
      <c r="T60" s="350"/>
      <c r="U60" s="61" t="s">
        <v>124</v>
      </c>
      <c r="V60" s="62" t="str">
        <f t="shared" si="18"/>
        <v>a</v>
      </c>
      <c r="W60" s="62" t="str">
        <f t="shared" si="18"/>
        <v>a</v>
      </c>
      <c r="X60" s="62" t="str">
        <f t="shared" si="18"/>
        <v>a</v>
      </c>
      <c r="Y60" s="349"/>
      <c r="Z60" s="349"/>
      <c r="AA60" s="349"/>
      <c r="AB60" s="350"/>
      <c r="AC60" s="61">
        <v>1</v>
      </c>
      <c r="AD60" s="62">
        <f t="shared" si="19"/>
        <v>1</v>
      </c>
      <c r="AE60" s="62">
        <f t="shared" si="19"/>
        <v>1</v>
      </c>
      <c r="AF60" s="62">
        <f t="shared" si="19"/>
        <v>1</v>
      </c>
      <c r="AG60" s="349"/>
      <c r="AH60" s="349"/>
      <c r="AI60" s="349"/>
      <c r="AJ60" s="350"/>
      <c r="AK60" s="135"/>
      <c r="AL60" s="302"/>
      <c r="AM60" s="302"/>
      <c r="AN60" s="302"/>
      <c r="AO60" s="302"/>
      <c r="AP60" s="302"/>
      <c r="AQ60" s="302"/>
      <c r="AR60" s="137"/>
      <c r="AS60" s="135"/>
      <c r="AT60" s="302"/>
      <c r="AU60" s="302"/>
      <c r="AV60" s="302"/>
      <c r="AW60" s="302"/>
      <c r="AX60" s="302"/>
      <c r="AY60" s="302"/>
      <c r="AZ60" s="137"/>
      <c r="BA60" s="37">
        <f t="shared" si="12"/>
        <v>8</v>
      </c>
      <c r="BB60" s="9">
        <f t="shared" si="5"/>
        <v>446</v>
      </c>
      <c r="BC60" s="10">
        <f t="shared" si="6"/>
        <v>75</v>
      </c>
    </row>
    <row r="61" spans="1:55" ht="15" customHeight="1" x14ac:dyDescent="0.35">
      <c r="A61" s="29">
        <v>820323205114</v>
      </c>
      <c r="B61" s="30" t="s">
        <v>71</v>
      </c>
      <c r="C61" s="11"/>
      <c r="D61" s="46">
        <v>526</v>
      </c>
      <c r="E61" s="61">
        <v>1</v>
      </c>
      <c r="F61" s="62">
        <f t="shared" si="20"/>
        <v>1</v>
      </c>
      <c r="G61" s="62">
        <f t="shared" si="20"/>
        <v>1</v>
      </c>
      <c r="H61" s="62">
        <f t="shared" si="20"/>
        <v>1</v>
      </c>
      <c r="I61" s="302"/>
      <c r="J61" s="302"/>
      <c r="K61" s="302"/>
      <c r="L61" s="137"/>
      <c r="M61" s="61" t="s">
        <v>124</v>
      </c>
      <c r="N61" s="62" t="str">
        <f t="shared" si="17"/>
        <v>a</v>
      </c>
      <c r="O61" s="62" t="str">
        <f t="shared" si="17"/>
        <v>a</v>
      </c>
      <c r="P61" s="62" t="str">
        <f t="shared" si="17"/>
        <v>a</v>
      </c>
      <c r="Q61" s="349"/>
      <c r="R61" s="349"/>
      <c r="S61" s="349"/>
      <c r="T61" s="350"/>
      <c r="U61" s="61" t="s">
        <v>124</v>
      </c>
      <c r="V61" s="62" t="str">
        <f t="shared" si="18"/>
        <v>a</v>
      </c>
      <c r="W61" s="62" t="str">
        <f t="shared" si="18"/>
        <v>a</v>
      </c>
      <c r="X61" s="62" t="str">
        <f t="shared" si="18"/>
        <v>a</v>
      </c>
      <c r="Y61" s="349"/>
      <c r="Z61" s="349"/>
      <c r="AA61" s="349"/>
      <c r="AB61" s="350"/>
      <c r="AC61" s="61">
        <v>1</v>
      </c>
      <c r="AD61" s="62">
        <f t="shared" si="19"/>
        <v>1</v>
      </c>
      <c r="AE61" s="62">
        <f t="shared" si="19"/>
        <v>1</v>
      </c>
      <c r="AF61" s="62">
        <f t="shared" si="19"/>
        <v>1</v>
      </c>
      <c r="AG61" s="349"/>
      <c r="AH61" s="349"/>
      <c r="AI61" s="349"/>
      <c r="AJ61" s="350"/>
      <c r="AK61" s="135"/>
      <c r="AL61" s="302"/>
      <c r="AM61" s="302"/>
      <c r="AN61" s="302"/>
      <c r="AO61" s="302"/>
      <c r="AP61" s="302"/>
      <c r="AQ61" s="302"/>
      <c r="AR61" s="137"/>
      <c r="AS61" s="135"/>
      <c r="AT61" s="302"/>
      <c r="AU61" s="302"/>
      <c r="AV61" s="302"/>
      <c r="AW61" s="302"/>
      <c r="AX61" s="302"/>
      <c r="AY61" s="302"/>
      <c r="AZ61" s="137"/>
      <c r="BA61" s="37">
        <f t="shared" si="12"/>
        <v>8</v>
      </c>
      <c r="BB61" s="9">
        <f t="shared" si="5"/>
        <v>534</v>
      </c>
      <c r="BC61" s="10">
        <f t="shared" si="6"/>
        <v>89</v>
      </c>
    </row>
    <row r="62" spans="1:55" ht="15" customHeight="1" x14ac:dyDescent="0.35">
      <c r="A62" s="31">
        <v>820323205115</v>
      </c>
      <c r="B62" s="32" t="s">
        <v>72</v>
      </c>
      <c r="C62" s="33"/>
      <c r="D62" s="46">
        <v>437</v>
      </c>
      <c r="E62" s="61">
        <v>1</v>
      </c>
      <c r="F62" s="62">
        <f t="shared" si="20"/>
        <v>1</v>
      </c>
      <c r="G62" s="62">
        <f t="shared" si="20"/>
        <v>1</v>
      </c>
      <c r="H62" s="62">
        <f t="shared" si="20"/>
        <v>1</v>
      </c>
      <c r="I62" s="302"/>
      <c r="J62" s="302"/>
      <c r="K62" s="302"/>
      <c r="L62" s="137"/>
      <c r="M62" s="61" t="s">
        <v>124</v>
      </c>
      <c r="N62" s="62" t="str">
        <f t="shared" si="17"/>
        <v>a</v>
      </c>
      <c r="O62" s="62" t="str">
        <f t="shared" si="17"/>
        <v>a</v>
      </c>
      <c r="P62" s="62" t="str">
        <f t="shared" si="17"/>
        <v>a</v>
      </c>
      <c r="Q62" s="349"/>
      <c r="R62" s="349"/>
      <c r="S62" s="349"/>
      <c r="T62" s="350"/>
      <c r="U62" s="61" t="s">
        <v>124</v>
      </c>
      <c r="V62" s="62" t="str">
        <f t="shared" si="18"/>
        <v>a</v>
      </c>
      <c r="W62" s="62" t="str">
        <f t="shared" si="18"/>
        <v>a</v>
      </c>
      <c r="X62" s="62" t="str">
        <f t="shared" si="18"/>
        <v>a</v>
      </c>
      <c r="Y62" s="349"/>
      <c r="Z62" s="349"/>
      <c r="AA62" s="349"/>
      <c r="AB62" s="350"/>
      <c r="AC62" s="61">
        <v>1</v>
      </c>
      <c r="AD62" s="62">
        <f t="shared" si="19"/>
        <v>1</v>
      </c>
      <c r="AE62" s="62">
        <f t="shared" si="19"/>
        <v>1</v>
      </c>
      <c r="AF62" s="62">
        <f t="shared" si="19"/>
        <v>1</v>
      </c>
      <c r="AG62" s="349"/>
      <c r="AH62" s="349"/>
      <c r="AI62" s="349"/>
      <c r="AJ62" s="350"/>
      <c r="AK62" s="135"/>
      <c r="AL62" s="302"/>
      <c r="AM62" s="302"/>
      <c r="AN62" s="302"/>
      <c r="AO62" s="302"/>
      <c r="AP62" s="302"/>
      <c r="AQ62" s="302"/>
      <c r="AR62" s="137"/>
      <c r="AS62" s="135"/>
      <c r="AT62" s="302"/>
      <c r="AU62" s="302"/>
      <c r="AV62" s="302"/>
      <c r="AW62" s="302"/>
      <c r="AX62" s="302"/>
      <c r="AY62" s="302"/>
      <c r="AZ62" s="137"/>
      <c r="BA62" s="42">
        <f t="shared" si="12"/>
        <v>8</v>
      </c>
      <c r="BB62" s="9">
        <f t="shared" si="5"/>
        <v>445</v>
      </c>
      <c r="BC62" s="10">
        <f t="shared" si="6"/>
        <v>75</v>
      </c>
    </row>
    <row r="63" spans="1:55" ht="15" customHeight="1" x14ac:dyDescent="0.35">
      <c r="A63" s="31">
        <v>820323205116</v>
      </c>
      <c r="B63" s="32" t="s">
        <v>73</v>
      </c>
      <c r="C63" s="306"/>
      <c r="D63" s="46">
        <v>439</v>
      </c>
      <c r="E63" s="61">
        <v>1</v>
      </c>
      <c r="F63" s="62">
        <f t="shared" si="20"/>
        <v>1</v>
      </c>
      <c r="G63" s="62">
        <f t="shared" si="20"/>
        <v>1</v>
      </c>
      <c r="H63" s="62">
        <f t="shared" si="20"/>
        <v>1</v>
      </c>
      <c r="I63" s="302"/>
      <c r="J63" s="302"/>
      <c r="K63" s="302"/>
      <c r="L63" s="137"/>
      <c r="M63" s="61" t="s">
        <v>124</v>
      </c>
      <c r="N63" s="62" t="str">
        <f t="shared" si="17"/>
        <v>a</v>
      </c>
      <c r="O63" s="62" t="str">
        <f t="shared" si="17"/>
        <v>a</v>
      </c>
      <c r="P63" s="62" t="str">
        <f t="shared" si="17"/>
        <v>a</v>
      </c>
      <c r="Q63" s="349"/>
      <c r="R63" s="349"/>
      <c r="S63" s="349"/>
      <c r="T63" s="350"/>
      <c r="U63" s="61" t="s">
        <v>124</v>
      </c>
      <c r="V63" s="62" t="str">
        <f t="shared" si="18"/>
        <v>a</v>
      </c>
      <c r="W63" s="62" t="str">
        <f t="shared" si="18"/>
        <v>a</v>
      </c>
      <c r="X63" s="62" t="str">
        <f t="shared" si="18"/>
        <v>a</v>
      </c>
      <c r="Y63" s="349"/>
      <c r="Z63" s="349"/>
      <c r="AA63" s="349"/>
      <c r="AB63" s="350"/>
      <c r="AC63" s="61">
        <v>1</v>
      </c>
      <c r="AD63" s="62">
        <f t="shared" si="19"/>
        <v>1</v>
      </c>
      <c r="AE63" s="62">
        <f t="shared" si="19"/>
        <v>1</v>
      </c>
      <c r="AF63" s="62">
        <f t="shared" si="19"/>
        <v>1</v>
      </c>
      <c r="AG63" s="349"/>
      <c r="AH63" s="349"/>
      <c r="AI63" s="349"/>
      <c r="AJ63" s="350"/>
      <c r="AK63" s="135"/>
      <c r="AL63" s="302"/>
      <c r="AM63" s="302"/>
      <c r="AN63" s="302"/>
      <c r="AO63" s="302"/>
      <c r="AP63" s="302"/>
      <c r="AQ63" s="302"/>
      <c r="AR63" s="137"/>
      <c r="AS63" s="135"/>
      <c r="AT63" s="302"/>
      <c r="AU63" s="302"/>
      <c r="AV63" s="302"/>
      <c r="AW63" s="302"/>
      <c r="AX63" s="302"/>
      <c r="AY63" s="302"/>
      <c r="AZ63" s="137"/>
      <c r="BA63" s="42">
        <f t="shared" si="12"/>
        <v>8</v>
      </c>
      <c r="BB63" s="9">
        <f t="shared" si="5"/>
        <v>447</v>
      </c>
      <c r="BC63" s="10">
        <f t="shared" si="6"/>
        <v>75</v>
      </c>
    </row>
    <row r="64" spans="1:55" ht="15" customHeight="1" x14ac:dyDescent="0.35">
      <c r="A64" s="31">
        <v>820323205117</v>
      </c>
      <c r="B64" s="32" t="s">
        <v>74</v>
      </c>
      <c r="C64" s="35"/>
      <c r="D64" s="46">
        <v>503</v>
      </c>
      <c r="E64" s="61">
        <v>1</v>
      </c>
      <c r="F64" s="62">
        <f t="shared" si="20"/>
        <v>1</v>
      </c>
      <c r="G64" s="62">
        <f t="shared" si="20"/>
        <v>1</v>
      </c>
      <c r="H64" s="62">
        <f t="shared" si="20"/>
        <v>1</v>
      </c>
      <c r="I64" s="302"/>
      <c r="J64" s="302"/>
      <c r="K64" s="302"/>
      <c r="L64" s="137"/>
      <c r="M64" s="61" t="s">
        <v>124</v>
      </c>
      <c r="N64" s="62" t="str">
        <f t="shared" si="17"/>
        <v>a</v>
      </c>
      <c r="O64" s="62" t="str">
        <f t="shared" si="17"/>
        <v>a</v>
      </c>
      <c r="P64" s="62" t="str">
        <f t="shared" si="17"/>
        <v>a</v>
      </c>
      <c r="Q64" s="349"/>
      <c r="R64" s="349"/>
      <c r="S64" s="349"/>
      <c r="T64" s="350"/>
      <c r="U64" s="61" t="s">
        <v>124</v>
      </c>
      <c r="V64" s="62" t="str">
        <f t="shared" si="18"/>
        <v>a</v>
      </c>
      <c r="W64" s="62" t="str">
        <f t="shared" si="18"/>
        <v>a</v>
      </c>
      <c r="X64" s="62" t="str">
        <f t="shared" si="18"/>
        <v>a</v>
      </c>
      <c r="Y64" s="349"/>
      <c r="Z64" s="349"/>
      <c r="AA64" s="349"/>
      <c r="AB64" s="350"/>
      <c r="AC64" s="61">
        <v>1</v>
      </c>
      <c r="AD64" s="62">
        <f t="shared" si="19"/>
        <v>1</v>
      </c>
      <c r="AE64" s="62">
        <f t="shared" si="19"/>
        <v>1</v>
      </c>
      <c r="AF64" s="62">
        <f t="shared" si="19"/>
        <v>1</v>
      </c>
      <c r="AG64" s="349"/>
      <c r="AH64" s="349"/>
      <c r="AI64" s="349"/>
      <c r="AJ64" s="350"/>
      <c r="AK64" s="135"/>
      <c r="AL64" s="302"/>
      <c r="AM64" s="302"/>
      <c r="AN64" s="302"/>
      <c r="AO64" s="302"/>
      <c r="AP64" s="302"/>
      <c r="AQ64" s="302"/>
      <c r="AR64" s="137"/>
      <c r="AS64" s="135"/>
      <c r="AT64" s="302"/>
      <c r="AU64" s="302"/>
      <c r="AV64" s="302"/>
      <c r="AW64" s="302"/>
      <c r="AX64" s="302"/>
      <c r="AY64" s="302"/>
      <c r="AZ64" s="137"/>
      <c r="BA64" s="42">
        <f t="shared" si="12"/>
        <v>8</v>
      </c>
      <c r="BB64" s="9">
        <f t="shared" si="5"/>
        <v>511</v>
      </c>
      <c r="BC64" s="10">
        <f t="shared" si="6"/>
        <v>86</v>
      </c>
    </row>
    <row r="65" spans="1:55" ht="15" customHeight="1" x14ac:dyDescent="0.35">
      <c r="A65" s="29">
        <v>820323205118</v>
      </c>
      <c r="B65" s="30" t="s">
        <v>75</v>
      </c>
      <c r="C65" s="14"/>
      <c r="D65" s="46">
        <v>467</v>
      </c>
      <c r="E65" s="61">
        <v>1</v>
      </c>
      <c r="F65" s="62">
        <f t="shared" si="20"/>
        <v>1</v>
      </c>
      <c r="G65" s="62">
        <f t="shared" si="20"/>
        <v>1</v>
      </c>
      <c r="H65" s="62">
        <f t="shared" si="20"/>
        <v>1</v>
      </c>
      <c r="I65" s="302"/>
      <c r="J65" s="302"/>
      <c r="K65" s="302"/>
      <c r="L65" s="137"/>
      <c r="M65" s="61" t="s">
        <v>124</v>
      </c>
      <c r="N65" s="62" t="str">
        <f t="shared" si="17"/>
        <v>a</v>
      </c>
      <c r="O65" s="62" t="str">
        <f t="shared" si="17"/>
        <v>a</v>
      </c>
      <c r="P65" s="62" t="str">
        <f t="shared" si="17"/>
        <v>a</v>
      </c>
      <c r="Q65" s="349"/>
      <c r="R65" s="349"/>
      <c r="S65" s="349"/>
      <c r="T65" s="350"/>
      <c r="U65" s="61" t="s">
        <v>124</v>
      </c>
      <c r="V65" s="62" t="str">
        <f t="shared" si="18"/>
        <v>a</v>
      </c>
      <c r="W65" s="62" t="str">
        <f t="shared" si="18"/>
        <v>a</v>
      </c>
      <c r="X65" s="62" t="str">
        <f t="shared" si="18"/>
        <v>a</v>
      </c>
      <c r="Y65" s="349"/>
      <c r="Z65" s="349"/>
      <c r="AA65" s="349"/>
      <c r="AB65" s="350"/>
      <c r="AC65" s="61">
        <v>1</v>
      </c>
      <c r="AD65" s="62">
        <f t="shared" si="19"/>
        <v>1</v>
      </c>
      <c r="AE65" s="62">
        <f t="shared" si="19"/>
        <v>1</v>
      </c>
      <c r="AF65" s="62">
        <f t="shared" si="19"/>
        <v>1</v>
      </c>
      <c r="AG65" s="349"/>
      <c r="AH65" s="349"/>
      <c r="AI65" s="349"/>
      <c r="AJ65" s="350"/>
      <c r="AK65" s="135"/>
      <c r="AL65" s="302"/>
      <c r="AM65" s="302"/>
      <c r="AN65" s="302"/>
      <c r="AO65" s="302"/>
      <c r="AP65" s="302"/>
      <c r="AQ65" s="302"/>
      <c r="AR65" s="137"/>
      <c r="AS65" s="135"/>
      <c r="AT65" s="302"/>
      <c r="AU65" s="302"/>
      <c r="AV65" s="302"/>
      <c r="AW65" s="302"/>
      <c r="AX65" s="302"/>
      <c r="AY65" s="302"/>
      <c r="AZ65" s="137"/>
      <c r="BA65" s="37">
        <f t="shared" si="12"/>
        <v>8</v>
      </c>
      <c r="BB65" s="9">
        <f t="shared" si="5"/>
        <v>475</v>
      </c>
      <c r="BC65" s="10">
        <f t="shared" si="6"/>
        <v>80</v>
      </c>
    </row>
    <row r="66" spans="1:55" ht="15" customHeight="1" x14ac:dyDescent="0.35">
      <c r="A66" s="29">
        <v>820323205119</v>
      </c>
      <c r="B66" s="30" t="s">
        <v>76</v>
      </c>
      <c r="C66" s="14"/>
      <c r="D66" s="46">
        <v>526</v>
      </c>
      <c r="E66" s="61">
        <v>1</v>
      </c>
      <c r="F66" s="62">
        <f t="shared" si="20"/>
        <v>1</v>
      </c>
      <c r="G66" s="62">
        <f t="shared" si="20"/>
        <v>1</v>
      </c>
      <c r="H66" s="62">
        <f t="shared" si="20"/>
        <v>1</v>
      </c>
      <c r="I66" s="302"/>
      <c r="J66" s="302"/>
      <c r="K66" s="302"/>
      <c r="L66" s="137"/>
      <c r="M66" s="61">
        <v>1</v>
      </c>
      <c r="N66" s="62">
        <f t="shared" si="17"/>
        <v>1</v>
      </c>
      <c r="O66" s="62">
        <f t="shared" si="17"/>
        <v>1</v>
      </c>
      <c r="P66" s="62">
        <f t="shared" si="17"/>
        <v>1</v>
      </c>
      <c r="Q66" s="349"/>
      <c r="R66" s="349"/>
      <c r="S66" s="349"/>
      <c r="T66" s="350"/>
      <c r="U66" s="61" t="s">
        <v>124</v>
      </c>
      <c r="V66" s="62" t="str">
        <f t="shared" si="18"/>
        <v>a</v>
      </c>
      <c r="W66" s="62" t="str">
        <f t="shared" si="18"/>
        <v>a</v>
      </c>
      <c r="X66" s="62" t="str">
        <f t="shared" si="18"/>
        <v>a</v>
      </c>
      <c r="Y66" s="349"/>
      <c r="Z66" s="349"/>
      <c r="AA66" s="349"/>
      <c r="AB66" s="350"/>
      <c r="AC66" s="61">
        <v>1</v>
      </c>
      <c r="AD66" s="62">
        <f t="shared" si="19"/>
        <v>1</v>
      </c>
      <c r="AE66" s="62">
        <f t="shared" si="19"/>
        <v>1</v>
      </c>
      <c r="AF66" s="62">
        <f t="shared" si="19"/>
        <v>1</v>
      </c>
      <c r="AG66" s="349"/>
      <c r="AH66" s="349"/>
      <c r="AI66" s="349"/>
      <c r="AJ66" s="350"/>
      <c r="AK66" s="135"/>
      <c r="AL66" s="302"/>
      <c r="AM66" s="302"/>
      <c r="AN66" s="302"/>
      <c r="AO66" s="302"/>
      <c r="AP66" s="302"/>
      <c r="AQ66" s="302"/>
      <c r="AR66" s="137"/>
      <c r="AS66" s="135"/>
      <c r="AT66" s="302"/>
      <c r="AU66" s="302"/>
      <c r="AV66" s="302"/>
      <c r="AW66" s="302"/>
      <c r="AX66" s="302"/>
      <c r="AY66" s="302"/>
      <c r="AZ66" s="137"/>
      <c r="BA66" s="37">
        <f t="shared" si="12"/>
        <v>12</v>
      </c>
      <c r="BB66" s="9">
        <f t="shared" si="5"/>
        <v>538</v>
      </c>
      <c r="BC66" s="10">
        <f t="shared" si="6"/>
        <v>90</v>
      </c>
    </row>
    <row r="67" spans="1:55" ht="15" customHeight="1" x14ac:dyDescent="0.35">
      <c r="A67" s="31">
        <v>820323205120</v>
      </c>
      <c r="B67" s="32" t="s">
        <v>77</v>
      </c>
      <c r="C67" s="35"/>
      <c r="D67" s="46">
        <v>470</v>
      </c>
      <c r="E67" s="61">
        <v>1</v>
      </c>
      <c r="F67" s="62">
        <f t="shared" si="20"/>
        <v>1</v>
      </c>
      <c r="G67" s="62">
        <f t="shared" si="20"/>
        <v>1</v>
      </c>
      <c r="H67" s="62">
        <f t="shared" si="20"/>
        <v>1</v>
      </c>
      <c r="I67" s="302"/>
      <c r="J67" s="302"/>
      <c r="K67" s="302"/>
      <c r="L67" s="137"/>
      <c r="M67" s="61" t="s">
        <v>124</v>
      </c>
      <c r="N67" s="62" t="str">
        <f t="shared" si="17"/>
        <v>a</v>
      </c>
      <c r="O67" s="62" t="str">
        <f t="shared" si="17"/>
        <v>a</v>
      </c>
      <c r="P67" s="62" t="str">
        <f t="shared" si="17"/>
        <v>a</v>
      </c>
      <c r="Q67" s="349"/>
      <c r="R67" s="349"/>
      <c r="S67" s="349"/>
      <c r="T67" s="350"/>
      <c r="U67" s="61">
        <v>1</v>
      </c>
      <c r="V67" s="62">
        <f t="shared" si="18"/>
        <v>1</v>
      </c>
      <c r="W67" s="62">
        <f t="shared" si="18"/>
        <v>1</v>
      </c>
      <c r="X67" s="62">
        <f t="shared" si="18"/>
        <v>1</v>
      </c>
      <c r="Y67" s="349"/>
      <c r="Z67" s="349"/>
      <c r="AA67" s="349"/>
      <c r="AB67" s="350"/>
      <c r="AC67" s="61">
        <v>1</v>
      </c>
      <c r="AD67" s="62">
        <f t="shared" si="19"/>
        <v>1</v>
      </c>
      <c r="AE67" s="62">
        <f t="shared" si="19"/>
        <v>1</v>
      </c>
      <c r="AF67" s="62">
        <f t="shared" si="19"/>
        <v>1</v>
      </c>
      <c r="AG67" s="349"/>
      <c r="AH67" s="349"/>
      <c r="AI67" s="349"/>
      <c r="AJ67" s="350"/>
      <c r="AK67" s="135"/>
      <c r="AL67" s="302"/>
      <c r="AM67" s="302"/>
      <c r="AN67" s="302"/>
      <c r="AO67" s="302"/>
      <c r="AP67" s="302"/>
      <c r="AQ67" s="302"/>
      <c r="AR67" s="137"/>
      <c r="AS67" s="135"/>
      <c r="AT67" s="302"/>
      <c r="AU67" s="302"/>
      <c r="AV67" s="302"/>
      <c r="AW67" s="302"/>
      <c r="AX67" s="302"/>
      <c r="AY67" s="302"/>
      <c r="AZ67" s="137"/>
      <c r="BA67" s="42">
        <f t="shared" si="12"/>
        <v>12</v>
      </c>
      <c r="BB67" s="9">
        <f t="shared" si="5"/>
        <v>482</v>
      </c>
      <c r="BC67" s="10">
        <f t="shared" si="6"/>
        <v>81</v>
      </c>
    </row>
    <row r="68" spans="1:55" ht="15" customHeight="1" x14ac:dyDescent="0.35">
      <c r="A68" s="31">
        <v>820323205301</v>
      </c>
      <c r="B68" s="30" t="s">
        <v>78</v>
      </c>
      <c r="C68" s="8"/>
      <c r="D68" s="46">
        <v>482</v>
      </c>
      <c r="E68" s="61">
        <v>1</v>
      </c>
      <c r="F68" s="62">
        <f t="shared" si="20"/>
        <v>1</v>
      </c>
      <c r="G68" s="62">
        <f t="shared" si="20"/>
        <v>1</v>
      </c>
      <c r="H68" s="62">
        <f t="shared" si="20"/>
        <v>1</v>
      </c>
      <c r="I68" s="302"/>
      <c r="J68" s="302"/>
      <c r="K68" s="302"/>
      <c r="L68" s="137"/>
      <c r="M68" s="61" t="s">
        <v>124</v>
      </c>
      <c r="N68" s="62" t="str">
        <f t="shared" si="17"/>
        <v>a</v>
      </c>
      <c r="O68" s="62" t="str">
        <f t="shared" si="17"/>
        <v>a</v>
      </c>
      <c r="P68" s="62" t="str">
        <f t="shared" si="17"/>
        <v>a</v>
      </c>
      <c r="Q68" s="349"/>
      <c r="R68" s="349"/>
      <c r="S68" s="349"/>
      <c r="T68" s="350"/>
      <c r="U68" s="61" t="s">
        <v>124</v>
      </c>
      <c r="V68" s="62" t="str">
        <f t="shared" si="18"/>
        <v>a</v>
      </c>
      <c r="W68" s="62" t="str">
        <f t="shared" si="18"/>
        <v>a</v>
      </c>
      <c r="X68" s="62" t="str">
        <f t="shared" si="18"/>
        <v>a</v>
      </c>
      <c r="Y68" s="349"/>
      <c r="Z68" s="349"/>
      <c r="AA68" s="349"/>
      <c r="AB68" s="350"/>
      <c r="AC68" s="61">
        <v>1</v>
      </c>
      <c r="AD68" s="62">
        <f t="shared" si="19"/>
        <v>1</v>
      </c>
      <c r="AE68" s="62">
        <f t="shared" si="19"/>
        <v>1</v>
      </c>
      <c r="AF68" s="62">
        <f t="shared" si="19"/>
        <v>1</v>
      </c>
      <c r="AG68" s="349"/>
      <c r="AH68" s="349"/>
      <c r="AI68" s="349"/>
      <c r="AJ68" s="350"/>
      <c r="AK68" s="135"/>
      <c r="AL68" s="302"/>
      <c r="AM68" s="302"/>
      <c r="AN68" s="302"/>
      <c r="AO68" s="302"/>
      <c r="AP68" s="302"/>
      <c r="AQ68" s="302"/>
      <c r="AR68" s="137"/>
      <c r="AS68" s="135"/>
      <c r="AT68" s="302"/>
      <c r="AU68" s="302"/>
      <c r="AV68" s="302"/>
      <c r="AW68" s="302"/>
      <c r="AX68" s="302"/>
      <c r="AY68" s="302"/>
      <c r="AZ68" s="137"/>
      <c r="BA68" s="37">
        <f t="shared" si="12"/>
        <v>8</v>
      </c>
      <c r="BB68" s="9">
        <f t="shared" si="5"/>
        <v>490</v>
      </c>
      <c r="BC68" s="10">
        <f t="shared" si="6"/>
        <v>82</v>
      </c>
    </row>
    <row r="69" spans="1:55" ht="15" customHeight="1" x14ac:dyDescent="0.35">
      <c r="A69" s="31">
        <v>820323205302</v>
      </c>
      <c r="B69" s="30" t="s">
        <v>79</v>
      </c>
      <c r="C69" s="8"/>
      <c r="D69" s="46">
        <v>547</v>
      </c>
      <c r="E69" s="61">
        <v>1</v>
      </c>
      <c r="F69" s="62">
        <f t="shared" si="20"/>
        <v>1</v>
      </c>
      <c r="G69" s="62">
        <f t="shared" si="20"/>
        <v>1</v>
      </c>
      <c r="H69" s="62">
        <f t="shared" si="20"/>
        <v>1</v>
      </c>
      <c r="I69" s="302"/>
      <c r="J69" s="302"/>
      <c r="K69" s="302"/>
      <c r="L69" s="137"/>
      <c r="M69" s="61" t="s">
        <v>124</v>
      </c>
      <c r="N69" s="62" t="str">
        <f t="shared" si="17"/>
        <v>a</v>
      </c>
      <c r="O69" s="62" t="str">
        <f t="shared" si="17"/>
        <v>a</v>
      </c>
      <c r="P69" s="62" t="str">
        <f t="shared" si="17"/>
        <v>a</v>
      </c>
      <c r="Q69" s="349"/>
      <c r="R69" s="349"/>
      <c r="S69" s="349"/>
      <c r="T69" s="350"/>
      <c r="U69" s="61" t="s">
        <v>124</v>
      </c>
      <c r="V69" s="62" t="str">
        <f t="shared" si="18"/>
        <v>a</v>
      </c>
      <c r="W69" s="62" t="str">
        <f t="shared" si="18"/>
        <v>a</v>
      </c>
      <c r="X69" s="62" t="str">
        <f t="shared" si="18"/>
        <v>a</v>
      </c>
      <c r="Y69" s="349"/>
      <c r="Z69" s="349"/>
      <c r="AA69" s="349"/>
      <c r="AB69" s="350"/>
      <c r="AC69" s="61">
        <v>1</v>
      </c>
      <c r="AD69" s="62">
        <f t="shared" si="19"/>
        <v>1</v>
      </c>
      <c r="AE69" s="62">
        <f t="shared" si="19"/>
        <v>1</v>
      </c>
      <c r="AF69" s="62">
        <f t="shared" si="19"/>
        <v>1</v>
      </c>
      <c r="AG69" s="349"/>
      <c r="AH69" s="349"/>
      <c r="AI69" s="349"/>
      <c r="AJ69" s="350"/>
      <c r="AK69" s="135"/>
      <c r="AL69" s="302"/>
      <c r="AM69" s="302"/>
      <c r="AN69" s="302"/>
      <c r="AO69" s="302"/>
      <c r="AP69" s="302"/>
      <c r="AQ69" s="302"/>
      <c r="AR69" s="137"/>
      <c r="AS69" s="135"/>
      <c r="AT69" s="302"/>
      <c r="AU69" s="302"/>
      <c r="AV69" s="302"/>
      <c r="AW69" s="302"/>
      <c r="AX69" s="302"/>
      <c r="AY69" s="302"/>
      <c r="AZ69" s="137"/>
      <c r="BA69" s="37">
        <f t="shared" si="12"/>
        <v>8</v>
      </c>
      <c r="BB69" s="9">
        <f t="shared" si="5"/>
        <v>555</v>
      </c>
      <c r="BC69" s="10">
        <f t="shared" si="6"/>
        <v>93</v>
      </c>
    </row>
    <row r="70" spans="1:55" ht="15" customHeight="1" x14ac:dyDescent="0.35">
      <c r="A70" s="31">
        <v>820323205303</v>
      </c>
      <c r="B70" s="30" t="s">
        <v>80</v>
      </c>
      <c r="C70" s="8"/>
      <c r="D70" s="46">
        <v>442</v>
      </c>
      <c r="E70" s="61">
        <v>1</v>
      </c>
      <c r="F70" s="62">
        <f t="shared" si="20"/>
        <v>1</v>
      </c>
      <c r="G70" s="62">
        <f t="shared" si="20"/>
        <v>1</v>
      </c>
      <c r="H70" s="62">
        <f t="shared" si="20"/>
        <v>1</v>
      </c>
      <c r="I70" s="302"/>
      <c r="J70" s="302"/>
      <c r="K70" s="302"/>
      <c r="L70" s="137"/>
      <c r="M70" s="61" t="s">
        <v>124</v>
      </c>
      <c r="N70" s="62" t="str">
        <f t="shared" si="17"/>
        <v>a</v>
      </c>
      <c r="O70" s="62" t="str">
        <f t="shared" si="17"/>
        <v>a</v>
      </c>
      <c r="P70" s="62" t="str">
        <f t="shared" si="17"/>
        <v>a</v>
      </c>
      <c r="Q70" s="349"/>
      <c r="R70" s="349"/>
      <c r="S70" s="349"/>
      <c r="T70" s="350"/>
      <c r="U70" s="61" t="s">
        <v>124</v>
      </c>
      <c r="V70" s="62" t="str">
        <f t="shared" si="18"/>
        <v>a</v>
      </c>
      <c r="W70" s="62" t="str">
        <f t="shared" si="18"/>
        <v>a</v>
      </c>
      <c r="X70" s="62" t="str">
        <f t="shared" si="18"/>
        <v>a</v>
      </c>
      <c r="Y70" s="349"/>
      <c r="Z70" s="349"/>
      <c r="AA70" s="349"/>
      <c r="AB70" s="350"/>
      <c r="AC70" s="61">
        <v>1</v>
      </c>
      <c r="AD70" s="62">
        <f t="shared" si="19"/>
        <v>1</v>
      </c>
      <c r="AE70" s="62">
        <f t="shared" si="19"/>
        <v>1</v>
      </c>
      <c r="AF70" s="62">
        <f t="shared" si="19"/>
        <v>1</v>
      </c>
      <c r="AG70" s="349"/>
      <c r="AH70" s="349"/>
      <c r="AI70" s="349"/>
      <c r="AJ70" s="350"/>
      <c r="AK70" s="135"/>
      <c r="AL70" s="302"/>
      <c r="AM70" s="302"/>
      <c r="AN70" s="302"/>
      <c r="AO70" s="302"/>
      <c r="AP70" s="302"/>
      <c r="AQ70" s="302"/>
      <c r="AR70" s="137"/>
      <c r="AS70" s="135"/>
      <c r="AT70" s="302"/>
      <c r="AU70" s="302"/>
      <c r="AV70" s="302"/>
      <c r="AW70" s="302"/>
      <c r="AX70" s="302"/>
      <c r="AY70" s="302"/>
      <c r="AZ70" s="137"/>
      <c r="BA70" s="37">
        <f t="shared" si="12"/>
        <v>8</v>
      </c>
      <c r="BB70" s="9">
        <f t="shared" si="5"/>
        <v>450</v>
      </c>
      <c r="BC70" s="10">
        <f t="shared" si="6"/>
        <v>75</v>
      </c>
    </row>
    <row r="71" spans="1:55" ht="15" customHeight="1" x14ac:dyDescent="0.35">
      <c r="A71" s="31">
        <v>820323205305</v>
      </c>
      <c r="B71" s="30" t="s">
        <v>81</v>
      </c>
      <c r="C71" s="34"/>
      <c r="D71" s="46">
        <v>485</v>
      </c>
      <c r="E71" s="61">
        <v>1</v>
      </c>
      <c r="F71" s="62">
        <f t="shared" si="20"/>
        <v>1</v>
      </c>
      <c r="G71" s="62">
        <f t="shared" si="20"/>
        <v>1</v>
      </c>
      <c r="H71" s="62">
        <f t="shared" si="20"/>
        <v>1</v>
      </c>
      <c r="I71" s="302"/>
      <c r="J71" s="302"/>
      <c r="K71" s="302"/>
      <c r="L71" s="137"/>
      <c r="M71" s="61" t="s">
        <v>124</v>
      </c>
      <c r="N71" s="62" t="str">
        <f t="shared" si="17"/>
        <v>a</v>
      </c>
      <c r="O71" s="62" t="str">
        <f t="shared" si="17"/>
        <v>a</v>
      </c>
      <c r="P71" s="62" t="str">
        <f t="shared" si="17"/>
        <v>a</v>
      </c>
      <c r="Q71" s="349"/>
      <c r="R71" s="349"/>
      <c r="S71" s="349"/>
      <c r="T71" s="350"/>
      <c r="U71" s="61">
        <v>1</v>
      </c>
      <c r="V71" s="62">
        <f t="shared" si="18"/>
        <v>1</v>
      </c>
      <c r="W71" s="62">
        <f t="shared" si="18"/>
        <v>1</v>
      </c>
      <c r="X71" s="62">
        <f t="shared" si="18"/>
        <v>1</v>
      </c>
      <c r="Y71" s="349"/>
      <c r="Z71" s="349"/>
      <c r="AA71" s="349"/>
      <c r="AB71" s="350"/>
      <c r="AC71" s="61">
        <v>1</v>
      </c>
      <c r="AD71" s="62">
        <f t="shared" si="19"/>
        <v>1</v>
      </c>
      <c r="AE71" s="62">
        <f t="shared" si="19"/>
        <v>1</v>
      </c>
      <c r="AF71" s="62">
        <f t="shared" si="19"/>
        <v>1</v>
      </c>
      <c r="AG71" s="349"/>
      <c r="AH71" s="349"/>
      <c r="AI71" s="349"/>
      <c r="AJ71" s="350"/>
      <c r="AK71" s="135"/>
      <c r="AL71" s="302"/>
      <c r="AM71" s="302"/>
      <c r="AN71" s="302"/>
      <c r="AO71" s="302"/>
      <c r="AP71" s="302"/>
      <c r="AQ71" s="302"/>
      <c r="AR71" s="137"/>
      <c r="AS71" s="135"/>
      <c r="AT71" s="302"/>
      <c r="AU71" s="302"/>
      <c r="AV71" s="302"/>
      <c r="AW71" s="302"/>
      <c r="AX71" s="302"/>
      <c r="AY71" s="302"/>
      <c r="AZ71" s="137"/>
      <c r="BA71" s="42">
        <f t="shared" si="12"/>
        <v>12</v>
      </c>
      <c r="BB71" s="9">
        <f t="shared" si="5"/>
        <v>497</v>
      </c>
      <c r="BC71" s="10">
        <f t="shared" si="6"/>
        <v>83</v>
      </c>
    </row>
    <row r="72" spans="1:55" ht="15" customHeight="1" x14ac:dyDescent="0.35">
      <c r="A72" s="31">
        <v>820323205501</v>
      </c>
      <c r="B72" s="30" t="s">
        <v>82</v>
      </c>
      <c r="C72" s="8"/>
      <c r="D72" s="46">
        <v>447</v>
      </c>
      <c r="E72" s="61">
        <v>1</v>
      </c>
      <c r="F72" s="62">
        <f t="shared" si="20"/>
        <v>1</v>
      </c>
      <c r="G72" s="62">
        <f t="shared" si="20"/>
        <v>1</v>
      </c>
      <c r="H72" s="62">
        <f t="shared" si="20"/>
        <v>1</v>
      </c>
      <c r="I72" s="302"/>
      <c r="J72" s="302"/>
      <c r="K72" s="302"/>
      <c r="L72" s="137"/>
      <c r="M72" s="61" t="s">
        <v>124</v>
      </c>
      <c r="N72" s="62" t="str">
        <f t="shared" si="17"/>
        <v>a</v>
      </c>
      <c r="O72" s="62" t="str">
        <f t="shared" si="17"/>
        <v>a</v>
      </c>
      <c r="P72" s="62" t="str">
        <f t="shared" si="17"/>
        <v>a</v>
      </c>
      <c r="Q72" s="349"/>
      <c r="R72" s="349"/>
      <c r="S72" s="349"/>
      <c r="T72" s="350"/>
      <c r="U72" s="61">
        <v>1</v>
      </c>
      <c r="V72" s="62">
        <f t="shared" si="18"/>
        <v>1</v>
      </c>
      <c r="W72" s="62">
        <f t="shared" si="18"/>
        <v>1</v>
      </c>
      <c r="X72" s="62">
        <f t="shared" si="18"/>
        <v>1</v>
      </c>
      <c r="Y72" s="349"/>
      <c r="Z72" s="349"/>
      <c r="AA72" s="349"/>
      <c r="AB72" s="350"/>
      <c r="AC72" s="61">
        <v>1</v>
      </c>
      <c r="AD72" s="62">
        <f t="shared" si="19"/>
        <v>1</v>
      </c>
      <c r="AE72" s="62">
        <f t="shared" si="19"/>
        <v>1</v>
      </c>
      <c r="AF72" s="62">
        <f t="shared" si="19"/>
        <v>1</v>
      </c>
      <c r="AG72" s="349"/>
      <c r="AH72" s="349"/>
      <c r="AI72" s="349"/>
      <c r="AJ72" s="350"/>
      <c r="AK72" s="135"/>
      <c r="AL72" s="302"/>
      <c r="AM72" s="302"/>
      <c r="AN72" s="302"/>
      <c r="AO72" s="302"/>
      <c r="AP72" s="302"/>
      <c r="AQ72" s="302"/>
      <c r="AR72" s="137"/>
      <c r="AS72" s="135"/>
      <c r="AT72" s="302"/>
      <c r="AU72" s="302"/>
      <c r="AV72" s="302"/>
      <c r="AW72" s="302"/>
      <c r="AX72" s="302"/>
      <c r="AY72" s="302"/>
      <c r="AZ72" s="137"/>
      <c r="BA72" s="37">
        <f t="shared" si="12"/>
        <v>12</v>
      </c>
      <c r="BB72" s="9">
        <f t="shared" si="5"/>
        <v>459</v>
      </c>
      <c r="BC72" s="10">
        <f t="shared" si="6"/>
        <v>77</v>
      </c>
    </row>
    <row r="73" spans="1:55" ht="15" customHeight="1" thickBot="1" x14ac:dyDescent="0.4">
      <c r="A73" s="31">
        <v>820323205701</v>
      </c>
      <c r="B73" s="30" t="s">
        <v>87</v>
      </c>
      <c r="C73" s="8"/>
      <c r="D73" s="46">
        <v>529</v>
      </c>
      <c r="E73" s="61">
        <v>1</v>
      </c>
      <c r="F73" s="62">
        <f t="shared" si="20"/>
        <v>1</v>
      </c>
      <c r="G73" s="62">
        <f t="shared" si="20"/>
        <v>1</v>
      </c>
      <c r="H73" s="62">
        <f t="shared" si="20"/>
        <v>1</v>
      </c>
      <c r="I73" s="302"/>
      <c r="J73" s="302"/>
      <c r="K73" s="302"/>
      <c r="L73" s="137"/>
      <c r="M73" s="61" t="s">
        <v>124</v>
      </c>
      <c r="N73" s="62" t="str">
        <f t="shared" si="17"/>
        <v>a</v>
      </c>
      <c r="O73" s="62" t="str">
        <f t="shared" si="17"/>
        <v>a</v>
      </c>
      <c r="P73" s="62" t="str">
        <f t="shared" si="17"/>
        <v>a</v>
      </c>
      <c r="Q73" s="349"/>
      <c r="R73" s="349"/>
      <c r="S73" s="349"/>
      <c r="T73" s="350"/>
      <c r="U73" s="61" t="s">
        <v>124</v>
      </c>
      <c r="V73" s="62" t="str">
        <f t="shared" si="18"/>
        <v>a</v>
      </c>
      <c r="W73" s="62" t="str">
        <f t="shared" si="18"/>
        <v>a</v>
      </c>
      <c r="X73" s="62" t="str">
        <f t="shared" si="18"/>
        <v>a</v>
      </c>
      <c r="Y73" s="349"/>
      <c r="Z73" s="349"/>
      <c r="AA73" s="349"/>
      <c r="AB73" s="350"/>
      <c r="AC73" s="61">
        <v>1</v>
      </c>
      <c r="AD73" s="62">
        <f t="shared" si="19"/>
        <v>1</v>
      </c>
      <c r="AE73" s="62">
        <f t="shared" si="19"/>
        <v>1</v>
      </c>
      <c r="AF73" s="62">
        <f t="shared" si="19"/>
        <v>1</v>
      </c>
      <c r="AG73" s="349"/>
      <c r="AH73" s="349"/>
      <c r="AI73" s="349"/>
      <c r="AJ73" s="350"/>
      <c r="AK73" s="138"/>
      <c r="AL73" s="139"/>
      <c r="AM73" s="139"/>
      <c r="AN73" s="139"/>
      <c r="AO73" s="139"/>
      <c r="AP73" s="139"/>
      <c r="AQ73" s="139"/>
      <c r="AR73" s="140"/>
      <c r="AS73" s="138"/>
      <c r="AT73" s="139"/>
      <c r="AU73" s="139"/>
      <c r="AV73" s="139"/>
      <c r="AW73" s="139"/>
      <c r="AX73" s="139"/>
      <c r="AY73" s="139"/>
      <c r="AZ73" s="140"/>
      <c r="BA73" s="37">
        <f t="shared" si="12"/>
        <v>8</v>
      </c>
      <c r="BB73" s="9">
        <f t="shared" si="5"/>
        <v>537</v>
      </c>
      <c r="BC73" s="10">
        <f t="shared" si="6"/>
        <v>90</v>
      </c>
    </row>
    <row r="74" spans="1:55" ht="18.5" thickBot="1" x14ac:dyDescent="0.4">
      <c r="A74" s="150" t="s">
        <v>125</v>
      </c>
      <c r="B74" s="151"/>
      <c r="C74" s="151"/>
      <c r="D74" s="151"/>
      <c r="E74" s="50">
        <f>COUNTIF(E10:E73,"a")</f>
        <v>0</v>
      </c>
      <c r="F74" s="50">
        <f t="shared" ref="F74:AZ74" si="21">COUNTIF(F10:F73,"a")</f>
        <v>0</v>
      </c>
      <c r="G74" s="50">
        <f t="shared" si="21"/>
        <v>0</v>
      </c>
      <c r="H74" s="50">
        <f t="shared" si="21"/>
        <v>0</v>
      </c>
      <c r="I74" s="218"/>
      <c r="J74" s="218"/>
      <c r="K74" s="218"/>
      <c r="L74" s="219"/>
      <c r="M74" s="50">
        <f t="shared" si="21"/>
        <v>59</v>
      </c>
      <c r="N74" s="50">
        <f t="shared" si="21"/>
        <v>59</v>
      </c>
      <c r="O74" s="50">
        <f t="shared" si="21"/>
        <v>59</v>
      </c>
      <c r="P74" s="50">
        <f t="shared" si="21"/>
        <v>59</v>
      </c>
      <c r="Q74" s="351"/>
      <c r="R74" s="351"/>
      <c r="S74" s="351"/>
      <c r="T74" s="352"/>
      <c r="U74" s="50">
        <f t="shared" si="21"/>
        <v>39</v>
      </c>
      <c r="V74" s="50">
        <f t="shared" si="21"/>
        <v>39</v>
      </c>
      <c r="W74" s="50">
        <f t="shared" si="21"/>
        <v>39</v>
      </c>
      <c r="X74" s="50">
        <f t="shared" si="21"/>
        <v>39</v>
      </c>
      <c r="Y74" s="351"/>
      <c r="Z74" s="351"/>
      <c r="AA74" s="351"/>
      <c r="AB74" s="352"/>
      <c r="AC74" s="50">
        <f t="shared" si="21"/>
        <v>0</v>
      </c>
      <c r="AD74" s="50">
        <f t="shared" si="21"/>
        <v>0</v>
      </c>
      <c r="AE74" s="50">
        <f t="shared" si="21"/>
        <v>0</v>
      </c>
      <c r="AF74" s="50">
        <f t="shared" si="21"/>
        <v>0</v>
      </c>
      <c r="AG74" s="351"/>
      <c r="AH74" s="351"/>
      <c r="AI74" s="351"/>
      <c r="AJ74" s="352"/>
      <c r="AK74" s="50">
        <f t="shared" si="21"/>
        <v>0</v>
      </c>
      <c r="AL74" s="50">
        <f t="shared" si="21"/>
        <v>0</v>
      </c>
      <c r="AM74" s="50">
        <f t="shared" si="21"/>
        <v>0</v>
      </c>
      <c r="AN74" s="50">
        <f t="shared" si="21"/>
        <v>0</v>
      </c>
      <c r="AO74" s="50">
        <f t="shared" si="21"/>
        <v>0</v>
      </c>
      <c r="AP74" s="50">
        <f t="shared" si="21"/>
        <v>0</v>
      </c>
      <c r="AQ74" s="50">
        <f t="shared" si="21"/>
        <v>0</v>
      </c>
      <c r="AR74" s="50">
        <f t="shared" si="21"/>
        <v>0</v>
      </c>
      <c r="AS74" s="50">
        <f t="shared" si="21"/>
        <v>0</v>
      </c>
      <c r="AT74" s="50">
        <f t="shared" si="21"/>
        <v>0</v>
      </c>
      <c r="AU74" s="50">
        <f t="shared" si="21"/>
        <v>0</v>
      </c>
      <c r="AV74" s="50">
        <f t="shared" si="21"/>
        <v>0</v>
      </c>
      <c r="AW74" s="50">
        <f t="shared" si="21"/>
        <v>0</v>
      </c>
      <c r="AX74" s="50">
        <f t="shared" si="21"/>
        <v>0</v>
      </c>
      <c r="AY74" s="50">
        <f t="shared" si="21"/>
        <v>0</v>
      </c>
      <c r="AZ74" s="50">
        <f t="shared" si="21"/>
        <v>0</v>
      </c>
      <c r="BA74" s="47"/>
      <c r="BB74" s="27"/>
      <c r="BC74" s="16"/>
    </row>
    <row r="75" spans="1:55" ht="34" customHeight="1" thickBot="1" x14ac:dyDescent="0.4">
      <c r="A75" s="88"/>
      <c r="B75" s="89"/>
      <c r="C75" s="89"/>
      <c r="D75" s="89"/>
      <c r="E75" s="144" t="str">
        <f>E9</f>
        <v>NS</v>
      </c>
      <c r="F75" s="145"/>
      <c r="G75" s="145"/>
      <c r="H75" s="146"/>
      <c r="I75" s="144"/>
      <c r="J75" s="145"/>
      <c r="K75" s="145"/>
      <c r="L75" s="146"/>
      <c r="M75" s="144" t="str">
        <f t="shared" ref="F75:AZ75" si="22">M9</f>
        <v>SG</v>
      </c>
      <c r="N75" s="145"/>
      <c r="O75" s="145"/>
      <c r="P75" s="146"/>
      <c r="Q75" s="144"/>
      <c r="R75" s="145"/>
      <c r="S75" s="145"/>
      <c r="T75" s="146"/>
      <c r="U75" s="144" t="str">
        <f t="shared" si="22"/>
        <v>PA</v>
      </c>
      <c r="V75" s="145"/>
      <c r="W75" s="145"/>
      <c r="X75" s="146"/>
      <c r="Y75" s="144"/>
      <c r="Z75" s="145"/>
      <c r="AA75" s="145"/>
      <c r="AB75" s="146"/>
      <c r="AC75" s="102">
        <f t="shared" si="22"/>
        <v>0</v>
      </c>
      <c r="AD75" s="102">
        <f t="shared" si="22"/>
        <v>0</v>
      </c>
      <c r="AE75" s="102">
        <f t="shared" si="22"/>
        <v>0</v>
      </c>
      <c r="AF75" s="102">
        <f t="shared" si="22"/>
        <v>0</v>
      </c>
      <c r="AG75" s="144">
        <f t="shared" si="22"/>
        <v>0</v>
      </c>
      <c r="AH75" s="145"/>
      <c r="AI75" s="145"/>
      <c r="AJ75" s="146"/>
      <c r="AK75" s="102">
        <f t="shared" si="22"/>
        <v>0</v>
      </c>
      <c r="AL75" s="102">
        <f t="shared" si="22"/>
        <v>0</v>
      </c>
      <c r="AM75" s="102">
        <f t="shared" si="22"/>
        <v>0</v>
      </c>
      <c r="AN75" s="102">
        <f t="shared" si="22"/>
        <v>0</v>
      </c>
      <c r="AO75" s="102">
        <f t="shared" si="22"/>
        <v>0</v>
      </c>
      <c r="AP75" s="102">
        <f t="shared" si="22"/>
        <v>0</v>
      </c>
      <c r="AQ75" s="102">
        <f t="shared" si="22"/>
        <v>0</v>
      </c>
      <c r="AR75" s="102">
        <f t="shared" si="22"/>
        <v>0</v>
      </c>
      <c r="AS75" s="102">
        <f t="shared" si="22"/>
        <v>0</v>
      </c>
      <c r="AT75" s="102">
        <f t="shared" si="22"/>
        <v>0</v>
      </c>
      <c r="AU75" s="102">
        <f t="shared" si="22"/>
        <v>0</v>
      </c>
      <c r="AV75" s="102">
        <f t="shared" si="22"/>
        <v>0</v>
      </c>
      <c r="AW75" s="102">
        <f t="shared" si="22"/>
        <v>0</v>
      </c>
      <c r="AX75" s="102">
        <f t="shared" si="22"/>
        <v>0</v>
      </c>
      <c r="AY75" s="102">
        <f t="shared" si="22"/>
        <v>0</v>
      </c>
      <c r="AZ75" s="102">
        <f t="shared" si="22"/>
        <v>0</v>
      </c>
      <c r="BA75" s="47"/>
      <c r="BB75" s="101"/>
      <c r="BC75" s="47"/>
    </row>
    <row r="76" spans="1:55" ht="18" thickBot="1" x14ac:dyDescent="0.4">
      <c r="A76" s="150" t="s">
        <v>15</v>
      </c>
      <c r="B76" s="151"/>
      <c r="C76" s="151"/>
      <c r="D76" s="151"/>
      <c r="E76" s="43"/>
      <c r="F76" s="18"/>
      <c r="G76" s="18"/>
      <c r="H76" s="18"/>
      <c r="I76" s="17"/>
      <c r="J76" s="17"/>
      <c r="K76" s="17"/>
      <c r="L76" s="17"/>
      <c r="M76" s="26"/>
      <c r="N76" s="18"/>
      <c r="O76" s="18"/>
      <c r="P76" s="18"/>
      <c r="Q76" s="17"/>
      <c r="R76" s="17"/>
      <c r="S76" s="17"/>
      <c r="T76" s="17"/>
      <c r="U76" s="17"/>
      <c r="V76" s="18"/>
      <c r="W76" s="18"/>
      <c r="X76" s="18"/>
      <c r="Y76" s="17"/>
      <c r="Z76" s="17"/>
      <c r="AA76" s="17"/>
      <c r="AB76" s="17"/>
      <c r="AC76" s="17"/>
      <c r="AD76" s="18"/>
      <c r="AE76" s="18"/>
      <c r="AF76" s="18"/>
      <c r="AG76" s="17"/>
      <c r="AH76" s="17"/>
      <c r="AI76" s="17"/>
      <c r="AJ76" s="17"/>
      <c r="AK76" s="17"/>
      <c r="AL76" s="18"/>
      <c r="AM76" s="18"/>
      <c r="AN76" s="18"/>
      <c r="AO76" s="17"/>
      <c r="AP76" s="17"/>
      <c r="AQ76" s="17"/>
      <c r="AR76" s="17"/>
      <c r="AS76" s="39"/>
      <c r="AT76" s="48"/>
      <c r="AU76" s="48"/>
      <c r="AV76" s="48"/>
      <c r="AW76" s="39"/>
      <c r="AX76" s="39"/>
      <c r="AY76" s="39"/>
      <c r="AZ76" s="49"/>
      <c r="BA76" s="19"/>
      <c r="BB76" s="28"/>
      <c r="BC76" s="20"/>
    </row>
    <row r="79" spans="1:55" ht="20" x14ac:dyDescent="0.4">
      <c r="A79" s="152" t="s">
        <v>16</v>
      </c>
      <c r="B79" s="152"/>
      <c r="C79" s="152"/>
      <c r="D79" s="152"/>
      <c r="E79" s="152"/>
      <c r="F79" s="152"/>
      <c r="G79" s="152"/>
      <c r="H79" s="152"/>
      <c r="I79" s="152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 t="s">
        <v>17</v>
      </c>
      <c r="Z79" s="22"/>
      <c r="AA79" s="22"/>
      <c r="AB79" s="22"/>
      <c r="AC79" s="21"/>
      <c r="AD79" s="21"/>
      <c r="AE79" s="21"/>
      <c r="AF79" s="21"/>
      <c r="AG79" s="23"/>
      <c r="AH79" s="23"/>
      <c r="AI79" s="22"/>
      <c r="AJ79" s="22"/>
      <c r="AK79" s="22"/>
      <c r="AL79" s="22"/>
      <c r="AM79" s="22"/>
      <c r="AN79" s="22"/>
      <c r="AO79" s="22"/>
      <c r="AP79" s="22"/>
      <c r="AQ79" s="22"/>
      <c r="AR79" s="23"/>
      <c r="AS79" s="41"/>
      <c r="AT79" s="41"/>
      <c r="AU79" s="41" t="s">
        <v>18</v>
      </c>
      <c r="AV79" s="40"/>
      <c r="AW79" s="40"/>
      <c r="AX79" s="40"/>
      <c r="AY79" s="40"/>
      <c r="AZ79" s="40"/>
    </row>
    <row r="80" spans="1:55" ht="20.5" x14ac:dyDescent="0.45">
      <c r="A80" s="152" t="s">
        <v>88</v>
      </c>
      <c r="B80" s="152"/>
      <c r="C80" s="152"/>
      <c r="D80" s="152"/>
      <c r="E80" s="152"/>
      <c r="F80" s="152"/>
      <c r="G80" s="152"/>
      <c r="H80" s="152"/>
      <c r="I80" s="24"/>
      <c r="J80" s="24"/>
      <c r="K80" s="24"/>
      <c r="L80" s="24"/>
      <c r="M80" s="25"/>
      <c r="N80" s="24"/>
      <c r="P80" s="22"/>
      <c r="Q80" s="22"/>
      <c r="R80" s="22"/>
      <c r="S80" s="22"/>
      <c r="T80" s="22"/>
      <c r="U80" s="22"/>
      <c r="V80" s="22" t="s">
        <v>89</v>
      </c>
      <c r="W80" s="22"/>
      <c r="X80" s="22"/>
      <c r="Y80" s="22"/>
      <c r="Z80" s="22"/>
      <c r="AA80" s="22"/>
      <c r="AB80" s="22"/>
      <c r="AC80" s="22"/>
      <c r="AD80" s="22"/>
      <c r="AE80" s="22"/>
      <c r="AF80" s="24"/>
      <c r="AG80" s="24"/>
      <c r="AH80" s="24"/>
      <c r="AI80" s="22"/>
      <c r="AR80" s="152" t="s">
        <v>90</v>
      </c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</row>
  </sheetData>
  <mergeCells count="42">
    <mergeCell ref="U75:X75"/>
    <mergeCell ref="Y43:AB74"/>
    <mergeCell ref="Y75:AB75"/>
    <mergeCell ref="AG75:AJ75"/>
    <mergeCell ref="AG43:AJ74"/>
    <mergeCell ref="E75:H75"/>
    <mergeCell ref="I75:L75"/>
    <mergeCell ref="I43:L74"/>
    <mergeCell ref="M75:P75"/>
    <mergeCell ref="Q43:T74"/>
    <mergeCell ref="Q75:T75"/>
    <mergeCell ref="AG10:AJ42"/>
    <mergeCell ref="E8:H8"/>
    <mergeCell ref="E9:H9"/>
    <mergeCell ref="M8:P8"/>
    <mergeCell ref="M9:P9"/>
    <mergeCell ref="Q10:T42"/>
    <mergeCell ref="Y10:AB42"/>
    <mergeCell ref="A74:D74"/>
    <mergeCell ref="A76:D76"/>
    <mergeCell ref="A79:I79"/>
    <mergeCell ref="A80:H80"/>
    <mergeCell ref="AR80:BC80"/>
    <mergeCell ref="AK10:AR42"/>
    <mergeCell ref="AS10:AZ42"/>
    <mergeCell ref="AK43:AR73"/>
    <mergeCell ref="AS43:AZ73"/>
    <mergeCell ref="I10:L42"/>
    <mergeCell ref="U9:X9"/>
    <mergeCell ref="AS6:AZ6"/>
    <mergeCell ref="U8:X8"/>
    <mergeCell ref="AS5:AZ5"/>
    <mergeCell ref="E6:L6"/>
    <mergeCell ref="M6:T6"/>
    <mergeCell ref="U6:AB6"/>
    <mergeCell ref="AC6:AJ6"/>
    <mergeCell ref="AK6:AR6"/>
    <mergeCell ref="E5:L5"/>
    <mergeCell ref="M5:T5"/>
    <mergeCell ref="U5:AB5"/>
    <mergeCell ref="AC5:AJ5"/>
    <mergeCell ref="AK5:AR5"/>
  </mergeCells>
  <conditionalFormatting sqref="BC1:BC73">
    <cfRule type="cellIs" dxfId="2" priority="1" operator="lessThan">
      <formula>75</formula>
    </cfRule>
  </conditionalFormatting>
  <conditionalFormatting sqref="BC10:BC73">
    <cfRule type="cellIs" dxfId="1" priority="3" operator="lessThan">
      <formula>75</formula>
    </cfRule>
  </conditionalFormatting>
  <conditionalFormatting sqref="BC80">
    <cfRule type="cellIs" dxfId="0" priority="2" operator="lessThan">
      <formula>75</formula>
    </cfRule>
  </conditionalFormatting>
  <pageMargins left="0.31496062992125984" right="0.11811023622047245" top="0.55118110236220474" bottom="0.15748031496062992" header="0.11811023622047245" footer="0.11811023622047245"/>
  <pageSetup paperSize="9" scale="75" orientation="landscape" horizontalDpi="4294967292" verticalDpi="0" r:id="rId1"/>
  <rowBreaks count="1" manualBreakCount="1">
    <brk id="42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Master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Master!Print_Area</vt:lpstr>
      <vt:lpstr>'WEEK 1'!Print_Area</vt:lpstr>
      <vt:lpstr>'Week 10'!Print_Area</vt:lpstr>
      <vt:lpstr>'Week 11'!Print_Area</vt:lpstr>
      <vt:lpstr>'Week 12'!Print_Area</vt:lpstr>
      <vt:lpstr>'Week 13'!Print_Area</vt:lpstr>
      <vt:lpstr>'Week 14'!Print_Area</vt:lpstr>
      <vt:lpstr>'Week 15'!Print_Area</vt:lpstr>
      <vt:lpstr>'Week 16'!Print_Area</vt:lpstr>
      <vt:lpstr>'Week 17'!Print_Area</vt:lpstr>
      <vt:lpstr>'WEEK 2'!Print_Area</vt:lpstr>
      <vt:lpstr>'WEEK 3'!Print_Area</vt:lpstr>
      <vt:lpstr>'WEEK 4'!Print_Area</vt:lpstr>
      <vt:lpstr>'WEEK 5'!Print_Area</vt:lpstr>
      <vt:lpstr>'WEEK 6'!Print_Area</vt:lpstr>
      <vt:lpstr>'WEEK 7'!Print_Area</vt:lpstr>
      <vt:lpstr>'Week 8'!Print_Area</vt:lpstr>
      <vt:lpstr>'Week 9'!Print_Area</vt:lpstr>
      <vt:lpstr>Master!Print_Titles</vt:lpstr>
      <vt:lpstr>'WEEK 1'!Print_Titles</vt:lpstr>
      <vt:lpstr>'Week 10'!Print_Titles</vt:lpstr>
      <vt:lpstr>'Week 11'!Print_Titles</vt:lpstr>
      <vt:lpstr>'Week 12'!Print_Titles</vt:lpstr>
      <vt:lpstr>'Week 13'!Print_Titles</vt:lpstr>
      <vt:lpstr>'Week 14'!Print_Titles</vt:lpstr>
      <vt:lpstr>'Week 15'!Print_Titles</vt:lpstr>
      <vt:lpstr>'Week 16'!Print_Titles</vt:lpstr>
      <vt:lpstr>'Week 17'!Print_Titles</vt:lpstr>
      <vt:lpstr>'WEEK 2'!Print_Titles</vt:lpstr>
      <vt:lpstr>'WEEK 3'!Print_Titles</vt:lpstr>
      <vt:lpstr>'WEEK 4'!Print_Titles</vt:lpstr>
      <vt:lpstr>'WEEK 5'!Print_Titles</vt:lpstr>
      <vt:lpstr>'WEEK 6'!Print_Titles</vt:lpstr>
      <vt:lpstr>'WEEK 7'!Print_Titles</vt:lpstr>
      <vt:lpstr>'Week 8'!Print_Titles</vt:lpstr>
      <vt:lpstr>'Week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Dr. K.Manikandan</cp:lastModifiedBy>
  <cp:lastPrinted>2026-04-21T10:16:11Z</cp:lastPrinted>
  <dcterms:created xsi:type="dcterms:W3CDTF">2024-08-13T08:05:37Z</dcterms:created>
  <dcterms:modified xsi:type="dcterms:W3CDTF">2026-05-07T18:57:44Z</dcterms:modified>
</cp:coreProperties>
</file>